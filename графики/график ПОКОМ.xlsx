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BE1EA446-430A-4B06-8661-A2A0DE8688FB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Лист1!$A$2:$R$7185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s="1"/>
  <c r="A7088" i="1" s="1"/>
  <c r="A7089" i="1" s="1"/>
  <c r="A7090" i="1" s="1"/>
  <c r="A7091" i="1" s="1"/>
  <c r="A7092" i="1" s="1"/>
  <c r="A7093" i="1" s="1"/>
  <c r="A7095" i="1" s="1"/>
  <c r="A7097" i="1" s="1"/>
  <c r="A7103" i="1" s="1"/>
  <c r="A7104" i="1" s="1"/>
  <c r="A7106" i="1" s="1"/>
  <c r="A7110" i="1" s="1"/>
  <c r="A7112" i="1" s="1"/>
  <c r="A7115" i="1" s="1"/>
  <c r="A7119" i="1" s="1"/>
  <c r="A7120" i="1" s="1"/>
  <c r="A7124" i="1" s="1"/>
  <c r="A7125" i="1" s="1"/>
  <c r="A7126" i="1" s="1"/>
  <c r="A7127" i="1" s="1"/>
  <c r="A7129" i="1" l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5" i="1" s="1"/>
  <c r="A7166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</calcChain>
</file>

<file path=xl/sharedStrings.xml><?xml version="1.0" encoding="utf-8"?>
<sst xmlns="http://schemas.openxmlformats.org/spreadsheetml/2006/main" count="45962" uniqueCount="2440">
  <si>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</si>
  <si>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</si>
  <si>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</si>
  <si>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</si>
  <si>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</si>
  <si>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</si>
  <si>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</si>
  <si>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</si>
  <si>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</si>
  <si>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</si>
  <si>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</si>
  <si>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</si>
  <si>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</si>
  <si>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</si>
  <si>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</si>
  <si>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</si>
  <si>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</si>
  <si>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</si>
  <si>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</si>
  <si>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</si>
  <si>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</si>
  <si>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</si>
  <si>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</si>
  <si>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</si>
  <si>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</si>
  <si>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</si>
  <si>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</si>
  <si>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</si>
  <si>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</si>
  <si>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</si>
  <si>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</si>
  <si>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</si>
  <si>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</si>
  <si>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</si>
  <si>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</si>
  <si>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</si>
  <si>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</si>
  <si>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</si>
  <si>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</si>
  <si>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</si>
  <si>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</si>
  <si>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</si>
  <si>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</si>
  <si>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</si>
  <si>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</si>
  <si>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</si>
  <si>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</si>
  <si>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</si>
  <si>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</si>
  <si>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</si>
  <si>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</si>
  <si>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</si>
  <si>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</si>
  <si>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</si>
  <si>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</si>
  <si>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</si>
  <si>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</si>
  <si>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</si>
  <si>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</si>
  <si>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</si>
  <si>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</si>
  <si>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</si>
  <si>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</si>
  <si>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</si>
  <si>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</si>
  <si>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</si>
  <si>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</si>
  <si>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</si>
  <si>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</si>
  <si>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</si>
  <si>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</si>
  <si>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</si>
  <si>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</si>
  <si>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</si>
  <si>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</si>
  <si>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</si>
  <si>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</si>
  <si>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</si>
  <si>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</si>
  <si>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</si>
  <si>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</si>
  <si>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</si>
  <si>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</si>
  <si>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</si>
  <si>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</si>
  <si>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</si>
  <si>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</si>
  <si>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</si>
  <si>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</si>
  <si>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</si>
  <si>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</si>
  <si>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</si>
  <si>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</si>
  <si>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</si>
  <si>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</si>
  <si>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</si>
  <si>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</si>
  <si>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</si>
  <si>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</si>
  <si>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</si>
  <si>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</si>
  <si>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</si>
  <si>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</si>
  <si>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</si>
  <si>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</si>
  <si>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</si>
  <si>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</si>
  <si>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</si>
  <si>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</si>
  <si>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</si>
  <si>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</si>
  <si>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</si>
  <si>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</si>
  <si>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</si>
  <si>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</si>
  <si>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</si>
  <si>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</si>
  <si>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</si>
  <si>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</si>
  <si>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</si>
  <si>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</si>
  <si>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</si>
  <si>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</si>
  <si>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</si>
  <si>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</si>
  <si>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</si>
  <si>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</si>
  <si>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</si>
  <si>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</si>
  <si>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</si>
  <si>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</si>
  <si>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</si>
  <si>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</si>
  <si>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</si>
  <si>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</si>
  <si>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</si>
  <si>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</si>
  <si>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</si>
  <si>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</si>
  <si>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</si>
  <si>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</si>
  <si>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</si>
  <si>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</si>
  <si>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</si>
  <si>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</si>
  <si>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</si>
  <si>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</si>
  <si>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</si>
  <si>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</si>
  <si>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</si>
  <si>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</si>
  <si>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</si>
  <si>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</si>
  <si>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</si>
  <si>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</si>
  <si>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</si>
  <si>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</si>
  <si>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</si>
  <si>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</si>
  <si>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</si>
  <si>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</si>
  <si>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</si>
  <si>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</si>
  <si>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</si>
  <si>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</si>
  <si>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</si>
  <si>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</si>
  <si>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</si>
  <si>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</si>
  <si>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</si>
  <si>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</si>
  <si>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</si>
  <si>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</si>
  <si>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</si>
  <si>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</si>
  <si>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</si>
  <si>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</si>
  <si>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</si>
  <si>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</si>
  <si>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</si>
  <si>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</si>
  <si>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</si>
  <si>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</si>
  <si>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</si>
  <si>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</si>
  <si>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</si>
  <si>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</si>
  <si>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</si>
  <si>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</si>
  <si>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</si>
  <si>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</si>
  <si>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</si>
  <si>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</si>
  <si>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</si>
  <si>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</si>
  <si>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</si>
  <si>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</si>
  <si>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</si>
  <si>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</si>
  <si>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</si>
  <si>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</si>
  <si>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</si>
  <si>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</si>
  <si>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</si>
  <si>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</si>
  <si>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</si>
  <si>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</si>
  <si>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</si>
  <si>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</si>
  <si>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</si>
  <si>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</si>
  <si>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</si>
  <si>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</si>
  <si>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</si>
  <si>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</si>
  <si>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</si>
  <si>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</si>
  <si>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</si>
  <si>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</si>
  <si>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</si>
  <si>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</si>
  <si>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</si>
  <si>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</si>
  <si>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</si>
  <si>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</si>
  <si>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</si>
  <si>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</si>
  <si>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</si>
  <si>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</si>
  <si>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</si>
  <si>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</si>
  <si>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</si>
  <si>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</si>
  <si>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</si>
  <si>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</si>
  <si>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</si>
  <si>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</si>
  <si>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</si>
  <si>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</si>
  <si>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</si>
  <si>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</si>
  <si>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</si>
  <si>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</si>
  <si>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</si>
  <si>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</si>
  <si>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</si>
  <si>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</si>
  <si>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</si>
  <si>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</si>
  <si>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</si>
  <si>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</si>
  <si>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</si>
  <si>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</si>
  <si>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</si>
  <si>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</si>
  <si>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</si>
  <si>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</si>
  <si>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</si>
  <si>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</si>
  <si>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</si>
  <si>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</si>
  <si>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</si>
  <si>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</si>
  <si>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</si>
  <si>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</si>
  <si>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</si>
  <si>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</si>
  <si>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</si>
  <si>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</si>
  <si>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</si>
  <si>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</si>
  <si>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</si>
  <si>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</si>
  <si>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</si>
  <si>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</si>
  <si>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</si>
  <si>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</si>
  <si>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</si>
  <si>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</si>
  <si>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</si>
  <si>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</si>
  <si>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</si>
  <si>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</si>
  <si>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</si>
  <si>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</si>
  <si>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</si>
  <si>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</si>
  <si>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</si>
  <si>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</si>
  <si>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</si>
  <si>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</si>
  <si>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</si>
  <si>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</si>
  <si>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</si>
  <si>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</si>
  <si>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</si>
  <si>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</si>
  <si>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</si>
  <si>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</si>
  <si>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</si>
  <si>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</si>
  <si>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</si>
  <si>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</si>
  <si>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</si>
  <si>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</si>
  <si>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</si>
  <si>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</si>
  <si>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</si>
  <si>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</si>
  <si>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</si>
  <si>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</si>
  <si>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</si>
  <si>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</si>
  <si>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</si>
  <si>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</si>
  <si>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</si>
  <si>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</si>
  <si>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</si>
  <si>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</si>
  <si>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</si>
  <si>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</si>
  <si>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</si>
  <si>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</si>
  <si>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</si>
  <si>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</si>
  <si>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</si>
  <si>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</si>
  <si>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</si>
  <si>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</si>
  <si>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</si>
  <si>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</si>
  <si>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</si>
  <si>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</si>
  <si>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</si>
  <si>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</si>
  <si>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</si>
  <si>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</si>
  <si>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</si>
  <si>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</si>
  <si>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</si>
  <si>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</si>
  <si>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</si>
  <si>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</si>
  <si>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</si>
  <si>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</si>
  <si>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</si>
  <si>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</si>
  <si>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</si>
  <si>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</si>
  <si>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</si>
  <si>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</si>
  <si>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</si>
  <si>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</si>
  <si>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</si>
  <si>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</si>
  <si>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</si>
  <si>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</si>
  <si>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</si>
  <si>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</si>
  <si>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</si>
  <si>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</si>
  <si>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</si>
  <si>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</si>
  <si>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</si>
  <si>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</si>
  <si>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</si>
  <si>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</si>
  <si>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</si>
  <si>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</si>
  <si>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</si>
  <si>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</si>
  <si>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</si>
  <si>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</si>
  <si>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</si>
  <si>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</si>
  <si>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</si>
  <si>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</si>
  <si>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</si>
  <si>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</si>
  <si>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</si>
  <si>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</si>
  <si>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</si>
  <si>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</si>
  <si>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</si>
  <si>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</si>
  <si>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</si>
  <si>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</si>
  <si>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</si>
  <si>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</si>
  <si>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</si>
  <si>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</si>
  <si>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</si>
  <si>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</si>
  <si>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</si>
  <si>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</si>
  <si>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</si>
  <si>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</si>
  <si>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</si>
  <si>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</si>
  <si>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</si>
  <si>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</si>
  <si>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</si>
  <si>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</si>
  <si>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</si>
  <si>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</si>
  <si>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</si>
  <si>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</si>
  <si>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</si>
  <si>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</si>
  <si>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</si>
  <si>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</si>
  <si>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</si>
  <si>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</si>
  <si>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</si>
  <si>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</si>
  <si>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</si>
  <si>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</si>
  <si>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</si>
  <si>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</si>
  <si>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</si>
  <si>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</si>
  <si>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</si>
  <si>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</si>
  <si>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</si>
  <si>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</si>
  <si>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</si>
  <si>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</si>
  <si>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</si>
  <si>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</si>
  <si>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</si>
  <si>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</si>
  <si>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</si>
  <si>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</si>
  <si>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</si>
  <si>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</si>
  <si>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</si>
  <si>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</si>
  <si>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</si>
  <si>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</si>
  <si>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</si>
  <si>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</si>
  <si>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</si>
  <si>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</si>
  <si>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</si>
  <si>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</si>
  <si>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</si>
  <si>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</si>
  <si>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</si>
  <si>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</si>
  <si>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</si>
  <si>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</si>
  <si>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</si>
  <si>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</si>
  <si>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</si>
  <si>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</si>
  <si>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</si>
  <si>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</si>
  <si>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</si>
  <si>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</si>
  <si>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</si>
  <si>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</si>
  <si>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</si>
  <si>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</si>
  <si>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</si>
  <si>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</si>
  <si>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</si>
  <si>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</si>
  <si>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</si>
  <si>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</si>
  <si>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</si>
  <si>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</si>
  <si>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</si>
  <si>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</si>
  <si>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</si>
  <si>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</si>
  <si>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</si>
  <si>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</si>
  <si>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</si>
  <si>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</si>
  <si>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</si>
  <si>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</si>
  <si>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</si>
  <si>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</si>
  <si>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</si>
  <si>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</si>
  <si>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</si>
  <si>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</si>
  <si>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</si>
  <si>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</si>
  <si>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</si>
  <si>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</si>
  <si>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</si>
  <si>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</si>
  <si>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</si>
  <si>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</si>
  <si>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</si>
  <si>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</si>
  <si>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</si>
  <si>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</si>
  <si>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</si>
  <si>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</si>
  <si>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</si>
  <si>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</si>
  <si>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</si>
  <si>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</si>
  <si>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</si>
  <si>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</si>
  <si>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</si>
  <si>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</si>
  <si>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</si>
  <si>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</si>
  <si>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</si>
  <si>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</si>
  <si>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</si>
  <si>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</si>
  <si>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</si>
  <si>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</si>
  <si>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</si>
  <si>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</si>
  <si>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</si>
  <si>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</si>
  <si>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</si>
  <si>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</si>
  <si>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</si>
  <si>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</si>
  <si>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</si>
  <si>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</si>
  <si>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</si>
  <si>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</si>
  <si>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</si>
  <si>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</si>
  <si>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</si>
  <si>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</si>
  <si>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</si>
  <si>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</si>
  <si>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</si>
  <si>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</si>
  <si>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</si>
  <si>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</si>
  <si>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</si>
  <si>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</si>
  <si>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</si>
  <si>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</si>
  <si>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</si>
  <si>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</si>
  <si>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</si>
  <si>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</si>
  <si>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</si>
  <si>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</si>
  <si>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</si>
  <si>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</si>
  <si>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</si>
  <si>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</si>
  <si>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</si>
  <si>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</si>
  <si>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</si>
  <si>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</si>
  <si>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</si>
  <si>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</si>
  <si>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</si>
  <si>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</si>
  <si>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</si>
  <si>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</si>
  <si>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</si>
  <si>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</si>
  <si>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</si>
  <si>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</si>
  <si>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</si>
  <si>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</si>
  <si>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</si>
  <si>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</si>
  <si>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</si>
  <si>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</si>
  <si>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</si>
  <si>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</si>
  <si>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</si>
  <si>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</si>
  <si>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</si>
  <si>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</si>
  <si>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</si>
  <si>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</si>
  <si>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</si>
  <si>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</si>
  <si>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</si>
  <si>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</si>
  <si>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</si>
  <si>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</si>
  <si>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</si>
  <si>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</si>
  <si>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</si>
  <si>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</si>
  <si>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</si>
  <si>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</si>
  <si>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</si>
  <si>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</si>
  <si>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</si>
  <si>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</si>
  <si>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</si>
  <si>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</si>
  <si>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</si>
  <si>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</si>
  <si>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</si>
  <si>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</si>
  <si>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</si>
  <si>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</si>
  <si>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</si>
  <si>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</si>
  <si>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</si>
  <si>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</si>
  <si>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</si>
  <si>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</si>
  <si>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</si>
  <si>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</si>
  <si>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</si>
  <si>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</si>
  <si>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</si>
  <si>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</si>
  <si>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</si>
  <si>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</si>
  <si>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</si>
  <si>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</si>
  <si>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</si>
  <si>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</si>
  <si>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</si>
  <si>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</si>
  <si>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</si>
  <si>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</si>
  <si>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</si>
  <si>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</si>
  <si>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</si>
  <si>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</si>
  <si>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</si>
  <si>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</si>
  <si>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</si>
  <si>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</si>
  <si>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</si>
  <si>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</si>
  <si>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</si>
  <si>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</si>
  <si>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</si>
  <si>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</si>
  <si>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</si>
  <si>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</si>
  <si>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</si>
  <si>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</si>
  <si>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</si>
  <si>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</si>
  <si>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</si>
  <si>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</si>
  <si>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</si>
  <si>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</si>
  <si>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</si>
  <si>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</si>
  <si>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</si>
  <si>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</si>
  <si>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</si>
  <si>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</si>
  <si>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</si>
  <si>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</si>
  <si>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</si>
  <si>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</si>
  <si>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</si>
  <si>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</si>
  <si>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</si>
  <si>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</si>
  <si>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</si>
  <si>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</si>
  <si>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</si>
  <si>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</si>
  <si>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</si>
  <si>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</si>
  <si>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</si>
  <si>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</si>
  <si>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</si>
  <si>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</si>
  <si>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</si>
  <si>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</si>
  <si>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</si>
  <si>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</si>
  <si>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</si>
  <si>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</si>
  <si>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</si>
  <si>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</si>
  <si>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</si>
  <si>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</si>
  <si>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</si>
  <si>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</si>
  <si>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</si>
  <si>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</si>
  <si>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</si>
  <si>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</si>
  <si>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</si>
  <si>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</si>
  <si>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</si>
  <si>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</si>
  <si>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</si>
  <si>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</si>
  <si>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</si>
  <si>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</si>
  <si>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</si>
  <si>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</si>
  <si>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</si>
  <si>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</si>
  <si>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</si>
  <si>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</si>
  <si>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</si>
  <si>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</si>
  <si>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</si>
  <si>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</si>
  <si>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</si>
  <si>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</si>
  <si>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</si>
  <si>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</si>
  <si>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</si>
  <si>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</si>
  <si>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</si>
  <si>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</si>
  <si>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</si>
  <si>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</si>
  <si>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</si>
  <si>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</si>
  <si>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</si>
  <si>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</si>
  <si>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</si>
  <si>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</si>
  <si>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</si>
  <si>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</si>
  <si>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</si>
  <si>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</si>
  <si>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</si>
  <si>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</si>
  <si>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</si>
  <si>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</si>
  <si>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</si>
  <si>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</si>
  <si>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</si>
  <si>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</si>
  <si>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</si>
  <si>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</si>
  <si>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</si>
  <si>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</si>
  <si>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</si>
  <si>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</si>
  <si>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</si>
  <si>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</si>
  <si>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</si>
  <si>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</si>
  <si>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</si>
  <si>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</si>
  <si>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</si>
  <si>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</si>
  <si>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</si>
  <si>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</si>
  <si>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</si>
  <si>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</si>
  <si>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</si>
  <si>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</si>
  <si>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</si>
  <si>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</si>
  <si>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</si>
  <si>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</si>
  <si>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</si>
  <si>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</si>
  <si>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</si>
  <si>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</si>
  <si>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</si>
  <si>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</si>
  <si>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</si>
  <si>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</si>
  <si>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</si>
  <si>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</si>
  <si>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</si>
  <si>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</si>
  <si>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</si>
  <si>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</si>
  <si>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</si>
  <si>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</si>
  <si>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</si>
  <si>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</si>
  <si>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</si>
  <si>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</si>
  <si>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</si>
  <si>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</si>
  <si>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</si>
  <si>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</si>
  <si>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</si>
  <si>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</si>
  <si>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</si>
  <si>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</si>
  <si>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</si>
  <si>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</si>
  <si>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</si>
  <si>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</si>
  <si>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</si>
  <si>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</si>
  <si>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</si>
  <si>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</si>
  <si>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</si>
  <si>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</si>
  <si>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</si>
  <si>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</si>
  <si>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</si>
  <si>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</si>
  <si>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</si>
  <si>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</si>
  <si>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</si>
  <si>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</si>
  <si>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</si>
  <si>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</si>
  <si>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</si>
  <si>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</si>
  <si>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</si>
  <si>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</si>
  <si>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</si>
  <si>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</si>
  <si>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</si>
  <si>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</si>
  <si>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</si>
  <si>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</si>
  <si>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</si>
  <si>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</si>
  <si>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</si>
  <si>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</si>
  <si>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</si>
  <si>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</si>
  <si>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</si>
  <si>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</si>
  <si>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</si>
  <si>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</si>
  <si>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</si>
  <si>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</si>
  <si>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</si>
  <si>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</si>
  <si>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</si>
  <si>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</si>
  <si>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</si>
  <si>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</si>
  <si>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</si>
  <si>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</si>
  <si>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</si>
  <si>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</si>
  <si>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</si>
  <si>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</si>
  <si>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</si>
  <si>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</si>
  <si>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</si>
  <si>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</si>
  <si>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</si>
  <si>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</si>
  <si>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</si>
  <si>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</si>
  <si>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</si>
  <si>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</si>
  <si>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</si>
  <si>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</si>
  <si>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</si>
  <si>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</si>
  <si>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</si>
  <si>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</si>
  <si>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</si>
  <si>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</si>
  <si>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</si>
  <si>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</si>
  <si>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</si>
  <si>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</si>
  <si>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</si>
  <si>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</si>
  <si>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</si>
  <si>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</si>
  <si>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</si>
  <si>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</si>
  <si>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</si>
  <si>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</si>
  <si>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</si>
  <si>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</si>
  <si>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</si>
  <si>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</si>
  <si>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</si>
  <si>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</si>
  <si>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</si>
  <si>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</si>
  <si>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</si>
  <si>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</si>
  <si>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</si>
  <si>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</si>
  <si>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</si>
  <si>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</si>
  <si>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</si>
  <si>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</si>
  <si>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</si>
  <si>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</si>
  <si>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</si>
  <si>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</si>
  <si>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</si>
  <si>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</si>
  <si>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</si>
  <si>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</si>
  <si>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</si>
  <si>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</si>
  <si>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</si>
  <si>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</si>
  <si>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</si>
  <si>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</si>
  <si>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</si>
  <si>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</si>
  <si>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</si>
  <si>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</si>
  <si>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</si>
  <si>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</si>
  <si>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</si>
  <si>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</si>
  <si>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</si>
  <si>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</si>
  <si>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</si>
  <si>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</si>
  <si>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</si>
  <si>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</si>
  <si>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</si>
  <si>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</si>
  <si>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</si>
  <si>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</si>
  <si>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</si>
  <si>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</si>
  <si>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</si>
  <si>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</si>
  <si>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</si>
  <si>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</si>
  <si>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</si>
  <si>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</si>
  <si>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</si>
  <si>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</si>
  <si>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</si>
  <si>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</si>
  <si>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</si>
  <si>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</si>
  <si>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</si>
  <si>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</si>
  <si>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</si>
  <si>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</si>
  <si>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</si>
  <si>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</si>
  <si>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</si>
  <si>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</si>
  <si>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</si>
  <si>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</si>
  <si>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</si>
  <si>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</si>
  <si>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</si>
  <si>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</si>
  <si>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</si>
  <si>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</si>
  <si>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</si>
  <si>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</si>
  <si>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</si>
  <si>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</si>
  <si>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</si>
  <si>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</si>
  <si>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</si>
  <si>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</si>
  <si>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</si>
  <si>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</si>
  <si>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</si>
  <si>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</si>
  <si>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</si>
  <si>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</si>
  <si>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</si>
  <si>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</si>
  <si>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</si>
  <si>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</si>
  <si>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</si>
  <si>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</si>
  <si>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</si>
  <si>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</si>
  <si>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</si>
  <si>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</si>
  <si>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</si>
  <si>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</si>
  <si>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</si>
  <si>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</si>
  <si>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</si>
  <si>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</si>
  <si>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</si>
  <si>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</si>
  <si>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</si>
  <si>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</si>
  <si>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</si>
  <si>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</si>
  <si>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</si>
  <si>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</si>
  <si>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</si>
  <si>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</si>
  <si>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</si>
  <si>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</si>
  <si>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</si>
  <si>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</si>
  <si>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</si>
  <si>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</si>
  <si>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</si>
  <si>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</si>
  <si>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</si>
  <si>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</si>
  <si>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</si>
  <si>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</si>
  <si>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</si>
  <si>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</si>
  <si>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</si>
  <si>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</si>
  <si>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</si>
  <si>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</si>
  <si>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</si>
  <si>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</si>
  <si>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</si>
  <si>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</si>
  <si>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</si>
  <si>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</si>
  <si>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</si>
  <si>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</si>
  <si>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</si>
  <si>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</si>
  <si>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</si>
  <si>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</si>
  <si>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</si>
  <si>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</si>
  <si>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</si>
  <si>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</si>
  <si>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</si>
  <si>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</si>
  <si>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</si>
  <si>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</si>
  <si>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</si>
  <si>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</si>
  <si>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</si>
  <si>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</si>
  <si>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</si>
  <si>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</si>
  <si>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</si>
  <si>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</si>
  <si>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</si>
  <si>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</si>
  <si>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</si>
  <si>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</si>
  <si>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</si>
  <si>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</si>
  <si>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</si>
  <si>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</si>
  <si>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</si>
  <si>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</si>
  <si>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</si>
  <si>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</si>
  <si>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</si>
  <si>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</si>
  <si>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</si>
  <si>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</si>
  <si>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</si>
  <si>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</si>
  <si>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</si>
  <si>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</si>
  <si>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</si>
  <si>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</si>
  <si>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</si>
  <si>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</si>
  <si>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</si>
  <si>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</si>
  <si>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</si>
  <si>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</si>
  <si>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</si>
  <si>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</si>
  <si>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</si>
  <si>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</si>
  <si>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</si>
  <si>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</si>
  <si>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</si>
  <si>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</si>
  <si>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</si>
  <si>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</si>
  <si>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</si>
  <si>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</si>
  <si>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</si>
  <si>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</si>
  <si>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</si>
  <si>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</si>
  <si>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</si>
  <si>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</si>
  <si>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</si>
  <si>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</si>
  <si>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</si>
  <si>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</si>
  <si>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</si>
  <si>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</si>
  <si>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</si>
  <si>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</si>
  <si>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</si>
  <si>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</si>
  <si>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</si>
  <si>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</si>
  <si>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</si>
  <si>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</si>
  <si>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</si>
  <si>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</si>
  <si>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</si>
  <si>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</si>
  <si>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</si>
  <si>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</si>
  <si>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</si>
  <si>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</si>
  <si>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</si>
  <si>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</si>
  <si>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</si>
  <si>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</si>
  <si>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</si>
  <si>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</si>
  <si>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</si>
  <si>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</si>
  <si>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</si>
  <si>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</si>
  <si>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</si>
  <si>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</si>
  <si>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</si>
  <si>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</si>
  <si>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</si>
  <si>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</si>
  <si>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</si>
  <si>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</si>
  <si>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</si>
  <si>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</si>
  <si>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</si>
  <si>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</si>
  <si>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</si>
  <si>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</si>
  <si>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</si>
  <si>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</si>
  <si>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</si>
  <si>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</si>
  <si>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</si>
  <si>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</si>
  <si>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</si>
  <si>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</si>
  <si>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</si>
  <si>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</si>
  <si>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</si>
  <si>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</si>
  <si>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</si>
  <si>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</si>
  <si>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</si>
  <si>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</si>
  <si>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</si>
  <si>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</si>
  <si>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</si>
  <si>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</si>
  <si>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</si>
  <si>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</si>
  <si>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</si>
  <si>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</si>
  <si>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</si>
  <si>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</si>
  <si>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</si>
  <si>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</si>
  <si>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</si>
  <si>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</si>
  <si>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</si>
  <si>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</si>
  <si>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</si>
  <si>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</si>
  <si>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</si>
  <si>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</si>
  <si>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</si>
  <si>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</si>
  <si>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</si>
  <si>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</si>
  <si>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</si>
  <si>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</si>
  <si>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</si>
  <si>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</si>
  <si>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</si>
  <si>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</si>
  <si>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</si>
  <si>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</si>
  <si>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</si>
  <si>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</si>
  <si>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</si>
  <si>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</si>
  <si>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</si>
  <si>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</si>
  <si>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</si>
  <si>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</si>
  <si>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</si>
  <si>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</si>
  <si>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</si>
  <si>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</si>
  <si>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</si>
  <si>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</si>
  <si>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</si>
  <si>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</si>
  <si>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</si>
  <si>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</si>
  <si>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</si>
  <si>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</si>
  <si>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</si>
  <si>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</si>
  <si>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</si>
  <si>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</si>
  <si>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</si>
  <si>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</si>
  <si>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</si>
  <si>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</si>
  <si>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</si>
  <si>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</si>
  <si>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</si>
  <si>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</si>
  <si>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</si>
  <si>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</si>
  <si>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</si>
  <si>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</si>
  <si>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</si>
  <si>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</si>
  <si>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</si>
  <si>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</si>
  <si>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</si>
  <si>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</si>
  <si>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</si>
  <si>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</si>
  <si>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</si>
  <si>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</si>
  <si>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</si>
  <si>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</si>
  <si>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</si>
  <si>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</si>
  <si>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</si>
  <si>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</si>
  <si>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</si>
  <si>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</si>
  <si>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</si>
  <si>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</si>
  <si>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</si>
  <si>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</si>
  <si>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</si>
  <si>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</si>
  <si>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</si>
  <si>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</si>
  <si>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</si>
  <si>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</si>
  <si>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</si>
  <si>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</si>
  <si>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</si>
  <si>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</si>
  <si>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</si>
  <si>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</si>
  <si>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</si>
  <si>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</si>
  <si>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</si>
  <si>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</si>
  <si>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</si>
  <si>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</si>
  <si>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</si>
  <si>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</si>
  <si>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</si>
  <si>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</si>
  <si>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</si>
  <si>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</si>
  <si>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</si>
  <si>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</si>
  <si>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</si>
  <si>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</si>
  <si>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</si>
  <si>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</si>
  <si>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</si>
  <si>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</si>
  <si>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</si>
  <si>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</si>
  <si>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</si>
  <si>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</si>
  <si>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</si>
  <si>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</si>
  <si>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</si>
  <si>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</si>
  <si>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</si>
  <si>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</si>
  <si>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</si>
  <si>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</si>
  <si>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</si>
  <si>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</si>
  <si>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</si>
  <si>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</si>
  <si>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</si>
  <si>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</si>
  <si>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</si>
  <si>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</si>
  <si>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</si>
  <si>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</si>
  <si>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</si>
  <si>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</si>
  <si>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</si>
  <si>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</si>
  <si>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</si>
  <si>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</si>
  <si>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</si>
  <si>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</si>
  <si>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</si>
  <si>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</si>
  <si>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</si>
  <si>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</si>
  <si>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</si>
  <si>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</si>
  <si>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</si>
  <si>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</si>
  <si>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</si>
  <si>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</si>
  <si>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</si>
  <si>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</si>
  <si>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</si>
  <si>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</si>
  <si>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</si>
  <si>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</si>
  <si>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</si>
  <si>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</si>
  <si>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</si>
  <si>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</si>
  <si>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</si>
  <si>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</si>
  <si>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</si>
  <si>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</si>
  <si>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</si>
  <si>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</si>
  <si>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</si>
  <si>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</si>
  <si>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</si>
  <si>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</si>
  <si>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</si>
  <si>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</si>
  <si>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</si>
  <si>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</si>
  <si>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</si>
  <si>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</si>
  <si>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</si>
  <si>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</si>
  <si>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</si>
  <si>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</si>
  <si>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</si>
  <si>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</si>
  <si>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</si>
  <si>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</si>
  <si>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</si>
  <si>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</si>
  <si>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</si>
  <si>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</si>
  <si>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</si>
  <si>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</si>
  <si>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</si>
  <si>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</si>
  <si>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</si>
  <si>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</si>
  <si>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</si>
  <si>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</si>
  <si>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</si>
  <si>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</si>
  <si>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</si>
  <si>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</si>
  <si>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</si>
  <si>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</si>
  <si>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</si>
  <si>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</si>
  <si>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</si>
  <si>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</si>
  <si>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</si>
  <si>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</si>
  <si>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</si>
  <si>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</si>
  <si>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</si>
  <si>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</si>
  <si>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</si>
  <si>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</si>
  <si>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</si>
  <si>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</si>
  <si>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</si>
  <si>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</si>
  <si>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</si>
  <si>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</si>
  <si>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</si>
  <si>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</si>
  <si>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</si>
  <si>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</si>
  <si>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</si>
  <si>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</si>
  <si>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</si>
  <si>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</si>
  <si>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</si>
  <si>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</si>
  <si>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</si>
  <si>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</si>
  <si>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</si>
  <si>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</si>
  <si>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</si>
  <si>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</si>
  <si>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</si>
  <si>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</si>
  <si>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</si>
  <si>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</si>
  <si>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</si>
  <si>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</si>
  <si>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</si>
  <si>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</si>
  <si>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</si>
  <si>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</si>
  <si>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</si>
  <si>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</si>
  <si>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</si>
  <si>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</si>
  <si>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</si>
  <si>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</si>
  <si>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</si>
  <si>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</si>
  <si>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</si>
  <si>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</si>
  <si>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</si>
  <si>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</si>
  <si>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</si>
  <si>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</si>
  <si>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</si>
  <si>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</si>
  <si>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</si>
  <si>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</si>
  <si>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</si>
  <si>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</si>
  <si>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</si>
  <si>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</si>
  <si>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</si>
  <si>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</si>
  <si>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</si>
  <si>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</si>
  <si>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</si>
  <si>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</si>
  <si>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</si>
  <si>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</si>
  <si>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</si>
  <si>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</si>
  <si>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</si>
  <si>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</si>
  <si>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</si>
  <si>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</si>
  <si>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</si>
  <si>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</si>
  <si>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</si>
  <si>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</si>
  <si>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</si>
  <si>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</si>
  <si>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</si>
  <si>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</si>
  <si>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</si>
  <si>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</si>
  <si>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</si>
  <si>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</si>
  <si>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</si>
  <si>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</si>
  <si>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</si>
  <si>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</si>
  <si>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</si>
  <si>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</si>
  <si>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</si>
  <si>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</si>
  <si>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</si>
  <si>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</si>
  <si>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</si>
  <si>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</si>
  <si>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</si>
  <si>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</si>
  <si>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</si>
  <si>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</si>
  <si>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</si>
  <si>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</si>
  <si>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</si>
  <si>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</si>
  <si>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</si>
  <si>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</si>
  <si>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</si>
  <si>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</si>
  <si>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</si>
  <si>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</si>
  <si>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</si>
  <si>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</si>
  <si>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</si>
  <si>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</si>
  <si>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</si>
  <si>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</si>
  <si>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</si>
  <si>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</si>
  <si>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</si>
  <si>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</si>
  <si>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</si>
  <si>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</si>
  <si>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</si>
  <si>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</si>
  <si>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</si>
  <si>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</si>
  <si>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</si>
  <si>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</si>
  <si>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</si>
  <si>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</si>
  <si>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</si>
  <si>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</si>
  <si>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</si>
  <si>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</si>
  <si>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</si>
  <si>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</si>
  <si>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</si>
  <si>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</si>
  <si>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</si>
  <si>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</si>
  <si>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</si>
  <si>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</si>
  <si>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</si>
  <si>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</si>
  <si>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</si>
  <si>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</si>
  <si>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</si>
  <si>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</si>
  <si>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</si>
  <si>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</si>
  <si>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</si>
  <si>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</si>
  <si>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</si>
  <si>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</si>
  <si>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</si>
  <si>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</si>
  <si>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</si>
  <si>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</si>
  <si>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</si>
  <si>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</si>
  <si>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</si>
  <si>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</si>
  <si>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</si>
  <si>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</si>
  <si>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</si>
  <si>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</si>
  <si>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</si>
  <si>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</si>
  <si>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</si>
  <si>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</si>
  <si>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</si>
  <si>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</si>
  <si>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</si>
  <si>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</si>
  <si>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</si>
  <si>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</si>
  <si>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</si>
  <si>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</si>
  <si>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</si>
  <si>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</si>
  <si>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</si>
  <si>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</si>
  <si>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</si>
  <si>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</si>
  <si>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</si>
  <si>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</si>
  <si>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</si>
  <si>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</si>
  <si>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</si>
  <si>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</si>
  <si>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</si>
  <si>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</si>
  <si>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</si>
  <si>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</si>
  <si>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</si>
  <si>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</si>
  <si>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</si>
  <si>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</si>
  <si>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</si>
  <si>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</si>
  <si>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</si>
  <si>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</si>
  <si>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</si>
  <si>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</si>
  <si>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</si>
  <si>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</si>
  <si>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</si>
  <si>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</si>
  <si>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</si>
  <si>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</si>
  <si>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</si>
  <si>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</si>
  <si>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</si>
  <si>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</si>
  <si>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</si>
  <si>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</si>
  <si>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</si>
  <si>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</si>
  <si>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</si>
  <si>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</si>
  <si>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</si>
  <si>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</si>
  <si>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</si>
  <si>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</si>
  <si>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</si>
  <si>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</si>
  <si>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</si>
  <si>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</si>
  <si>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</si>
  <si>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</si>
  <si>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</si>
  <si>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</si>
  <si>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</si>
  <si>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</si>
  <si>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</si>
  <si>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</si>
  <si>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</si>
  <si>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</si>
  <si>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</si>
  <si>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</si>
  <si>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</si>
  <si>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</si>
  <si>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</si>
  <si>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</si>
  <si>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</si>
  <si>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</si>
  <si>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</si>
  <si>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</si>
  <si>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</si>
  <si>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</si>
  <si>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</si>
  <si>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</si>
  <si>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</si>
  <si>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</si>
  <si>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</si>
  <si>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</si>
  <si>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</si>
  <si>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</si>
  <si>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</si>
  <si>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</si>
  <si>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</si>
  <si>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</si>
  <si>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</si>
  <si>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</si>
  <si>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</si>
  <si>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</si>
  <si>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</si>
  <si>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</si>
  <si>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</si>
  <si>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</si>
  <si>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</si>
  <si>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</si>
  <si>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</si>
  <si>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</si>
  <si>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</si>
  <si>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</si>
  <si>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</si>
  <si>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</si>
  <si>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</si>
  <si>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</si>
  <si>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</si>
  <si>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</si>
  <si>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</si>
  <si>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</si>
  <si>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</si>
  <si>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</si>
  <si>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</si>
  <si>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</si>
  <si>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</si>
  <si>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</si>
  <si>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</si>
  <si>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</si>
  <si>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</si>
  <si>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</si>
  <si>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</si>
  <si>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</si>
  <si>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</si>
  <si>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</si>
  <si>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</si>
  <si>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</si>
  <si>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</si>
  <si>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</si>
  <si>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</si>
  <si>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</si>
  <si>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</si>
  <si>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</si>
  <si>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</si>
  <si>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</si>
  <si>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</si>
  <si>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</si>
  <si>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</si>
  <si>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</si>
  <si>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</si>
  <si>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</si>
  <si>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</si>
  <si>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</si>
  <si>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</si>
  <si>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</si>
  <si>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</si>
  <si>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</si>
  <si>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</si>
  <si>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</si>
  <si>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</si>
  <si>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</si>
  <si>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</si>
  <si>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</si>
  <si>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</si>
  <si>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</si>
  <si>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</si>
  <si>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</si>
  <si>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</si>
  <si>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</si>
  <si>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</si>
  <si>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</si>
  <si>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</si>
  <si>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</si>
  <si>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</si>
  <si>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</si>
  <si>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</si>
  <si>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</si>
  <si>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</si>
  <si>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</si>
  <si>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</si>
  <si>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</si>
  <si>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</si>
  <si>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</si>
  <si>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</si>
  <si>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</si>
  <si>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</si>
  <si>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</si>
  <si>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</si>
  <si>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</si>
  <si>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</si>
  <si>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</si>
  <si>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</si>
  <si>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</si>
  <si>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</si>
  <si>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</si>
  <si>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</si>
  <si>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</si>
  <si>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</si>
  <si>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</si>
  <si>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</si>
  <si>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</si>
  <si>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</si>
  <si>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</si>
  <si>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</si>
  <si>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</si>
  <si>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</si>
  <si>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</si>
  <si>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</si>
  <si>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</si>
  <si>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</si>
  <si>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</si>
  <si>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</si>
  <si>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</si>
  <si>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</si>
  <si>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</si>
  <si>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</si>
  <si>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</si>
  <si>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</si>
  <si>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</si>
  <si>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</si>
  <si>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</si>
  <si>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</si>
  <si>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</si>
  <si>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</si>
  <si>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</si>
  <si>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</si>
  <si>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</si>
  <si>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</si>
  <si>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</si>
  <si>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</si>
  <si>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</si>
  <si>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</si>
  <si>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</si>
  <si>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</si>
  <si>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</si>
  <si>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</si>
  <si>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</si>
  <si>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</si>
  <si>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</si>
  <si>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</si>
  <si>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</si>
  <si>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</si>
  <si>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</si>
  <si>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</si>
  <si>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</si>
  <si>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</si>
  <si>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</si>
  <si>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</si>
  <si>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</si>
  <si>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</si>
  <si>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</si>
  <si>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</si>
  <si>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</si>
  <si>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</si>
  <si>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</si>
  <si>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</si>
  <si>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</si>
  <si>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</si>
  <si>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</si>
  <si>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</si>
  <si>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</si>
  <si>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</si>
  <si>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</si>
  <si>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</si>
  <si>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</si>
  <si>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</si>
  <si>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</si>
  <si>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</si>
  <si>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</si>
  <si>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</si>
  <si>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</si>
  <si>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</si>
  <si>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</si>
  <si>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</si>
  <si>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</si>
  <si>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</si>
  <si>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</si>
  <si>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</si>
  <si>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</si>
  <si>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</si>
  <si>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</si>
  <si>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</si>
  <si>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</si>
  <si>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</si>
  <si>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</si>
  <si>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</si>
  <si>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</si>
  <si>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</si>
  <si>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</si>
  <si>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</si>
  <si>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</si>
  <si>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</si>
  <si>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</si>
  <si>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</si>
  <si>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</si>
  <si>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</si>
  <si>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</si>
  <si>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</si>
  <si>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</si>
  <si>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</si>
  <si>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</si>
  <si>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</si>
  <si>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</si>
  <si>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</si>
  <si>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</si>
  <si>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</si>
  <si>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</si>
  <si>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</si>
  <si>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</si>
  <si>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</si>
  <si>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</si>
  <si>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</si>
  <si>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</si>
  <si>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</si>
  <si>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</si>
  <si>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</si>
  <si>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</si>
  <si>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</si>
  <si>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</si>
  <si>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</si>
  <si>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</si>
  <si>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</si>
  <si>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</si>
  <si>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</si>
  <si>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</si>
  <si>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</si>
  <si>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</si>
  <si>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</si>
  <si>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</si>
  <si>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</si>
  <si>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</si>
  <si>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</si>
  <si>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</si>
  <si>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</si>
  <si>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</si>
  <si>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</si>
  <si>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</si>
  <si>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</si>
  <si>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</si>
  <si>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</si>
  <si>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</si>
  <si>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</si>
  <si>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</si>
  <si>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</si>
  <si>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</si>
  <si>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</si>
  <si>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</si>
  <si>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</si>
  <si>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</si>
  <si>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</si>
  <si>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</si>
  <si>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</si>
  <si>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</si>
  <si>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</si>
  <si>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</si>
  <si>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</si>
  <si>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</si>
  <si>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</si>
  <si>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</si>
  <si>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</si>
  <si>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</si>
  <si>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</si>
  <si>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</si>
  <si>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</si>
  <si>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</si>
  <si>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</si>
  <si>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</si>
  <si>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</si>
  <si>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</si>
  <si>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</si>
  <si>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</si>
  <si>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</si>
  <si>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</si>
  <si>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</si>
  <si>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</si>
  <si>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</si>
  <si>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</si>
  <si>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</si>
  <si>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</si>
  <si>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</si>
  <si>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</si>
  <si>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</si>
  <si>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</si>
  <si>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</si>
  <si>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</si>
  <si>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</si>
  <si>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</si>
  <si>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</si>
  <si>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</si>
  <si>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</si>
  <si>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</si>
  <si>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</si>
  <si>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</si>
  <si>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</si>
  <si>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</si>
  <si>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</si>
  <si>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</si>
  <si>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</si>
  <si>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</si>
  <si>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</si>
  <si>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</si>
  <si>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</si>
  <si>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</si>
  <si>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</si>
  <si>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</si>
  <si>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</si>
  <si>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</si>
  <si>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</si>
  <si>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</si>
  <si>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</si>
  <si>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</si>
  <si>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</si>
  <si>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</si>
  <si>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</si>
  <si>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</si>
  <si>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</si>
  <si>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</si>
  <si>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</si>
  <si>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</si>
  <si>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</si>
  <si>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</si>
  <si>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</si>
  <si>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</si>
  <si>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</si>
  <si>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</si>
  <si>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</si>
  <si>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</si>
  <si>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</si>
  <si>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</si>
  <si>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</si>
  <si>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</si>
  <si>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</si>
  <si>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</si>
  <si>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</si>
  <si>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</si>
  <si>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</si>
  <si>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</si>
  <si>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</si>
  <si>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</si>
  <si>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</si>
  <si>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</si>
  <si>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</si>
  <si>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</si>
  <si>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</si>
  <si>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</si>
  <si>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</si>
  <si>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</si>
  <si>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</si>
  <si>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</si>
  <si>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</si>
  <si>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</si>
  <si>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</si>
  <si>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</si>
  <si>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</si>
  <si>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</si>
  <si>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</si>
  <si>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</si>
  <si>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</si>
  <si>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</si>
  <si>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</si>
  <si>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</si>
  <si>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</si>
  <si>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</si>
  <si>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</si>
  <si>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</si>
  <si>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</si>
  <si>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</si>
  <si>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</si>
  <si>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</si>
  <si>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</si>
  <si>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</si>
  <si>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</si>
  <si>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</si>
  <si>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</si>
  <si>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</si>
  <si>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</si>
  <si>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</si>
  <si>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</si>
  <si>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</si>
  <si>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</si>
  <si>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</si>
  <si>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</si>
  <si>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</si>
  <si>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</si>
  <si>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</si>
  <si>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</si>
  <si>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</si>
  <si>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</si>
  <si>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</si>
  <si>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</si>
  <si>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</si>
  <si>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</si>
  <si>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</si>
  <si>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</si>
  <si>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</si>
  <si>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</si>
  <si>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</si>
  <si>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</si>
  <si>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</si>
  <si>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</si>
  <si>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</si>
  <si>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</si>
  <si>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</si>
  <si>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</si>
  <si>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</si>
  <si>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</si>
  <si>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</si>
  <si>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</si>
  <si>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</si>
  <si>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</si>
  <si>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</si>
  <si>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</si>
  <si>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</si>
  <si>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</si>
  <si>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</si>
  <si>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</si>
  <si>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</si>
  <si>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</si>
  <si>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</si>
  <si>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</si>
  <si>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</si>
  <si>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</si>
  <si>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</si>
  <si>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</si>
  <si>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</si>
  <si>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</si>
  <si>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</si>
  <si>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</si>
  <si>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</si>
  <si>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</si>
  <si>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</si>
  <si>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</si>
  <si>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</si>
  <si>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</si>
  <si>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</si>
  <si>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</si>
  <si>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</si>
  <si>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</si>
  <si>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</si>
  <si>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</si>
  <si>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</si>
  <si>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</si>
  <si>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</si>
  <si>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</si>
  <si>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</si>
  <si>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</si>
  <si>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</si>
  <si>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</si>
  <si>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</si>
  <si>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</si>
  <si>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</si>
  <si>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</si>
  <si>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</si>
  <si>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</si>
  <si>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</si>
  <si>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</si>
  <si>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</si>
  <si>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</si>
  <si>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</si>
  <si>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</si>
  <si>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</si>
  <si>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</si>
  <si>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</si>
  <si>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</si>
  <si>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</si>
  <si>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</si>
  <si>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</si>
  <si>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</si>
  <si>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</si>
  <si>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</si>
  <si>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</si>
  <si>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</si>
  <si>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</si>
  <si>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</si>
  <si>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</si>
  <si>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</si>
  <si>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</si>
  <si>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</si>
  <si>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</si>
  <si>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</si>
  <si>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</si>
  <si>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</si>
  <si>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</si>
  <si>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</si>
  <si>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</si>
  <si>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</si>
  <si>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</si>
  <si>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</si>
  <si>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</si>
  <si>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</si>
  <si>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</si>
  <si>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</si>
  <si>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</si>
  <si>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</si>
  <si>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</si>
  <si>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</si>
  <si>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</si>
  <si>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</si>
  <si>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</si>
  <si>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</si>
  <si>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</si>
  <si>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</si>
  <si>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</si>
  <si>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</si>
  <si>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</si>
  <si>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</si>
  <si>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</si>
  <si>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</si>
  <si>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</si>
  <si>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</si>
  <si>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</si>
  <si>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</si>
  <si>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</si>
  <si>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</si>
  <si>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</si>
  <si>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</si>
  <si>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</si>
  <si>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</si>
  <si>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</si>
  <si>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</si>
  <si>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</si>
  <si>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</si>
  <si>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</si>
  <si>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</si>
  <si>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</si>
  <si>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</si>
  <si>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</si>
  <si>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</si>
  <si>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</si>
  <si>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</si>
  <si>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</si>
  <si>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</si>
  <si>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</si>
  <si>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</si>
  <si>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</si>
  <si>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</si>
  <si>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</si>
  <si>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</si>
  <si>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</si>
  <si>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</si>
  <si>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</si>
  <si>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</si>
  <si>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</si>
  <si>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</si>
  <si>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</si>
  <si>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</si>
  <si>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</si>
  <si>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</si>
  <si>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</si>
  <si>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</si>
  <si>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</si>
  <si>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</si>
  <si>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</si>
  <si>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</si>
  <si>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</si>
  <si>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</si>
  <si>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</si>
  <si>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</si>
  <si>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</si>
  <si>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</si>
  <si>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</si>
  <si>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</si>
  <si>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</si>
  <si>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</si>
  <si>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</si>
  <si>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</si>
  <si>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</si>
  <si>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</si>
  <si>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</si>
  <si>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</si>
  <si>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</si>
  <si>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</si>
  <si>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</si>
  <si>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</si>
  <si>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</si>
  <si>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</si>
  <si>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</si>
  <si>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</si>
  <si>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</si>
  <si>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</si>
  <si>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</si>
  <si>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</si>
  <si>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</si>
  <si>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</si>
  <si>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</si>
  <si>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</si>
  <si>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</si>
  <si>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</si>
  <si>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</si>
  <si>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</si>
  <si>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</si>
  <si>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</si>
  <si>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</si>
  <si>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</si>
  <si>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</si>
  <si>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</si>
  <si>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</si>
  <si>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</si>
  <si>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</si>
  <si>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</si>
  <si>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</si>
  <si>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</si>
  <si>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</si>
  <si>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</si>
  <si>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</si>
  <si>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</si>
  <si>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</si>
  <si>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</si>
  <si>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</si>
  <si>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</si>
  <si>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</si>
  <si>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</si>
  <si>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</si>
  <si>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</si>
  <si>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</si>
  <si>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</si>
  <si>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</si>
  <si>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</si>
  <si>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</si>
  <si>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</si>
  <si>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</si>
  <si>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</si>
  <si>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</si>
  <si>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</si>
  <si>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</si>
  <si>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</si>
  <si>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</si>
  <si>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</si>
  <si>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</si>
  <si>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</si>
  <si>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</si>
  <si>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</si>
  <si>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</si>
  <si>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</si>
  <si>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</si>
  <si>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</si>
  <si>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</si>
  <si>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</si>
  <si>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</si>
  <si>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</si>
  <si>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</si>
  <si>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</si>
  <si>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</si>
  <si>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</si>
  <si>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</si>
  <si>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</si>
  <si>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</si>
  <si>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</si>
  <si>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</si>
  <si>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</si>
  <si>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</si>
  <si>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</si>
  <si>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</si>
  <si>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</si>
  <si>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</si>
  <si>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</si>
  <si>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</si>
  <si>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</si>
  <si>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</si>
  <si>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</si>
  <si>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</si>
  <si>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</si>
  <si>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</si>
  <si>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</si>
  <si>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</si>
  <si>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</si>
  <si>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</si>
  <si>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</si>
  <si>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</si>
  <si>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</si>
  <si>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</si>
  <si>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</si>
  <si>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</si>
  <si>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</si>
  <si>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</si>
  <si>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</si>
  <si>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</si>
  <si>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</si>
  <si>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</si>
  <si>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</si>
  <si>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</si>
  <si>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</si>
  <si>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</si>
  <si>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</si>
  <si>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</si>
  <si>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</si>
  <si>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</si>
  <si>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</si>
  <si>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</si>
  <si>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</si>
  <si>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</si>
  <si>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</si>
  <si>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</si>
  <si>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</si>
  <si>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</si>
  <si>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</si>
  <si>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</si>
  <si>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</si>
  <si>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</si>
  <si>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</si>
  <si>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</si>
  <si>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</si>
  <si>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</si>
  <si>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</si>
  <si>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</si>
  <si>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</si>
  <si>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</si>
  <si>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</si>
  <si>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</si>
  <si>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</si>
  <si>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</si>
  <si>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</si>
  <si>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</si>
  <si>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</si>
  <si>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</si>
  <si>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</si>
  <si>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</si>
  <si>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</si>
  <si>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</si>
  <si>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</si>
  <si>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</si>
  <si>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</si>
  <si>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</si>
  <si>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</si>
  <si>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</si>
  <si>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</si>
  <si>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</si>
  <si>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</si>
  <si>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</si>
  <si>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</si>
  <si>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</si>
  <si>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</si>
  <si>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</si>
  <si>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</si>
  <si>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</si>
  <si>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</si>
  <si>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</si>
  <si>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</si>
  <si>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</si>
  <si>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</si>
  <si>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</si>
  <si>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</si>
  <si>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</si>
  <si>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</si>
  <si>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</si>
  <si>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</si>
  <si>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</si>
  <si>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</si>
  <si>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</si>
  <si>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</si>
  <si>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</si>
  <si>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</si>
  <si>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</si>
  <si>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</si>
  <si>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</si>
  <si>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</si>
  <si>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</si>
  <si>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</si>
  <si>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</si>
  <si>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</si>
  <si>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</si>
  <si>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</si>
  <si>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</si>
  <si>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</si>
  <si>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</si>
  <si>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</si>
  <si>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</si>
  <si>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</si>
  <si>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</si>
  <si>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</si>
  <si>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</si>
  <si>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</si>
  <si>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</si>
  <si>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</si>
  <si>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</si>
  <si>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</si>
  <si>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</si>
  <si>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</si>
  <si>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</si>
  <si>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</si>
  <si>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</si>
  <si>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</si>
  <si>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</si>
  <si>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</si>
  <si>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</si>
  <si>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</si>
  <si>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</si>
  <si>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</si>
  <si>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</si>
  <si>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</si>
  <si>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</si>
  <si>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</si>
  <si>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не отгружен???</t>
  </si>
  <si>
    <t>Монаков</t>
  </si>
  <si>
    <t>не пройден ФК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</si>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</sst>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9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74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40" borderId="0" xfId="0" applyFont="1" applyFill="1" applyAlignment="1">
      <alignment vertical="center"/>
    </xf>
    <xf numFmtId="166" fontId="45" fillId="46" borderId="0" xfId="0" applyNumberFormat="1" applyFont="1" applyFill="1" applyAlignment="1">
      <alignment horizontal="left" vertical="center"/>
    </xf>
    <xf numFmtId="166" fontId="45" fillId="47" borderId="0" xfId="0" applyNumberFormat="1" applyFont="1" applyFill="1" applyAlignment="1">
      <alignment horizontal="left" vertical="center"/>
    </xf>
    <xf numFmtId="166" fontId="45" fillId="48" borderId="0" xfId="0" applyNumberFormat="1" applyFont="1" applyFill="1" applyAlignment="1">
      <alignment horizontal="left" vertical="center"/>
    </xf>
    <xf numFmtId="166" fontId="45" fillId="42" borderId="0" xfId="0" applyNumberFormat="1" applyFont="1" applyFill="1" applyAlignment="1">
      <alignment horizontal="left" vertical="center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85"/>
  <sheetViews>
    <sheetView tabSelected="1" zoomScale="70" zoomScaleNormal="70" workbookViewId="0">
      <pane ySplit="2" topLeftCell="A7150" activePane="bottomLeft" state="frozen"/>
      <selection pane="bottomLeft" activeCell="I7174" sqref="I717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42" t="s">
        <v>0</v>
      </c>
      <c r="B1" s="1042"/>
      <c r="C1" s="1042"/>
      <c r="D1" s="1042"/>
      <c r="E1" s="1042"/>
      <c r="F1" s="1042"/>
      <c r="G1" s="1042"/>
      <c r="H1" s="1042"/>
      <c r="I1" s="1042"/>
      <c r="J1" s="1042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3">
        <v>1</v>
      </c>
      <c r="B3" s="104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3"/>
      <c r="B4" s="104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44">
        <v>3</v>
      </c>
      <c r="B6" s="104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44"/>
      <c r="B7" s="104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44"/>
      <c r="B8" s="104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44">
        <v>5</v>
      </c>
      <c r="B10" s="104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44"/>
      <c r="B11" s="104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45">
        <v>8</v>
      </c>
      <c r="B14" s="104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45"/>
      <c r="B15" s="104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44">
        <v>11</v>
      </c>
      <c r="B18" s="104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44"/>
      <c r="B19" s="104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44"/>
      <c r="B20" s="104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44"/>
      <c r="B21" s="104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44">
        <v>13</v>
      </c>
      <c r="B23" s="104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44"/>
      <c r="B24" s="104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45">
        <v>14</v>
      </c>
      <c r="B25" s="104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45"/>
      <c r="B26" s="104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44">
        <v>15</v>
      </c>
      <c r="B27" s="104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44"/>
      <c r="B28" s="104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44"/>
      <c r="B29" s="104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44"/>
      <c r="B30" s="104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45">
        <v>16</v>
      </c>
      <c r="B31" s="104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45"/>
      <c r="B32" s="104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45"/>
      <c r="B33" s="104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45"/>
      <c r="B34" s="104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44">
        <v>17</v>
      </c>
      <c r="B35" s="104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44"/>
      <c r="B36" s="104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44">
        <v>21</v>
      </c>
      <c r="B40" s="104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44"/>
      <c r="B41" s="104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44">
        <v>23</v>
      </c>
      <c r="B43" s="104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44"/>
      <c r="B44" s="104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44"/>
      <c r="B45" s="104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45">
        <v>24</v>
      </c>
      <c r="B46" s="104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45"/>
      <c r="B47" s="104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44">
        <v>25</v>
      </c>
      <c r="B48" s="104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44"/>
      <c r="B49" s="104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44"/>
      <c r="B50" s="104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45">
        <v>26</v>
      </c>
      <c r="B51" s="104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45"/>
      <c r="B52" s="104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44">
        <v>29</v>
      </c>
      <c r="B55" s="104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44"/>
      <c r="B56" s="104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45">
        <v>32</v>
      </c>
      <c r="B59" s="104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45"/>
      <c r="B60" s="104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45">
        <v>34</v>
      </c>
      <c r="B62" s="104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45"/>
      <c r="B63" s="104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45"/>
      <c r="B64" s="104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45"/>
      <c r="B65" s="104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45"/>
      <c r="B66" s="104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44">
        <v>35</v>
      </c>
      <c r="B67" s="104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44"/>
      <c r="B68" s="104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18">
        <v>40</v>
      </c>
      <c r="B73" s="104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18"/>
      <c r="B74" s="104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19">
        <v>41</v>
      </c>
      <c r="B75" s="104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19"/>
      <c r="B76" s="104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19"/>
      <c r="B77" s="104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18">
        <v>42</v>
      </c>
      <c r="B78" s="104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18"/>
      <c r="B79" s="104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19">
        <v>49</v>
      </c>
      <c r="B86" s="104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19"/>
      <c r="B87" s="104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19"/>
      <c r="B88" s="104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18">
        <v>50</v>
      </c>
      <c r="B89" s="104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18"/>
      <c r="B90" s="104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19">
        <v>51</v>
      </c>
      <c r="B91" s="104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19"/>
      <c r="B92" s="104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19">
        <v>53</v>
      </c>
      <c r="B94" s="104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19"/>
      <c r="B95" s="104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18">
        <v>54</v>
      </c>
      <c r="B96" s="104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18"/>
      <c r="B97" s="104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18"/>
      <c r="B98" s="104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18">
        <v>58</v>
      </c>
      <c r="B102" s="104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18"/>
      <c r="B103" s="104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18">
        <v>60</v>
      </c>
      <c r="B105" s="104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18"/>
      <c r="B106" s="104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18"/>
      <c r="B107" s="104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19">
        <v>61</v>
      </c>
      <c r="B108" s="104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19"/>
      <c r="B109" s="104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19"/>
      <c r="B110" s="104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18">
        <v>64</v>
      </c>
      <c r="B113" s="104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18"/>
      <c r="B114" s="104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18">
        <v>66</v>
      </c>
      <c r="B116" s="104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18"/>
      <c r="B117" s="104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19">
        <v>67</v>
      </c>
      <c r="B118" s="104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19"/>
      <c r="B119" s="104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19"/>
      <c r="B120" s="104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18">
        <v>68</v>
      </c>
      <c r="B121" s="104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18"/>
      <c r="B122" s="104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19">
        <v>69</v>
      </c>
      <c r="B123" s="104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19"/>
      <c r="B124" s="104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18">
        <v>72</v>
      </c>
      <c r="B127" s="1045" t="s">
        <v>65</v>
      </c>
      <c r="C127" s="119" t="s">
        <v>26</v>
      </c>
      <c r="D127" s="120">
        <v>3.3</v>
      </c>
      <c r="E127" s="121"/>
      <c r="F127" s="122" t="s">
        <v>30</v>
      </c>
      <c r="G127" s="103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18"/>
      <c r="B128" s="1045"/>
      <c r="C128" s="103" t="s">
        <v>26</v>
      </c>
      <c r="D128" s="88">
        <v>12.9</v>
      </c>
      <c r="E128" s="106"/>
      <c r="F128" s="107" t="s">
        <v>16</v>
      </c>
      <c r="G128" s="103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18">
        <v>76</v>
      </c>
      <c r="B132" s="104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18"/>
      <c r="B133" s="104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18"/>
      <c r="B134" s="104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18"/>
      <c r="B135" s="104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18">
        <v>78</v>
      </c>
      <c r="B137" s="104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18"/>
      <c r="B138" s="104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4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4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1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1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1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1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1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1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1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1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1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1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1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1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1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1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1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1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1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1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1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1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1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1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4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1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4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1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1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1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1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1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1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1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1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1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1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1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1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1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1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1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1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1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1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1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1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1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1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1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1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1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1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1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1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1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1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1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1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1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1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1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1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1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1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1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1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1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3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1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3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1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1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1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1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1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1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1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1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1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1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1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1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1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1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1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1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1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1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1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1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1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1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1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1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1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1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1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1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1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1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1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1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30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1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30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1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1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1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3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1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3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1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1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1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1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1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1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1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1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1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1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1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1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1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1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1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1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1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1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1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1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1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1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1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1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1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1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1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1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1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4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1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4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1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1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1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1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1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1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1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1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1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1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1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1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1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1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1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1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1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1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1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1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1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1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1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1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1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1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1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1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1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1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1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1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1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1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24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1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24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1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1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1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1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1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1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1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1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1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1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1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1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1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1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1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1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1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1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1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1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1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1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1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1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1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1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1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1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1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1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1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1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1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1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24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1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24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1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1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1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1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1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1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38" t="s">
        <v>133</v>
      </c>
      <c r="J420" s="103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1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1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1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1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1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1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1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1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1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1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1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1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1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1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1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1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1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1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1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1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1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1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1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1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1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2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1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2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1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1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1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1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1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1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1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1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2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2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2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1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1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1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1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1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1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1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1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1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1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1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1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1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1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1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1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1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1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1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1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1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1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24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1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24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1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1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1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3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1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3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1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3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1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3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1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3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1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1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1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1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1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1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1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1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1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1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1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1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1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1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1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1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1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1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1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1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1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1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1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1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1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1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1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1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1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1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1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1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1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1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1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1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1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1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1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1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2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1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2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1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1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1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1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1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1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1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1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1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1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1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1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1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1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1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1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1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1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1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1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1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1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1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1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1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1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1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1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1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1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1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1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1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24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1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24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1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1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1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1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1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1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1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1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1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1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1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1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1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1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1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1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1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1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1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1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1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1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1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1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1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1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1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1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1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1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1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1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1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1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1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1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1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1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1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1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1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1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1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1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24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1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24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1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1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3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1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3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1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1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1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1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1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1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1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1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1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1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1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1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1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1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1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1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1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1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1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1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1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1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1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1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1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1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1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1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1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24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1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24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3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3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1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1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1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3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1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1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1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3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1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1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1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1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1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1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1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1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1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1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1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1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1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1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1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1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1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1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1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1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1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1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3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1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3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1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1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1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1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1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1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1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1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1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1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1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1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1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1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1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1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4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4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4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4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4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4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1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24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1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24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1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1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1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1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1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1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2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2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2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2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2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1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1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1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1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1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4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4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1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1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1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1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1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1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1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1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1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1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1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1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1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1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1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1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1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1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1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1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1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1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1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1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1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2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1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2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1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1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1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1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1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1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1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1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1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1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1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1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1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1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1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1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1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1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1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1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1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1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1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1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1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1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1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1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1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1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1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1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1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1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1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1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1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1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1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1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1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1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1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1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1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1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1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1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1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1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1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1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1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1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1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1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1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1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1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1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1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1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1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1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1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1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1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1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1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1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1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1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1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1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1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1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1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1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1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1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1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1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1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1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1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1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1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1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1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1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1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1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1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2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1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2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1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1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1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1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1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1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1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1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1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1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1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1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1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1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1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1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1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1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1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1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1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5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5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1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1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1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1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1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1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1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1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1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1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1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1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1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1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1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1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1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1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1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1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1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1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1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1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24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1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24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1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1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1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1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1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1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1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1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1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1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1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1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1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1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1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2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2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1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1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1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1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1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1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1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1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1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1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1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1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1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1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1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1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1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1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1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1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1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1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1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1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1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24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1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24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1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1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1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1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1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1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1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1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1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1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1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1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1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1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1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1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1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1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1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1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1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1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1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1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1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1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1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1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1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1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1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1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1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1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1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1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1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1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2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1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2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1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1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1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1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1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1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1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1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1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1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1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1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1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1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1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1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1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1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1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1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1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1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1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1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1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1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2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1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2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1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1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1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1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1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1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1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1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1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1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1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1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1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1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1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1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1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1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1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1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1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1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1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1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1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1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1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1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1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1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1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2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1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2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1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1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1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1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1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1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1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1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1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1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1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1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1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1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1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1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1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1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1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1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1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1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1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1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1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1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2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1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2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1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1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1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1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1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1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1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1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1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1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1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1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1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1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1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1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1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1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1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1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1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1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1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1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1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1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1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1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1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1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1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1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1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1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1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1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2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1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2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1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1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1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1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1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1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1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1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1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1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1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1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1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1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1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1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1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1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1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1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1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1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1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1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1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1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1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1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1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24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1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24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1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1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1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1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1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1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1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1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1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1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1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1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1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1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1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1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1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1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1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1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1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1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1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1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1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1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1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5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1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5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1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1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1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1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1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1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1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1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1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1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1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1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1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1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1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1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1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1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1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1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1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1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1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1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1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1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1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24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1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24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1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1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1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1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1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1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1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1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1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1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1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1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1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1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1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24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1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24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1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24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1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24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1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1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1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1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1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1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1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1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1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24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1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24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1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1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1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1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1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1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1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1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1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1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1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1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1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1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1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1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1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1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1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1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1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1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1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1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1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24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1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24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1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1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1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1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1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1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1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1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1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1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1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1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1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1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1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1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1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1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1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1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2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1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2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1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1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1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1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1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1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1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1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1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1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1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1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1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1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1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1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1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1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1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1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1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24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1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24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1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1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1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1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1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1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1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1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1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1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1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1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1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1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1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1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1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1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1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1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1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1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1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1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1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1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1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1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1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1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1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1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1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1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1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1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1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1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1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1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1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1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1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1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1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1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1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2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1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2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1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1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1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1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1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1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1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1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1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1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1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1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1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1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1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1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1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1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1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1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1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1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1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1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1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1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24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1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24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1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1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1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1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1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1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1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1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1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1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1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1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2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1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2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1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1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1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1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1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1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1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1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1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1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1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1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1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1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1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1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1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1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1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1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1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1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1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24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1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24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1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1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1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1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1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1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1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1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1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1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1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1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1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1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1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1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1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1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1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1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1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1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1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1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24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1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24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1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24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1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1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1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1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1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1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1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1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1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1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1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1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2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1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2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1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1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1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1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1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1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1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1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1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1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1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1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1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1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1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1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1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1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1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1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1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1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1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1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1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1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1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1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1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1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24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1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24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1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1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1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1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1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1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1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1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1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1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1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1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1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1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1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1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1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1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1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1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24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1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24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1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1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1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1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1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1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1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1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1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1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1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1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1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1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1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1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1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1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1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1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1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1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24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1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24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1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1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1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1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1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1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1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1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1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1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1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1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1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1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1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1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1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1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1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1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2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1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2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1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1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1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1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1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1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1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1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1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1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1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1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1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1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1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1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1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1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1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1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1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1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1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1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1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1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1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1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1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1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1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1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1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1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1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1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1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1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1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1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2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2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2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1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1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1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1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1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24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1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24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1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1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1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1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1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1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1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1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1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1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24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1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24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1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1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1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1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1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1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1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1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1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1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1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1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1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1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1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1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1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2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1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2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1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1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1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1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1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1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1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1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1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1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1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1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1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1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1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1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1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1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1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1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1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1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1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1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1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1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1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1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1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1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1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1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1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1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1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1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1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1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1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1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1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1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1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1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1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1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1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1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1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1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1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1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1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1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1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1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1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1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1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1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1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3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32" t="s">
        <v>467</v>
      </c>
      <c r="H2160" s="414" t="s">
        <v>515</v>
      </c>
      <c r="I2160" s="415" t="s">
        <v>516</v>
      </c>
      <c r="J2160" s="1033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3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32"/>
      <c r="H2161" s="421" t="s">
        <v>515</v>
      </c>
      <c r="I2161" s="422" t="s">
        <v>516</v>
      </c>
      <c r="J2161" s="1033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3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32"/>
      <c r="H2162" s="429" t="s">
        <v>515</v>
      </c>
      <c r="I2162" s="430" t="s">
        <v>516</v>
      </c>
      <c r="J2162" s="1033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3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32" t="s">
        <v>467</v>
      </c>
      <c r="H2165" s="414" t="s">
        <v>516</v>
      </c>
      <c r="I2165" s="415" t="s">
        <v>516</v>
      </c>
      <c r="J2165" s="1033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3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32"/>
      <c r="H2166" s="429" t="s">
        <v>516</v>
      </c>
      <c r="I2166" s="430" t="s">
        <v>516</v>
      </c>
      <c r="J2166" s="1033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1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1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1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1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1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1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1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1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1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1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1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1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24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1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24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1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1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1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1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2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1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2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1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2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1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2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1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30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1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30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1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1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1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1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1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1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1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1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1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1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1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1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1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1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1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1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1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1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1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1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1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1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1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1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1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1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1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1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1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1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1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1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1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1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1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1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1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1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1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1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1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1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1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1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1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1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1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1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1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1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1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1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1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1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1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1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1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1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1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1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1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1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1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1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1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1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2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2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1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1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1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1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1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1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1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1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1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1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1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1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1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1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1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1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1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1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1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1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20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2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2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1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1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1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1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1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1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1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1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1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1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1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1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1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1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1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1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1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1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1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1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2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2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2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1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1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2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2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1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1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1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1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1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1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1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1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1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1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1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1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1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1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1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1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1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1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1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1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1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1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2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2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1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1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1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1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1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1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1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1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1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1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1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1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1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1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1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1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1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1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2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2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1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1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1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1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1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1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1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1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1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1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1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1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1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1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1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1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1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2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2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2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1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1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1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1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1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1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1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1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1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1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1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2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1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2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1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2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2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2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2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2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1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1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1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1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2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2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1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2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1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2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1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1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1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1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1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1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1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1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1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1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1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1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2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2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2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2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1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1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1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24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1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24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1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1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2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2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1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1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1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1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1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1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1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2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2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1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1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1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1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2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23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2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23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1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1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1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2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1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2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1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1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1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1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2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2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1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1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1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1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1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1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1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1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1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1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1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1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1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1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1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1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1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2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1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2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1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1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1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1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2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2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2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1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1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1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1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1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1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1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1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1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2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2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2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2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2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2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1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1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1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1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1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1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1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1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1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1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1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1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1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1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1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1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2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2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2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2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2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2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1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1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1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1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1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1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2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2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1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1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1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1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1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1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1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1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1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1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1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1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1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1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2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1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2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1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2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2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2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2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2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1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1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1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1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1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1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1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1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1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1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1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1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1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1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1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1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1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1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2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2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2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2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2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1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1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1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1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1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1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1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1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2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2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1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1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1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1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2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2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1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1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1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1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1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2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25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2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25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1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1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1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24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1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24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1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1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1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1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1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2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2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1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1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1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1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1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1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1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1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1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1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1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1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20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2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2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2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2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1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1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1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2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1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2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1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1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1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1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1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1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2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2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1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1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1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1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1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1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1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2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2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2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1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24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1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24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2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2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2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2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1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1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1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24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1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24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1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1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1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1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1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2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2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1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1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1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1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2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2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1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1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20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2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2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2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2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1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1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1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1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1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1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1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2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24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2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24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1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1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1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1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1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1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1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2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2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2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2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2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2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2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2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2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1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1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1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1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1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1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1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1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1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1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2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2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2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2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2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2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1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1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1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1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1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1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1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1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1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1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1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2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2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1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1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1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1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1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1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1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2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1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2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1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2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1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2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2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2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2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2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2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1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1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1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2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1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2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1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2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1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1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2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2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2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1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1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1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1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1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1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1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1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1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1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1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1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1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1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1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2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1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2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2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2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1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1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1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1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1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1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1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1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2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2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2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2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2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2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2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2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1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1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1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1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1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1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1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1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1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1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1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1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2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2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1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1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1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1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1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1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1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1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1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1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1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1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1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1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1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1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1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1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1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1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2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2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2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1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1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1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1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1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2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1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24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1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24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1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24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1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1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1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1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1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1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1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1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1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1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1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1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1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1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1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1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1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1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2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2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2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1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1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1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1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1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1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1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1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1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1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1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1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2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2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1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1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1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1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1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1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2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23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2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23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2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23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2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23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2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23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2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23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1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1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1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1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1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1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1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1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2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2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2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2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1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1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1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1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1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1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1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1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1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1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1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1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2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2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2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1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1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1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1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2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2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2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2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2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2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2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2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1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1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1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1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1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1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2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2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2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1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1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1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1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1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1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1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1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1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1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1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1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1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2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2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1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1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1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1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2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2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2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2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2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2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2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2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2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1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1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2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2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2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1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1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1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2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2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1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1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2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2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1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1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2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2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2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2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2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1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1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1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1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1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1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2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2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2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2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2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2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2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2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1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1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1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1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1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1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2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24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2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24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1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1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1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1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1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1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1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1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1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1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24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1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24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2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2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2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2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2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2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1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1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1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1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1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1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1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24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1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24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2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2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2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2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1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1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1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1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1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1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1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1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2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2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1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1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1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1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1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1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1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1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1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1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1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2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23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2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23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2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23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1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1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1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1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1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1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1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1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1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1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1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1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1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20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2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2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2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2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1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1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1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2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1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2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1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1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2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2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1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1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1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1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1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1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1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1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1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1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20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2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2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2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2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2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2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1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1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1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2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1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2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1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1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1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1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1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1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2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2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1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1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1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1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1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1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1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1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2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1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2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83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5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9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9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83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5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9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9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9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9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9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9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89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1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83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1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83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5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1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1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83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9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9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9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89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9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9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9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1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83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1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89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1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83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9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9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9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9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9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89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8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1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14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83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1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89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8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1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14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83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9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9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1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83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9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89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9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9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1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89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9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83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9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9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9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9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9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89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1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83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5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1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1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83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5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1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1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83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1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89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1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83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9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83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1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89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1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83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9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1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89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9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1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89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9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9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9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9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83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1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89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8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1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14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83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1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89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1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83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9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9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1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83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5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1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1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89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9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1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83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1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89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8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1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14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83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9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9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9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9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9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8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1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89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1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89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8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1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14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83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9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1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89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9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1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83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9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1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89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9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9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89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1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83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9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1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83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9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9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9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89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89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9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9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9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9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83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1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83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5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9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9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1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1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8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9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1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8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9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1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8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9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9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8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5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1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1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89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9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9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1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83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1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83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1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89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1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89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9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9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9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83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1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83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9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1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89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1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83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1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89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1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83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5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1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1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89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83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9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1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89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1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83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1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89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1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83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1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83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9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9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9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9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9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9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83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1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83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1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89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9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9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1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83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9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9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9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9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1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83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1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89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9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9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1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89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9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9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9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9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83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1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83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5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1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1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89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1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83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9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9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1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89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1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83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5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9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9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1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1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89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8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1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14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83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1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89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1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83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9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9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9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9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9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89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1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83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1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89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1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83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9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9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1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89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1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83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5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1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1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83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1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89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1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89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1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83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9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89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89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9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9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9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83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1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83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9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89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8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1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14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83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9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9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9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9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9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1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89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9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9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83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9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1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83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1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89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1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83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9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1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83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1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1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1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1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83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9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9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9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9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1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89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1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83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9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1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89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1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83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1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83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1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89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9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83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9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8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89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83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5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8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86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83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9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89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8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88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83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9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9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9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9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89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83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8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83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9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8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89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83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9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9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89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8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0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88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89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89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9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83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9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8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89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9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9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9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83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8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89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9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83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9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9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8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89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83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9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9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8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83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8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89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9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83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8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89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9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9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9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83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8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89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9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83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8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89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83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8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83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9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8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83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8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89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89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9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83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9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9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9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8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83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9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89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89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89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83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9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8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89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9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9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83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9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8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83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5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8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86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89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9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89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9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83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9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9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8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83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8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89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8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0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0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88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83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9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8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83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8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89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9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83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8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89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9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89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8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88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83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8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89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9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89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83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8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89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83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8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89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9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9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9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83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9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8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83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5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9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9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9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9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8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86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89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83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8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83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8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89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9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83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8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89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8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88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89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89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9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9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9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9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83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9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89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9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83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8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83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9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8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89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9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83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9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8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89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9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89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83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8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8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9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8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9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9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8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8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8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88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8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9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8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89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83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9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9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9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89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83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8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89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9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9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83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8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8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8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8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8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8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83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9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9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8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83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8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83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9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9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8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89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89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83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9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8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89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9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89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9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89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9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83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8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83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9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9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8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89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8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0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83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8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89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83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8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89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83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8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83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9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8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89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83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8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89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9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83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9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8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89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83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8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83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9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89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9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83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9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8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83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8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83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8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89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83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8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89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83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9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8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89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9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89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9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83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8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89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9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83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5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9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9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8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86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89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9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89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89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83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9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8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83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8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89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83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9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9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8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83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8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83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5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8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86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89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89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89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83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9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9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8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89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83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8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83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8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83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9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8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89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9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83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8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89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9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83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8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89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83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8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89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94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9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89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83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8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89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83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8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89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83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8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83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5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8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86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83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9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8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89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9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83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9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8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89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89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83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9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89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83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8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89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8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0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0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88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89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89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8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88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83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9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83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9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8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89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83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5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8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86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83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8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89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89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9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9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83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5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9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9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89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89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83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8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89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83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5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8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86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83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9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8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89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9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89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8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88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83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8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83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9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83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8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89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9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9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83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8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89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83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8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89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8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9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0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88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83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8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83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5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8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86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89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83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9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9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8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89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8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88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83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8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89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83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8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89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83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5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8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86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89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9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83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8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83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5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8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86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89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9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9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83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8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89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9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83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9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9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8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89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83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8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89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83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5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8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86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89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89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9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83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5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9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9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89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89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9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83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9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8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83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8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83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8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89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9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9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83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5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8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86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83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8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89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8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88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83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9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9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89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83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8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89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83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8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86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89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83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8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89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8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88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83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8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89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9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83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8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89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9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89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8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88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83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9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89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9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83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8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83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9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8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89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9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89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8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88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89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8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88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83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9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83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9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8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89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9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83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8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89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89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8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88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89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9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83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8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89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8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88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83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8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89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9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83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5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9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9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9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9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89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8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88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94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9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9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9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94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9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83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9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89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83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5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9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10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9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9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9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89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83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9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8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89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83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8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83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8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89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8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9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0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88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83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9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89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8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88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89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9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9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89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9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83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9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8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83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5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9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9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9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9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9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9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89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83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5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8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86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83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8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89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9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83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5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8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86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89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83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9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9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8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89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83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5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8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86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89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9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89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83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9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9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89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89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9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9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89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89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83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9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9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8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89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9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83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8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89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83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8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83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5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9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9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89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9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9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83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5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8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86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83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8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83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5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8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86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83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9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8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89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83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8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89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8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88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89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9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83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9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9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8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89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9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83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9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83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5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8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86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89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83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9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9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89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83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9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8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89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83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8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89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83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8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83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8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89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9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83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8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89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89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8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0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83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9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9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89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83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9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9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8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89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9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8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8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8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89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9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83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9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9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8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89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83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8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83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9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83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5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9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9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9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9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9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9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9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9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89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89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9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9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89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9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9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83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8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89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9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83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9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8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83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9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8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89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89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8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88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89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8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9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0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9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0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0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83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8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89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83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8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83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8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89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89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9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9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94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9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89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94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9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9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9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89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83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5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8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86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89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83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5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9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9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89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83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8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89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83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8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89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83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5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8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86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83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8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89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83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8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89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83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9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8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89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89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89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9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83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8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83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8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89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9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89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9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83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9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8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89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9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83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9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89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8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88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83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9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8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83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8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89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83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8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83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5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8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86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83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8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89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0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83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8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89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8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0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88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89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9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9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9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0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83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9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8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83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9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89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8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0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88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89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8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9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0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9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0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9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0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0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88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83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9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8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89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9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9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9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0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83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5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8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86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8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0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83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9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8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83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8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83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8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89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9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0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83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8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89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0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83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9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83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9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9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8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89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0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83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9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8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89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0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83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8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89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8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0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88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89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83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8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83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8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83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9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9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8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83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8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89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0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83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8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89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8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0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88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83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8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64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65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56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5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5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89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0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56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5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03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5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04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56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5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89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1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9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5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0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0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0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5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5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1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5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8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0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8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9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9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9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89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0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89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01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0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0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83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8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83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8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83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94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8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89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0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89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0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89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9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0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83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94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84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89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9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83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84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89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9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0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89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9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9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0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89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9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0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83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84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89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8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0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88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89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1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5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0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0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06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1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92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83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84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83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94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1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92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05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06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1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9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9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92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05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0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06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1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92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05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06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1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9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92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05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06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1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9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92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83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94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94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94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89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9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9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0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05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06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05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59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0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60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06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61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89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0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0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00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05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5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06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98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1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92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83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84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89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0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83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94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1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5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05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06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05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06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05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0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06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89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93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0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83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94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84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89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9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0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89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0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05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0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06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1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9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9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92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05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0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89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3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89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0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05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0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0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06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1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9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9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05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06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1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9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9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05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5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06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86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89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87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3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88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83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84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89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93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3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1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9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9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9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83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94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83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94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94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84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89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93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93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0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89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93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93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93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0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83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94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94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94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94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94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84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1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99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99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92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83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94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84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1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99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92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1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99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99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99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83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94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84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99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99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99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99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92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05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06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1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92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05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08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08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06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05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59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08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60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06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61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89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0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83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84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1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99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92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05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08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06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1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00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92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00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83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5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84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86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83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84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1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92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83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84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89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0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83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94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84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1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99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92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05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08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06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89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93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93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3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83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94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94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84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62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63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89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93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93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93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0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83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94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84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83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84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1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92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83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94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94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84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1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87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99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00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99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00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92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88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83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84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83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84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1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92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05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59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08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60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08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66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08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66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06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61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1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00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99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00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92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88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83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84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83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94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84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1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92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83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94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94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94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84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1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92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83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94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94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94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84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89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93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93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3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83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94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94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84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1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92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83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84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89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93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0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83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94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94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84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1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999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92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05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5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08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98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08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98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08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98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06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86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1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92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83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84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83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94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84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1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87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92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88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1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999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92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83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84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89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93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0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89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993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0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83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84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91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92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83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84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83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994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994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994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84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1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999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92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83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994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994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84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91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92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06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83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984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89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993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993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0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91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01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999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67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999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67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992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02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83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85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984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86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x14ac:dyDescent="0.25">
      <c r="A7069" s="989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2267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Q7069" s="847">
        <v>1282</v>
      </c>
      <c r="R7069" s="943" t="s">
        <v>2423</v>
      </c>
    </row>
    <row r="7070" spans="1:18" x14ac:dyDescent="0.25">
      <c r="A7070" s="993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x14ac:dyDescent="0.25">
      <c r="A7071" s="993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thickBot="1" x14ac:dyDescent="0.3">
      <c r="A7072" s="990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x14ac:dyDescent="0.25">
      <c r="A7074" s="989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thickBot="1" x14ac:dyDescent="0.3">
      <c r="A7075" s="990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x14ac:dyDescent="0.25">
      <c r="A7076" s="983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thickBot="1" x14ac:dyDescent="0.3">
      <c r="A7077" s="984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x14ac:dyDescent="0.25">
      <c r="A7078" s="991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63"/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thickBot="1" x14ac:dyDescent="0.3">
      <c r="A7079" s="992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48"/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x14ac:dyDescent="0.25">
      <c r="A7080" s="983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995" t="s">
        <v>1634</v>
      </c>
      <c r="H7080" s="483" t="s">
        <v>2208</v>
      </c>
      <c r="I7080" s="484" t="s">
        <v>2261</v>
      </c>
      <c r="J7080" s="485"/>
      <c r="K7080" s="479"/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thickBot="1" x14ac:dyDescent="0.3">
      <c r="A7081" s="984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997"/>
      <c r="H7081" s="808" t="s">
        <v>2208</v>
      </c>
      <c r="I7081" s="808" t="s">
        <v>2261</v>
      </c>
      <c r="J7081" s="810"/>
      <c r="K7081" s="887"/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x14ac:dyDescent="0.25">
      <c r="A7082" s="989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1"/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thickBot="1" x14ac:dyDescent="0.3">
      <c r="A7083" s="990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36"/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x14ac:dyDescent="0.25">
      <c r="A7084" s="983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79"/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thickBot="1" x14ac:dyDescent="0.3">
      <c r="A7085" s="984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5"/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x14ac:dyDescent="0.25">
      <c r="A7086" s="989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1"/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thickBot="1" x14ac:dyDescent="0.3">
      <c r="A7087" s="990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36"/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3"/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4"/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4"/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4"/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973"/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x14ac:dyDescent="0.25">
      <c r="A7093" s="991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63"/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thickBot="1" x14ac:dyDescent="0.3">
      <c r="A7094" s="992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48"/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x14ac:dyDescent="0.25">
      <c r="A7095" s="983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79"/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thickBot="1" x14ac:dyDescent="0.3">
      <c r="A7096" s="984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87"/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customHeight="1" x14ac:dyDescent="0.25">
      <c r="A7097" s="989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/>
      <c r="J7097" s="538"/>
      <c r="K7097" s="531"/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x14ac:dyDescent="0.25">
      <c r="A7098" s="993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1"/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x14ac:dyDescent="0.25">
      <c r="A7099" s="993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/>
      <c r="J7099" s="570"/>
      <c r="K7099" s="563"/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x14ac:dyDescent="0.25">
      <c r="A7100" s="993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1"/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x14ac:dyDescent="0.25">
      <c r="A7101" s="993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/>
      <c r="J7101" s="570"/>
      <c r="K7101" s="563"/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thickBot="1" x14ac:dyDescent="0.3">
      <c r="A7102" s="990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1"/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991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63"/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9" ht="19.5" thickBot="1" x14ac:dyDescent="0.3">
      <c r="A7105" s="992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48"/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9" x14ac:dyDescent="0.25">
      <c r="A7106" s="1005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79"/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9" x14ac:dyDescent="0.25">
      <c r="A7107" s="1008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91"/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9" x14ac:dyDescent="0.25">
      <c r="A7108" s="1008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977"/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9" ht="19.5" thickBot="1" x14ac:dyDescent="0.3">
      <c r="A7109" s="1006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87"/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9" x14ac:dyDescent="0.25">
      <c r="A7110" s="991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63"/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9" ht="19.5" thickBot="1" x14ac:dyDescent="0.3">
      <c r="A7111" s="992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48"/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9" x14ac:dyDescent="0.25">
      <c r="A7112" s="983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79"/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9" x14ac:dyDescent="0.25">
      <c r="A7113" s="994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91"/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9" ht="19.5" thickBot="1" x14ac:dyDescent="0.3">
      <c r="A7114" s="984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9"/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9" x14ac:dyDescent="0.25">
      <c r="A7115" s="989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/>
      <c r="F7115" s="535" t="s">
        <v>16</v>
      </c>
      <c r="G7115" s="987" t="s">
        <v>2386</v>
      </c>
      <c r="H7115" s="535" t="s">
        <v>2329</v>
      </c>
      <c r="I7115" s="537"/>
      <c r="J7115" s="538"/>
      <c r="K7115" s="531"/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>
        <v>6303090</v>
      </c>
      <c r="Q7115" s="847">
        <v>2810</v>
      </c>
      <c r="R7115" s="943" t="s">
        <v>2423</v>
      </c>
    </row>
    <row r="7116" spans="1:19" x14ac:dyDescent="0.25">
      <c r="A7116" s="993"/>
      <c r="B7116" s="563" t="s">
        <v>2279</v>
      </c>
      <c r="C7116" s="564" t="s">
        <v>839</v>
      </c>
      <c r="D7116" s="565">
        <v>1.52</v>
      </c>
      <c r="E7116" s="566"/>
      <c r="F7116" s="567" t="s">
        <v>16</v>
      </c>
      <c r="G7116" s="1000"/>
      <c r="H7116" s="567" t="s">
        <v>2329</v>
      </c>
      <c r="I7116" s="569"/>
      <c r="J7116" s="570"/>
      <c r="K7116" s="563"/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>
        <v>6302683</v>
      </c>
      <c r="Q7116" s="847">
        <v>1538</v>
      </c>
      <c r="R7116" s="943" t="s">
        <v>2423</v>
      </c>
    </row>
    <row r="7117" spans="1:19" x14ac:dyDescent="0.25">
      <c r="A7117" s="993"/>
      <c r="B7117" s="563" t="s">
        <v>2279</v>
      </c>
      <c r="C7117" s="564" t="s">
        <v>840</v>
      </c>
      <c r="D7117" s="565">
        <v>10.016999999999999</v>
      </c>
      <c r="E7117" s="566"/>
      <c r="F7117" s="567" t="s">
        <v>16</v>
      </c>
      <c r="G7117" s="1000"/>
      <c r="H7117" s="567" t="s">
        <v>2329</v>
      </c>
      <c r="I7117" s="569"/>
      <c r="J7117" s="570"/>
      <c r="K7117" s="563"/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>
        <v>6301828</v>
      </c>
      <c r="Q7117" s="847">
        <v>9599</v>
      </c>
      <c r="R7117" s="943" t="s">
        <v>2423</v>
      </c>
    </row>
    <row r="7118" spans="1:19" ht="19.5" thickBot="1" x14ac:dyDescent="0.3">
      <c r="A7118" s="990"/>
      <c r="B7118" s="832" t="s">
        <v>2329</v>
      </c>
      <c r="C7118" s="827" t="s">
        <v>23</v>
      </c>
      <c r="D7118" s="828">
        <v>0.95399999999999996</v>
      </c>
      <c r="E7118" s="828"/>
      <c r="F7118" s="829" t="s">
        <v>16</v>
      </c>
      <c r="G7118" s="988"/>
      <c r="H7118" s="829" t="s">
        <v>2329</v>
      </c>
      <c r="I7118" s="829"/>
      <c r="J7118" s="831"/>
      <c r="K7118" s="832"/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>
        <v>6303275</v>
      </c>
      <c r="Q7118" s="980">
        <v>954</v>
      </c>
      <c r="R7118" s="2" t="s">
        <v>2422</v>
      </c>
      <c r="S7118" s="2">
        <v>954</v>
      </c>
    </row>
    <row r="7119" spans="1:19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/>
      <c r="F7119" s="518" t="s">
        <v>16</v>
      </c>
      <c r="G7119" s="519" t="s">
        <v>2299</v>
      </c>
      <c r="H7119" s="518" t="s">
        <v>2329</v>
      </c>
      <c r="I7119" s="520"/>
      <c r="J7119" s="521"/>
      <c r="K7119" s="514"/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>
        <v>6303198</v>
      </c>
      <c r="Q7119" s="982">
        <v>5004</v>
      </c>
      <c r="R7119" s="978" t="s">
        <v>2424</v>
      </c>
    </row>
    <row r="7120" spans="1:19" ht="56.25" x14ac:dyDescent="0.25">
      <c r="A7120" s="989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1"/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x14ac:dyDescent="0.25">
      <c r="A7121" s="993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3"/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x14ac:dyDescent="0.25">
      <c r="A7122" s="993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3"/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thickBot="1" x14ac:dyDescent="0.3">
      <c r="A7123" s="993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/>
      <c r="H7123" s="839" t="s">
        <v>2329</v>
      </c>
      <c r="I7123" s="839" t="s">
        <v>2329</v>
      </c>
      <c r="J7123" s="840"/>
      <c r="K7123" s="836"/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4"/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4"/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3"/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x14ac:dyDescent="0.25">
      <c r="A7127" s="989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/>
      <c r="F7127" s="535" t="s">
        <v>16</v>
      </c>
      <c r="G7127" s="987" t="s">
        <v>1634</v>
      </c>
      <c r="H7127" s="535" t="s">
        <v>2344</v>
      </c>
      <c r="I7127" s="537"/>
      <c r="J7127" s="538"/>
      <c r="K7127" s="531"/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>
        <v>6303103</v>
      </c>
      <c r="Q7127" s="847">
        <v>15553</v>
      </c>
    </row>
    <row r="7128" spans="1:18" ht="19.5" thickBot="1" x14ac:dyDescent="0.3">
      <c r="A7128" s="990"/>
      <c r="B7128" s="877" t="s">
        <v>2347</v>
      </c>
      <c r="C7128" s="786" t="s">
        <v>23</v>
      </c>
      <c r="D7128" s="787">
        <v>2.5</v>
      </c>
      <c r="E7128" s="787"/>
      <c r="F7128" s="788" t="s">
        <v>16</v>
      </c>
      <c r="G7128" s="988"/>
      <c r="H7128" s="873" t="s">
        <v>2347</v>
      </c>
      <c r="I7128" s="788"/>
      <c r="J7128" s="790"/>
      <c r="K7128" s="877"/>
      <c r="L7128" s="788" t="s">
        <v>28</v>
      </c>
      <c r="M7128" s="788">
        <v>2505</v>
      </c>
      <c r="N7128" s="784">
        <v>0.45833333333333331</v>
      </c>
      <c r="O7128" s="897" t="s">
        <v>2425</v>
      </c>
      <c r="Q7128" s="980">
        <v>2505</v>
      </c>
    </row>
    <row r="7129" spans="1:18" x14ac:dyDescent="0.25">
      <c r="A7129" s="983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/>
      <c r="F7129" s="483" t="s">
        <v>16</v>
      </c>
      <c r="G7129" s="985" t="s">
        <v>1634</v>
      </c>
      <c r="H7129" s="483" t="s">
        <v>2344</v>
      </c>
      <c r="I7129" s="484"/>
      <c r="J7129" s="485"/>
      <c r="K7129" s="479"/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>
        <v>6303097</v>
      </c>
      <c r="Q7129" s="847">
        <v>13333</v>
      </c>
    </row>
    <row r="7130" spans="1:18" ht="19.5" thickBot="1" x14ac:dyDescent="0.3">
      <c r="A7130" s="984"/>
      <c r="B7130" s="841" t="s">
        <v>2405</v>
      </c>
      <c r="C7130" s="1070" t="s">
        <v>47</v>
      </c>
      <c r="D7130" s="1071">
        <v>3.8</v>
      </c>
      <c r="E7130" s="1071"/>
      <c r="F7130" s="1072" t="s">
        <v>16</v>
      </c>
      <c r="G7130" s="998"/>
      <c r="H7130" s="1072" t="s">
        <v>2405</v>
      </c>
      <c r="I7130" s="1072"/>
      <c r="J7130" s="845"/>
      <c r="K7130" s="886"/>
      <c r="L7130" s="1072" t="s">
        <v>28</v>
      </c>
      <c r="M7130" s="1072">
        <v>3810</v>
      </c>
      <c r="N7130" s="846">
        <v>0.5</v>
      </c>
      <c r="O7130" s="897" t="s">
        <v>2428</v>
      </c>
    </row>
    <row r="7131" spans="1:18" x14ac:dyDescent="0.25">
      <c r="A7131" s="989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/>
      <c r="F7131" s="535" t="s">
        <v>16</v>
      </c>
      <c r="G7131" s="536"/>
      <c r="H7131" s="535" t="s">
        <v>2344</v>
      </c>
      <c r="I7131" s="537"/>
      <c r="J7131" s="538"/>
      <c r="K7131" s="531"/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>
        <v>6302589</v>
      </c>
      <c r="Q7131" s="979">
        <v>6895</v>
      </c>
      <c r="R7131" s="943"/>
    </row>
    <row r="7132" spans="1:18" x14ac:dyDescent="0.25">
      <c r="A7132" s="993"/>
      <c r="B7132" s="824" t="s">
        <v>2294</v>
      </c>
      <c r="C7132" s="820" t="s">
        <v>24</v>
      </c>
      <c r="D7132" s="821">
        <v>9.032</v>
      </c>
      <c r="E7132" s="822"/>
      <c r="F7132" s="819" t="s">
        <v>16</v>
      </c>
      <c r="G7132" s="823"/>
      <c r="H7132" s="819" t="s">
        <v>2344</v>
      </c>
      <c r="I7132" s="782"/>
      <c r="J7132" s="825"/>
      <c r="K7132" s="849"/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>
        <v>6303106</v>
      </c>
      <c r="Q7132" s="979">
        <v>7741</v>
      </c>
      <c r="R7132" s="943"/>
    </row>
    <row r="7133" spans="1:18" x14ac:dyDescent="0.25">
      <c r="A7133" s="993"/>
      <c r="B7133" s="813" t="s">
        <v>2405</v>
      </c>
      <c r="C7133" s="814" t="s">
        <v>15</v>
      </c>
      <c r="D7133" s="815">
        <v>2.2999999999999998</v>
      </c>
      <c r="E7133" s="815"/>
      <c r="F7133" s="816" t="s">
        <v>16</v>
      </c>
      <c r="G7133" s="817" t="s">
        <v>76</v>
      </c>
      <c r="H7133" s="816" t="s">
        <v>2344</v>
      </c>
      <c r="I7133" s="816"/>
      <c r="J7133" s="818"/>
      <c r="K7133" s="1073"/>
      <c r="L7133" s="816" t="s">
        <v>28</v>
      </c>
      <c r="M7133" s="816">
        <v>2310</v>
      </c>
      <c r="N7133" s="811">
        <v>0.54166666666666663</v>
      </c>
      <c r="O7133" s="897" t="s">
        <v>2434</v>
      </c>
      <c r="R7133" s="943"/>
    </row>
    <row r="7134" spans="1:18" ht="19.5" thickBot="1" x14ac:dyDescent="0.3">
      <c r="A7134" s="990"/>
      <c r="B7134" s="785" t="s">
        <v>2405</v>
      </c>
      <c r="C7134" s="786" t="s">
        <v>24</v>
      </c>
      <c r="D7134" s="787">
        <v>1</v>
      </c>
      <c r="E7134" s="787"/>
      <c r="F7134" s="788" t="s">
        <v>16</v>
      </c>
      <c r="G7134" s="789" t="s">
        <v>76</v>
      </c>
      <c r="H7134" s="788" t="s">
        <v>2344</v>
      </c>
      <c r="I7134" s="788"/>
      <c r="J7134" s="790"/>
      <c r="K7134" s="877"/>
      <c r="L7134" s="788" t="s">
        <v>28</v>
      </c>
      <c r="M7134" s="788">
        <v>1020</v>
      </c>
      <c r="N7134" s="784">
        <v>0.54166666666666663</v>
      </c>
      <c r="O7134" s="897" t="s">
        <v>2437</v>
      </c>
    </row>
    <row r="7135" spans="1:18" x14ac:dyDescent="0.25">
      <c r="A7135" s="983">
        <f t="shared" ref="A7135" si="215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68" t="s">
        <v>2346</v>
      </c>
      <c r="H7135" s="527" t="s">
        <v>2344</v>
      </c>
      <c r="I7135" s="528" t="s">
        <v>2344</v>
      </c>
      <c r="J7135" s="529"/>
      <c r="K7135" s="523"/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x14ac:dyDescent="0.25">
      <c r="A7136" s="994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68"/>
      <c r="H7136" s="763" t="s">
        <v>2344</v>
      </c>
      <c r="I7136" s="768" t="s">
        <v>2344</v>
      </c>
      <c r="J7136" s="779"/>
      <c r="K7136" s="791"/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thickBot="1" x14ac:dyDescent="0.3">
      <c r="A7137" s="984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69"/>
      <c r="H7137" s="856" t="s">
        <v>2344</v>
      </c>
      <c r="I7137" s="856" t="s">
        <v>2344</v>
      </c>
      <c r="J7137" s="858"/>
      <c r="K7137" s="859"/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x14ac:dyDescent="0.25">
      <c r="A7138" s="989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/>
      <c r="F7138" s="535" t="s">
        <v>30</v>
      </c>
      <c r="G7138" s="975" t="s">
        <v>23</v>
      </c>
      <c r="H7138" s="535" t="s">
        <v>2344</v>
      </c>
      <c r="I7138" s="537"/>
      <c r="J7138" s="538"/>
      <c r="K7138" s="531"/>
      <c r="L7138" s="535" t="s">
        <v>28</v>
      </c>
      <c r="M7138" s="535">
        <v>8122.92</v>
      </c>
      <c r="N7138" s="539">
        <v>0.41666666666666669</v>
      </c>
      <c r="O7138" s="897" t="s">
        <v>2358</v>
      </c>
    </row>
    <row r="7139" spans="1:18" ht="19.5" thickBot="1" x14ac:dyDescent="0.3">
      <c r="A7139" s="990"/>
      <c r="B7139" s="636" t="s">
        <v>2294</v>
      </c>
      <c r="C7139" s="637" t="s">
        <v>23</v>
      </c>
      <c r="D7139" s="638">
        <v>4.9219999999999997</v>
      </c>
      <c r="E7139" s="639"/>
      <c r="F7139" s="640" t="s">
        <v>30</v>
      </c>
      <c r="G7139" s="976"/>
      <c r="H7139" s="640" t="s">
        <v>2344</v>
      </c>
      <c r="I7139" s="642"/>
      <c r="J7139" s="643"/>
      <c r="K7139" s="636"/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</row>
    <row r="7140" spans="1:18" ht="19.5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/>
      <c r="F7140" s="518" t="s">
        <v>30</v>
      </c>
      <c r="G7140" s="974"/>
      <c r="H7140" s="518" t="s">
        <v>2344</v>
      </c>
      <c r="I7140" s="520"/>
      <c r="J7140" s="521"/>
      <c r="K7140" s="514"/>
      <c r="L7140" s="518" t="s">
        <v>28</v>
      </c>
      <c r="M7140" s="518">
        <v>13062.08</v>
      </c>
      <c r="N7140" s="522">
        <v>0.45833333333333331</v>
      </c>
      <c r="O7140" s="897" t="s">
        <v>2359</v>
      </c>
    </row>
    <row r="7141" spans="1:18" ht="19.5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4"/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18" x14ac:dyDescent="0.25">
      <c r="A7142" s="983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/>
      <c r="F7142" s="483" t="s">
        <v>16</v>
      </c>
      <c r="G7142" s="899"/>
      <c r="H7142" s="483" t="s">
        <v>2347</v>
      </c>
      <c r="I7142" s="484"/>
      <c r="J7142" s="485"/>
      <c r="K7142" s="479"/>
      <c r="L7142" s="483" t="s">
        <v>265</v>
      </c>
      <c r="M7142" s="483">
        <v>19337.64</v>
      </c>
      <c r="N7142" s="486">
        <v>0.375</v>
      </c>
      <c r="O7142" s="897" t="s">
        <v>2364</v>
      </c>
    </row>
    <row r="7143" spans="1:18" ht="19.5" thickBot="1" x14ac:dyDescent="0.3">
      <c r="A7143" s="984"/>
      <c r="B7143" s="805" t="s">
        <v>2344</v>
      </c>
      <c r="C7143" s="806" t="s">
        <v>26</v>
      </c>
      <c r="D7143" s="807">
        <v>2.1</v>
      </c>
      <c r="E7143" s="807"/>
      <c r="F7143" s="808" t="s">
        <v>16</v>
      </c>
      <c r="G7143" s="902"/>
      <c r="H7143" s="808" t="s">
        <v>2347</v>
      </c>
      <c r="I7143" s="808"/>
      <c r="J7143" s="810"/>
      <c r="K7143" s="887"/>
      <c r="L7143" s="808" t="s">
        <v>265</v>
      </c>
      <c r="M7143" s="808">
        <v>2115</v>
      </c>
      <c r="N7143" s="778">
        <v>0.375</v>
      </c>
      <c r="O7143" s="897" t="s">
        <v>2407</v>
      </c>
    </row>
    <row r="7144" spans="1:18" x14ac:dyDescent="0.25">
      <c r="A7144" s="989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/>
      <c r="F7144" s="535" t="s">
        <v>16</v>
      </c>
      <c r="G7144" s="536"/>
      <c r="H7144" s="535" t="s">
        <v>2347</v>
      </c>
      <c r="I7144" s="537"/>
      <c r="J7144" s="538"/>
      <c r="K7144" s="531"/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Q7144" s="980">
        <v>4926</v>
      </c>
      <c r="R7144" s="978" t="s">
        <v>2424</v>
      </c>
    </row>
    <row r="7145" spans="1:18" x14ac:dyDescent="0.25">
      <c r="A7145" s="993"/>
      <c r="B7145" s="563" t="s">
        <v>2294</v>
      </c>
      <c r="C7145" s="564" t="s">
        <v>913</v>
      </c>
      <c r="D7145" s="565">
        <v>1.552</v>
      </c>
      <c r="E7145" s="566"/>
      <c r="F7145" s="567" t="s">
        <v>16</v>
      </c>
      <c r="G7145" s="568"/>
      <c r="H7145" s="567" t="s">
        <v>2347</v>
      </c>
      <c r="I7145" s="569"/>
      <c r="J7145" s="570"/>
      <c r="K7145" s="563"/>
      <c r="L7145" s="567" t="s">
        <v>266</v>
      </c>
      <c r="M7145" s="567">
        <v>1564.1</v>
      </c>
      <c r="N7145" s="571">
        <v>0.41666666666666669</v>
      </c>
      <c r="O7145" s="897" t="s">
        <v>2365</v>
      </c>
      <c r="Q7145" s="847">
        <v>1330</v>
      </c>
    </row>
    <row r="7146" spans="1:18" x14ac:dyDescent="0.25">
      <c r="A7146" s="993"/>
      <c r="B7146" s="563" t="s">
        <v>2294</v>
      </c>
      <c r="C7146" s="564" t="s">
        <v>23</v>
      </c>
      <c r="D7146" s="565">
        <v>7.7270000000000003</v>
      </c>
      <c r="E7146" s="566"/>
      <c r="F7146" s="567" t="s">
        <v>16</v>
      </c>
      <c r="G7146" s="568"/>
      <c r="H7146" s="567" t="s">
        <v>2347</v>
      </c>
      <c r="I7146" s="569"/>
      <c r="J7146" s="570"/>
      <c r="K7146" s="563"/>
      <c r="L7146" s="567" t="s">
        <v>28</v>
      </c>
      <c r="M7146" s="567">
        <v>7791.96</v>
      </c>
      <c r="N7146" s="571">
        <v>0.41666666666666669</v>
      </c>
      <c r="O7146" s="897" t="s">
        <v>2366</v>
      </c>
      <c r="Q7146" s="980">
        <v>7432</v>
      </c>
    </row>
    <row r="7147" spans="1:18" ht="19.5" thickBot="1" x14ac:dyDescent="0.3">
      <c r="A7147" s="990"/>
      <c r="B7147" s="832" t="s">
        <v>2405</v>
      </c>
      <c r="C7147" s="906" t="s">
        <v>23</v>
      </c>
      <c r="D7147" s="828">
        <v>1.6</v>
      </c>
      <c r="E7147" s="828"/>
      <c r="F7147" s="829" t="s">
        <v>16</v>
      </c>
      <c r="G7147" s="830" t="s">
        <v>76</v>
      </c>
      <c r="H7147" s="829" t="s">
        <v>2347</v>
      </c>
      <c r="I7147" s="829"/>
      <c r="J7147" s="831"/>
      <c r="K7147" s="832"/>
      <c r="L7147" s="829" t="s">
        <v>28</v>
      </c>
      <c r="M7147" s="829">
        <v>1605.1200000000001</v>
      </c>
      <c r="N7147" s="644">
        <v>0.41666666666666669</v>
      </c>
      <c r="O7147" s="897" t="s">
        <v>2435</v>
      </c>
    </row>
    <row r="7148" spans="1:18" x14ac:dyDescent="0.25">
      <c r="A7148" s="983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/>
      <c r="F7148" s="483" t="s">
        <v>16</v>
      </c>
      <c r="G7148" s="995" t="s">
        <v>1633</v>
      </c>
      <c r="H7148" s="483" t="s">
        <v>2347</v>
      </c>
      <c r="I7148" s="484"/>
      <c r="J7148" s="485"/>
      <c r="K7148" s="479"/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Q7148" s="847">
        <v>3586</v>
      </c>
    </row>
    <row r="7149" spans="1:18" x14ac:dyDescent="0.25">
      <c r="A7149" s="994"/>
      <c r="B7149" s="523" t="s">
        <v>2294</v>
      </c>
      <c r="C7149" s="524" t="s">
        <v>24</v>
      </c>
      <c r="D7149" s="525">
        <v>4.7569999999999997</v>
      </c>
      <c r="E7149" s="526"/>
      <c r="F7149" s="527" t="s">
        <v>16</v>
      </c>
      <c r="G7149" s="996"/>
      <c r="H7149" s="527" t="s">
        <v>2347</v>
      </c>
      <c r="I7149" s="528"/>
      <c r="J7149" s="529"/>
      <c r="K7149" s="523"/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Q7149" s="847">
        <v>4747</v>
      </c>
    </row>
    <row r="7150" spans="1:18" ht="19.5" thickBot="1" x14ac:dyDescent="0.3">
      <c r="A7150" s="984"/>
      <c r="B7150" s="495" t="s">
        <v>2294</v>
      </c>
      <c r="C7150" s="496" t="s">
        <v>764</v>
      </c>
      <c r="D7150" s="497">
        <v>8.1</v>
      </c>
      <c r="E7150" s="498"/>
      <c r="F7150" s="499" t="s">
        <v>16</v>
      </c>
      <c r="G7150" s="996"/>
      <c r="H7150" s="499" t="s">
        <v>2347</v>
      </c>
      <c r="I7150" s="500"/>
      <c r="J7150" s="501"/>
      <c r="K7150" s="495"/>
      <c r="L7150" s="499" t="s">
        <v>28</v>
      </c>
      <c r="M7150" s="499">
        <v>8110.2</v>
      </c>
      <c r="N7150" s="502">
        <v>0.45833333333333331</v>
      </c>
      <c r="O7150" s="897" t="s">
        <v>2370</v>
      </c>
      <c r="Q7150" s="847">
        <v>8111</v>
      </c>
    </row>
    <row r="7151" spans="1:18" x14ac:dyDescent="0.25">
      <c r="A7151" s="991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/>
      <c r="F7151" s="535" t="s">
        <v>16</v>
      </c>
      <c r="G7151" s="536"/>
      <c r="H7151" s="535" t="s">
        <v>2347</v>
      </c>
      <c r="I7151" s="537"/>
      <c r="J7151" s="538"/>
      <c r="K7151" s="531"/>
      <c r="L7151" s="535" t="s">
        <v>266</v>
      </c>
      <c r="M7151" s="535">
        <v>8835.18</v>
      </c>
      <c r="N7151" s="539">
        <v>0.5</v>
      </c>
      <c r="O7151" s="897" t="s">
        <v>2372</v>
      </c>
      <c r="Q7151" s="981">
        <v>8106</v>
      </c>
      <c r="R7151" s="943"/>
    </row>
    <row r="7152" spans="1:18" x14ac:dyDescent="0.25">
      <c r="A7152" s="999"/>
      <c r="B7152" s="824" t="s">
        <v>2294</v>
      </c>
      <c r="C7152" s="820" t="s">
        <v>23</v>
      </c>
      <c r="D7152" s="821">
        <v>8.6920000000000002</v>
      </c>
      <c r="E7152" s="822"/>
      <c r="F7152" s="819" t="s">
        <v>16</v>
      </c>
      <c r="G7152" s="823"/>
      <c r="H7152" s="819" t="s">
        <v>2347</v>
      </c>
      <c r="I7152" s="782"/>
      <c r="J7152" s="825"/>
      <c r="K7152" s="849"/>
      <c r="L7152" s="819" t="s">
        <v>28</v>
      </c>
      <c r="M7152" s="819">
        <v>8805.5400000000009</v>
      </c>
      <c r="N7152" s="811">
        <v>0.5</v>
      </c>
      <c r="O7152" s="897" t="s">
        <v>2371</v>
      </c>
      <c r="Q7152" s="981">
        <v>7874</v>
      </c>
      <c r="R7152" s="943"/>
    </row>
    <row r="7153" spans="1:18" ht="19.5" thickBot="1" x14ac:dyDescent="0.3">
      <c r="A7153" s="992"/>
      <c r="B7153" s="785" t="s">
        <v>2405</v>
      </c>
      <c r="C7153" s="786" t="s">
        <v>23</v>
      </c>
      <c r="D7153" s="787">
        <v>1.6</v>
      </c>
      <c r="E7153" s="787"/>
      <c r="F7153" s="788" t="s">
        <v>16</v>
      </c>
      <c r="G7153" s="789" t="s">
        <v>76</v>
      </c>
      <c r="H7153" s="788" t="s">
        <v>2347</v>
      </c>
      <c r="I7153" s="788"/>
      <c r="J7153" s="790"/>
      <c r="K7153" s="877"/>
      <c r="L7153" s="788" t="s">
        <v>28</v>
      </c>
      <c r="M7153" s="788">
        <v>1605</v>
      </c>
      <c r="N7153" s="784">
        <v>0.5</v>
      </c>
      <c r="O7153" s="897" t="s">
        <v>2436</v>
      </c>
    </row>
    <row r="7154" spans="1:18" ht="19.5" thickBot="1" x14ac:dyDescent="0.3">
      <c r="A7154" s="513">
        <f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5"/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thickBot="1" x14ac:dyDescent="0.3">
      <c r="A7155" s="503">
        <f>MAX(A7002:A7154)+1</f>
        <v>4411</v>
      </c>
      <c r="B7155" s="504" t="s">
        <v>2294</v>
      </c>
      <c r="C7155" s="505" t="s">
        <v>23</v>
      </c>
      <c r="D7155" s="506">
        <v>11.664999999999999</v>
      </c>
      <c r="E7155" s="507"/>
      <c r="F7155" s="508" t="s">
        <v>30</v>
      </c>
      <c r="G7155" s="509"/>
      <c r="H7155" s="508" t="s">
        <v>2347</v>
      </c>
      <c r="I7155" s="510"/>
      <c r="J7155" s="511"/>
      <c r="K7155" s="504"/>
      <c r="L7155" s="508" t="s">
        <v>28</v>
      </c>
      <c r="M7155" s="508">
        <v>11665.92</v>
      </c>
      <c r="N7155" s="512">
        <v>0.41666666666666669</v>
      </c>
      <c r="O7155" s="897" t="s">
        <v>2360</v>
      </c>
    </row>
    <row r="7156" spans="1:18" ht="19.5" thickBot="1" x14ac:dyDescent="0.3">
      <c r="A7156" s="572">
        <f>MAX(A7003:A7155)+1</f>
        <v>4412</v>
      </c>
      <c r="B7156" s="573" t="s">
        <v>2344</v>
      </c>
      <c r="C7156" s="574" t="s">
        <v>1341</v>
      </c>
      <c r="D7156" s="575">
        <v>9.8030000000000008</v>
      </c>
      <c r="E7156" s="576"/>
      <c r="F7156" s="577" t="s">
        <v>16</v>
      </c>
      <c r="G7156" s="578"/>
      <c r="H7156" s="577" t="s">
        <v>2405</v>
      </c>
      <c r="I7156" s="579"/>
      <c r="J7156" s="580"/>
      <c r="K7156" s="573"/>
      <c r="L7156" s="577" t="s">
        <v>266</v>
      </c>
      <c r="M7156" s="577">
        <v>9803.18</v>
      </c>
      <c r="N7156" s="581">
        <v>0.41666666666666669</v>
      </c>
      <c r="O7156" s="897" t="s">
        <v>2406</v>
      </c>
      <c r="Q7156" s="979">
        <v>9317</v>
      </c>
      <c r="R7156" s="978" t="s">
        <v>2424</v>
      </c>
    </row>
    <row r="7157" spans="1:18" ht="19.5" thickBot="1" x14ac:dyDescent="0.3">
      <c r="A7157" s="503">
        <f>MAX(A7004:A7156)+1</f>
        <v>4413</v>
      </c>
      <c r="B7157" s="504" t="s">
        <v>2347</v>
      </c>
      <c r="C7157" s="505" t="s">
        <v>32</v>
      </c>
      <c r="D7157" s="506">
        <v>17.948</v>
      </c>
      <c r="E7157" s="507"/>
      <c r="F7157" s="508" t="s">
        <v>16</v>
      </c>
      <c r="G7157" s="509"/>
      <c r="H7157" s="508" t="s">
        <v>2416</v>
      </c>
      <c r="I7157" s="510"/>
      <c r="J7157" s="511"/>
      <c r="K7157" s="504"/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</row>
    <row r="7158" spans="1:18" ht="19.5" thickBot="1" x14ac:dyDescent="0.3">
      <c r="A7158" s="513">
        <f>MAX(A7005:A7157)+1</f>
        <v>4414</v>
      </c>
      <c r="B7158" s="514" t="s">
        <v>2347</v>
      </c>
      <c r="C7158" s="515" t="s">
        <v>32</v>
      </c>
      <c r="D7158" s="516">
        <v>17.960999999999999</v>
      </c>
      <c r="E7158" s="517"/>
      <c r="F7158" s="518" t="s">
        <v>16</v>
      </c>
      <c r="G7158" s="519"/>
      <c r="H7158" s="518" t="s">
        <v>2416</v>
      </c>
      <c r="I7158" s="520"/>
      <c r="J7158" s="521"/>
      <c r="K7158" s="514"/>
      <c r="L7158" s="518" t="s">
        <v>266</v>
      </c>
      <c r="M7158" s="518">
        <v>18033.18</v>
      </c>
      <c r="N7158" s="522">
        <v>0.45833333333333331</v>
      </c>
      <c r="O7158" s="897" t="s">
        <v>2418</v>
      </c>
    </row>
    <row r="7159" spans="1:18" ht="19.5" thickBot="1" x14ac:dyDescent="0.3">
      <c r="A7159" s="503">
        <f>MAX(A7006:A7158)+1</f>
        <v>4415</v>
      </c>
      <c r="B7159" s="504" t="s">
        <v>2347</v>
      </c>
      <c r="C7159" s="505" t="s">
        <v>32</v>
      </c>
      <c r="D7159" s="506">
        <v>17.600000000000001</v>
      </c>
      <c r="E7159" s="507"/>
      <c r="F7159" s="508" t="s">
        <v>16</v>
      </c>
      <c r="G7159" s="509" t="s">
        <v>2299</v>
      </c>
      <c r="H7159" s="508" t="s">
        <v>2416</v>
      </c>
      <c r="I7159" s="510"/>
      <c r="J7159" s="511"/>
      <c r="K7159" s="504"/>
      <c r="L7159" s="508" t="s">
        <v>266</v>
      </c>
      <c r="M7159" s="508">
        <v>17604.599999999999</v>
      </c>
      <c r="N7159" s="512">
        <v>0.5</v>
      </c>
      <c r="O7159" s="897" t="s">
        <v>2419</v>
      </c>
    </row>
    <row r="7160" spans="1:18" ht="19.5" thickBot="1" x14ac:dyDescent="0.3">
      <c r="A7160" s="572">
        <f>MAX(A7007:A7159)+1</f>
        <v>4416</v>
      </c>
      <c r="B7160" s="573" t="s">
        <v>2347</v>
      </c>
      <c r="C7160" s="574" t="s">
        <v>848</v>
      </c>
      <c r="D7160" s="575">
        <v>18.010999999999999</v>
      </c>
      <c r="E7160" s="576"/>
      <c r="F7160" s="577" t="s">
        <v>16</v>
      </c>
      <c r="G7160" s="578"/>
      <c r="H7160" s="577" t="s">
        <v>2416</v>
      </c>
      <c r="I7160" s="579"/>
      <c r="J7160" s="580"/>
      <c r="K7160" s="573"/>
      <c r="L7160" s="577" t="s">
        <v>266</v>
      </c>
      <c r="M7160" s="577">
        <v>18121.16</v>
      </c>
      <c r="N7160" s="581">
        <v>0.54166666666666663</v>
      </c>
      <c r="O7160" s="897" t="s">
        <v>2420</v>
      </c>
    </row>
    <row r="7161" spans="1:18" ht="19.5" thickBot="1" x14ac:dyDescent="0.3">
      <c r="A7161" s="503">
        <f>MAX(A7008:A7160)+1</f>
        <v>4417</v>
      </c>
      <c r="B7161" s="504" t="s">
        <v>2405</v>
      </c>
      <c r="C7161" s="505" t="s">
        <v>26</v>
      </c>
      <c r="D7161" s="506">
        <v>17.614999999999998</v>
      </c>
      <c r="E7161" s="507"/>
      <c r="F7161" s="508" t="s">
        <v>16</v>
      </c>
      <c r="G7161" s="509"/>
      <c r="H7161" s="508" t="s">
        <v>2426</v>
      </c>
      <c r="I7161" s="510"/>
      <c r="J7161" s="511"/>
      <c r="K7161" s="504"/>
      <c r="L7161" s="508" t="s">
        <v>265</v>
      </c>
      <c r="M7161" s="508">
        <v>17770.98</v>
      </c>
      <c r="N7161" s="512">
        <v>0.375</v>
      </c>
      <c r="O7161" s="897" t="s">
        <v>2429</v>
      </c>
    </row>
    <row r="7162" spans="1:18" ht="19.5" thickBot="1" x14ac:dyDescent="0.3">
      <c r="A7162" s="513">
        <f>MAX(A7009:A7161)+1</f>
        <v>4418</v>
      </c>
      <c r="B7162" s="514" t="s">
        <v>2405</v>
      </c>
      <c r="C7162" s="515" t="s">
        <v>26</v>
      </c>
      <c r="D7162" s="516">
        <v>17.378</v>
      </c>
      <c r="E7162" s="517"/>
      <c r="F7162" s="518" t="s">
        <v>16</v>
      </c>
      <c r="G7162" s="519"/>
      <c r="H7162" s="518" t="s">
        <v>2426</v>
      </c>
      <c r="I7162" s="520"/>
      <c r="J7162" s="521"/>
      <c r="K7162" s="514"/>
      <c r="L7162" s="518" t="s">
        <v>265</v>
      </c>
      <c r="M7162" s="518">
        <v>17390.300000000003</v>
      </c>
      <c r="N7162" s="522">
        <v>0.41666666666666669</v>
      </c>
      <c r="O7162" s="897" t="s">
        <v>2430</v>
      </c>
    </row>
    <row r="7163" spans="1:18" x14ac:dyDescent="0.25">
      <c r="A7163" s="989">
        <f>MAX(A7010:A7162)+1</f>
        <v>4419</v>
      </c>
      <c r="B7163" s="531" t="s">
        <v>2405</v>
      </c>
      <c r="C7163" s="532" t="s">
        <v>15</v>
      </c>
      <c r="D7163" s="533">
        <v>8.6199999999999992</v>
      </c>
      <c r="E7163" s="534"/>
      <c r="F7163" s="535" t="s">
        <v>30</v>
      </c>
      <c r="G7163" s="536"/>
      <c r="H7163" s="535" t="s">
        <v>2426</v>
      </c>
      <c r="I7163" s="537"/>
      <c r="J7163" s="538"/>
      <c r="K7163" s="531"/>
      <c r="L7163" s="535" t="s">
        <v>28</v>
      </c>
      <c r="M7163" s="535">
        <v>8620.1999999999989</v>
      </c>
      <c r="N7163" s="539">
        <v>0.41666666666666669</v>
      </c>
      <c r="O7163" s="897" t="s">
        <v>2433</v>
      </c>
    </row>
    <row r="7164" spans="1:18" ht="19.5" thickBot="1" x14ac:dyDescent="0.3">
      <c r="A7164" s="990"/>
      <c r="B7164" s="636" t="s">
        <v>2405</v>
      </c>
      <c r="C7164" s="637" t="s">
        <v>24</v>
      </c>
      <c r="D7164" s="638">
        <v>5.6710000000000003</v>
      </c>
      <c r="E7164" s="639"/>
      <c r="F7164" s="640" t="s">
        <v>30</v>
      </c>
      <c r="G7164" s="641"/>
      <c r="H7164" s="640" t="s">
        <v>2426</v>
      </c>
      <c r="I7164" s="642"/>
      <c r="J7164" s="643"/>
      <c r="K7164" s="636"/>
      <c r="L7164" s="640" t="s">
        <v>28</v>
      </c>
      <c r="M7164" s="640">
        <v>5671.5599999999995</v>
      </c>
      <c r="N7164" s="644">
        <v>0.41666666666666669</v>
      </c>
      <c r="O7164" s="897" t="s">
        <v>2432</v>
      </c>
    </row>
    <row r="7165" spans="1:18" ht="19.5" thickBot="1" x14ac:dyDescent="0.3">
      <c r="A7165" s="513">
        <f>MAX(A7012:A7164)+1</f>
        <v>4420</v>
      </c>
      <c r="B7165" s="514" t="s">
        <v>2405</v>
      </c>
      <c r="C7165" s="515" t="s">
        <v>26</v>
      </c>
      <c r="D7165" s="516">
        <v>19.986000000000001</v>
      </c>
      <c r="E7165" s="517"/>
      <c r="F7165" s="518" t="s">
        <v>16</v>
      </c>
      <c r="G7165" s="519"/>
      <c r="H7165" s="518" t="s">
        <v>2427</v>
      </c>
      <c r="I7165" s="520"/>
      <c r="J7165" s="521"/>
      <c r="K7165" s="514"/>
      <c r="L7165" s="518" t="s">
        <v>265</v>
      </c>
      <c r="M7165" s="518">
        <v>20167.020000000004</v>
      </c>
      <c r="N7165" s="522">
        <v>0.375</v>
      </c>
      <c r="O7165" s="897" t="s">
        <v>2431</v>
      </c>
    </row>
    <row r="7166" spans="1:18" x14ac:dyDescent="0.25">
      <c r="A7166" s="989">
        <f>MAX(A7013:A7165)+1</f>
        <v>4421</v>
      </c>
      <c r="B7166" s="531" t="s">
        <v>2405</v>
      </c>
      <c r="C7166" s="532" t="s">
        <v>587</v>
      </c>
      <c r="D7166" s="533">
        <v>8.9429999999999996</v>
      </c>
      <c r="E7166" s="534"/>
      <c r="F7166" s="535" t="s">
        <v>16</v>
      </c>
      <c r="G7166" s="536" t="s">
        <v>47</v>
      </c>
      <c r="H7166" s="535" t="s">
        <v>2427</v>
      </c>
      <c r="I7166" s="537"/>
      <c r="J7166" s="538"/>
      <c r="K7166" s="531"/>
      <c r="L7166" s="535" t="s">
        <v>28</v>
      </c>
      <c r="M7166" s="535">
        <v>8943.9599999999991</v>
      </c>
      <c r="N7166" s="539">
        <v>0.41666666666666669</v>
      </c>
      <c r="O7166" s="897" t="s">
        <v>2438</v>
      </c>
    </row>
    <row r="7167" spans="1:18" ht="19.5" thickBot="1" x14ac:dyDescent="0.3">
      <c r="A7167" s="990"/>
      <c r="B7167" s="636" t="s">
        <v>2405</v>
      </c>
      <c r="C7167" s="637" t="s">
        <v>47</v>
      </c>
      <c r="D7167" s="638">
        <v>8.657</v>
      </c>
      <c r="E7167" s="639"/>
      <c r="F7167" s="640" t="s">
        <v>16</v>
      </c>
      <c r="G7167" s="641"/>
      <c r="H7167" s="640" t="s">
        <v>2427</v>
      </c>
      <c r="I7167" s="642"/>
      <c r="J7167" s="643"/>
      <c r="K7167" s="636"/>
      <c r="L7167" s="640" t="s">
        <v>28</v>
      </c>
      <c r="M7167" s="640">
        <v>8766.5399999999991</v>
      </c>
      <c r="N7167" s="644">
        <v>0.41666666666666669</v>
      </c>
      <c r="O7167" s="897" t="s">
        <v>2439</v>
      </c>
    </row>
    <row r="7168" spans="1:18" x14ac:dyDescent="0.25">
      <c r="A7168" s="676">
        <f>MAX(A7015:A7167)+1</f>
        <v>4422</v>
      </c>
      <c r="B7168" s="676"/>
      <c r="C7168" s="473"/>
      <c r="D7168" s="474"/>
      <c r="E7168" s="475"/>
      <c r="F7168" s="676"/>
      <c r="G7168" s="476"/>
      <c r="H7168" s="676"/>
      <c r="I7168" s="477"/>
      <c r="J7168" s="478"/>
      <c r="K7168" s="676"/>
      <c r="L7168" s="676"/>
      <c r="M7168" s="676"/>
      <c r="N7168" s="676"/>
    </row>
    <row r="7169" spans="1:14" x14ac:dyDescent="0.25">
      <c r="A7169" s="676">
        <f>MAX(A7016:A7168)+1</f>
        <v>4423</v>
      </c>
      <c r="B7169" s="676"/>
      <c r="C7169" s="473"/>
      <c r="D7169" s="474"/>
      <c r="E7169" s="475"/>
      <c r="F7169" s="676"/>
      <c r="G7169" s="476"/>
      <c r="H7169" s="676"/>
      <c r="I7169" s="477"/>
      <c r="J7169" s="478"/>
      <c r="K7169" s="676"/>
      <c r="L7169" s="676"/>
      <c r="M7169" s="676"/>
      <c r="N7169" s="676"/>
    </row>
    <row r="7170" spans="1:14" x14ac:dyDescent="0.25">
      <c r="A7170" s="676">
        <f>MAX(A7017:A7169)+1</f>
        <v>4424</v>
      </c>
      <c r="B7170" s="676"/>
      <c r="C7170" s="473"/>
      <c r="D7170" s="474"/>
      <c r="E7170" s="475"/>
      <c r="F7170" s="676"/>
      <c r="G7170" s="476"/>
      <c r="H7170" s="676"/>
      <c r="I7170" s="477"/>
      <c r="J7170" s="478"/>
      <c r="K7170" s="676"/>
      <c r="L7170" s="676"/>
      <c r="M7170" s="676"/>
      <c r="N7170" s="676"/>
    </row>
    <row r="7171" spans="1:14" x14ac:dyDescent="0.25">
      <c r="A7171" s="676">
        <f>MAX(A7018:A7170)+1</f>
        <v>4425</v>
      </c>
      <c r="B7171" s="676"/>
      <c r="C7171" s="473"/>
      <c r="D7171" s="474"/>
      <c r="E7171" s="475"/>
      <c r="F7171" s="676"/>
      <c r="G7171" s="476"/>
      <c r="H7171" s="676"/>
      <c r="I7171" s="477"/>
      <c r="J7171" s="478"/>
      <c r="K7171" s="676"/>
      <c r="L7171" s="676"/>
      <c r="M7171" s="676"/>
      <c r="N7171" s="676"/>
    </row>
    <row r="7172" spans="1:14" x14ac:dyDescent="0.25">
      <c r="A7172" s="676">
        <f>MAX(A7019:A7171)+1</f>
        <v>4426</v>
      </c>
      <c r="B7172" s="676"/>
      <c r="C7172" s="473"/>
      <c r="D7172" s="474"/>
      <c r="E7172" s="475"/>
      <c r="F7172" s="676"/>
      <c r="G7172" s="476"/>
      <c r="H7172" s="676"/>
      <c r="I7172" s="477"/>
      <c r="J7172" s="478"/>
      <c r="K7172" s="676"/>
      <c r="L7172" s="676"/>
      <c r="M7172" s="676"/>
      <c r="N7172" s="676"/>
    </row>
    <row r="7173" spans="1:14" x14ac:dyDescent="0.25">
      <c r="A7173" s="676">
        <f>MAX(A7020:A7172)+1</f>
        <v>4427</v>
      </c>
      <c r="B7173" s="676"/>
      <c r="C7173" s="473"/>
      <c r="D7173" s="474"/>
      <c r="E7173" s="475"/>
      <c r="F7173" s="676"/>
      <c r="G7173" s="476"/>
      <c r="H7173" s="676"/>
      <c r="I7173" s="477"/>
      <c r="J7173" s="478"/>
      <c r="K7173" s="676"/>
      <c r="L7173" s="676"/>
      <c r="M7173" s="676"/>
      <c r="N7173" s="676"/>
    </row>
    <row r="7174" spans="1:14" x14ac:dyDescent="0.25">
      <c r="A7174" s="676">
        <f>MAX(A7021:A7173)+1</f>
        <v>4428</v>
      </c>
      <c r="B7174" s="676"/>
      <c r="C7174" s="473"/>
      <c r="D7174" s="474"/>
      <c r="E7174" s="475"/>
      <c r="F7174" s="676"/>
      <c r="G7174" s="476"/>
      <c r="H7174" s="676"/>
      <c r="I7174" s="477"/>
      <c r="J7174" s="478"/>
      <c r="K7174" s="676"/>
      <c r="L7174" s="676"/>
      <c r="M7174" s="676"/>
      <c r="N7174" s="676"/>
    </row>
    <row r="7175" spans="1:14" x14ac:dyDescent="0.25">
      <c r="A7175" s="676">
        <f>MAX(A7022:A7174)+1</f>
        <v>4429</v>
      </c>
      <c r="B7175" s="676"/>
      <c r="C7175" s="473"/>
      <c r="D7175" s="474"/>
      <c r="E7175" s="475"/>
      <c r="F7175" s="676"/>
      <c r="G7175" s="476"/>
      <c r="H7175" s="676"/>
      <c r="I7175" s="477"/>
      <c r="J7175" s="478"/>
      <c r="K7175" s="676"/>
      <c r="L7175" s="676"/>
      <c r="M7175" s="676"/>
      <c r="N7175" s="676"/>
    </row>
    <row r="7176" spans="1:14" x14ac:dyDescent="0.25">
      <c r="A7176" s="676">
        <f>MAX(A7023:A7175)+1</f>
        <v>4430</v>
      </c>
      <c r="B7176" s="676"/>
      <c r="C7176" s="473"/>
      <c r="D7176" s="474"/>
      <c r="E7176" s="475"/>
      <c r="F7176" s="676"/>
      <c r="G7176" s="476"/>
      <c r="H7176" s="676"/>
      <c r="I7176" s="477"/>
      <c r="J7176" s="478"/>
      <c r="K7176" s="676"/>
      <c r="L7176" s="676"/>
      <c r="M7176" s="676"/>
      <c r="N7176" s="676"/>
    </row>
    <row r="7177" spans="1:14" x14ac:dyDescent="0.25">
      <c r="A7177" s="676">
        <f>MAX(A7024:A7176)+1</f>
        <v>4431</v>
      </c>
      <c r="B7177" s="676"/>
      <c r="C7177" s="473"/>
      <c r="D7177" s="474"/>
      <c r="E7177" s="475"/>
      <c r="F7177" s="676"/>
      <c r="G7177" s="476"/>
      <c r="H7177" s="676"/>
      <c r="I7177" s="477"/>
      <c r="J7177" s="478"/>
      <c r="K7177" s="676"/>
      <c r="L7177" s="676"/>
      <c r="M7177" s="676"/>
      <c r="N7177" s="676"/>
    </row>
    <row r="7178" spans="1:14" x14ac:dyDescent="0.25">
      <c r="A7178" s="676">
        <f>MAX(A7025:A7177)+1</f>
        <v>4432</v>
      </c>
      <c r="B7178" s="676"/>
      <c r="C7178" s="473"/>
      <c r="D7178" s="474"/>
      <c r="E7178" s="475"/>
      <c r="F7178" s="676"/>
      <c r="G7178" s="476"/>
      <c r="H7178" s="676"/>
      <c r="I7178" s="477"/>
      <c r="J7178" s="478"/>
      <c r="K7178" s="676"/>
      <c r="L7178" s="676"/>
      <c r="M7178" s="676"/>
      <c r="N7178" s="676"/>
    </row>
    <row r="7179" spans="1:14" x14ac:dyDescent="0.25">
      <c r="A7179" s="676">
        <f>MAX(A7026:A7178)+1</f>
        <v>4433</v>
      </c>
      <c r="B7179" s="676"/>
      <c r="C7179" s="473"/>
      <c r="D7179" s="474"/>
      <c r="E7179" s="475"/>
      <c r="F7179" s="676"/>
      <c r="G7179" s="476"/>
      <c r="H7179" s="676"/>
      <c r="I7179" s="477"/>
      <c r="J7179" s="478"/>
      <c r="K7179" s="676"/>
      <c r="L7179" s="676"/>
      <c r="M7179" s="676"/>
      <c r="N7179" s="676"/>
    </row>
    <row r="7180" spans="1:14" x14ac:dyDescent="0.25">
      <c r="A7180" s="676">
        <f>MAX(A7027:A7179)+1</f>
        <v>4434</v>
      </c>
      <c r="B7180" s="676"/>
      <c r="C7180" s="473"/>
      <c r="D7180" s="474"/>
      <c r="E7180" s="475"/>
      <c r="F7180" s="676"/>
      <c r="G7180" s="476"/>
      <c r="H7180" s="676"/>
      <c r="I7180" s="477"/>
      <c r="J7180" s="478"/>
      <c r="K7180" s="676"/>
      <c r="L7180" s="676"/>
      <c r="M7180" s="676"/>
      <c r="N7180" s="676"/>
    </row>
    <row r="7181" spans="1:14" x14ac:dyDescent="0.25">
      <c r="A7181" s="676">
        <f>MAX(A7028:A7180)+1</f>
        <v>4435</v>
      </c>
      <c r="B7181" s="676"/>
      <c r="C7181" s="473"/>
      <c r="D7181" s="474"/>
      <c r="E7181" s="475"/>
      <c r="F7181" s="676"/>
      <c r="G7181" s="476"/>
      <c r="H7181" s="676"/>
      <c r="I7181" s="477"/>
      <c r="J7181" s="478"/>
      <c r="K7181" s="676"/>
      <c r="L7181" s="676"/>
      <c r="M7181" s="676"/>
      <c r="N7181" s="676"/>
    </row>
    <row r="7182" spans="1:14" x14ac:dyDescent="0.25">
      <c r="A7182" s="676">
        <f>MAX(A7029:A7181)+1</f>
        <v>4436</v>
      </c>
      <c r="B7182" s="676"/>
      <c r="C7182" s="473"/>
      <c r="D7182" s="474"/>
      <c r="E7182" s="475"/>
      <c r="F7182" s="676"/>
      <c r="G7182" s="476"/>
      <c r="H7182" s="676"/>
      <c r="I7182" s="477"/>
      <c r="J7182" s="478"/>
      <c r="K7182" s="676"/>
      <c r="L7182" s="676"/>
      <c r="M7182" s="676"/>
      <c r="N7182" s="676"/>
    </row>
    <row r="7183" spans="1:14" x14ac:dyDescent="0.25">
      <c r="A7183" s="676">
        <f>MAX(A7030:A7182)+1</f>
        <v>4437</v>
      </c>
      <c r="B7183" s="676"/>
      <c r="C7183" s="473"/>
      <c r="D7183" s="474"/>
      <c r="E7183" s="475"/>
      <c r="F7183" s="676"/>
      <c r="G7183" s="476"/>
      <c r="H7183" s="676"/>
      <c r="I7183" s="477"/>
      <c r="J7183" s="478"/>
      <c r="K7183" s="676"/>
      <c r="L7183" s="676"/>
      <c r="M7183" s="676"/>
      <c r="N7183" s="676"/>
    </row>
    <row r="7184" spans="1:14" x14ac:dyDescent="0.25">
      <c r="A7184" s="676">
        <f>MAX(A7031:A7183)+1</f>
        <v>4438</v>
      </c>
      <c r="B7184" s="676"/>
      <c r="C7184" s="473"/>
      <c r="D7184" s="474"/>
      <c r="E7184" s="475"/>
      <c r="F7184" s="676"/>
      <c r="G7184" s="476"/>
      <c r="H7184" s="676"/>
      <c r="I7184" s="477"/>
      <c r="J7184" s="478"/>
      <c r="K7184" s="676"/>
      <c r="L7184" s="676"/>
      <c r="M7184" s="676"/>
      <c r="N7184" s="676"/>
    </row>
    <row r="7185" spans="1:14" x14ac:dyDescent="0.25">
      <c r="A7185" s="676">
        <f>MAX(A7032:A7184)+1</f>
        <v>4439</v>
      </c>
      <c r="B7185" s="676"/>
      <c r="C7185" s="473"/>
      <c r="D7185" s="474"/>
      <c r="E7185" s="475"/>
      <c r="F7185" s="676"/>
      <c r="G7185" s="476"/>
      <c r="H7185" s="676"/>
      <c r="I7185" s="477"/>
      <c r="J7185" s="478"/>
      <c r="K7185" s="676"/>
      <c r="L7185" s="676"/>
      <c r="M7185" s="676"/>
      <c r="N7185" s="676"/>
    </row>
  </sheetData>
  <autoFilter ref="A2:R7185" xr:uid="{9E4C531E-AD50-422A-AC7C-8C5AF4C19268}">
    <filterColumn colId="10">
      <filters blank="1"/>
    </filterColumn>
  </autoFilter>
  <mergeCells count="1888">
    <mergeCell ref="A7163:A7164"/>
    <mergeCell ref="A7166:A7167"/>
    <mergeCell ref="A7142:A7143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G4765:G4766"/>
    <mergeCell ref="A4754:A4755"/>
    <mergeCell ref="A4964:A4965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342:A5343"/>
    <mergeCell ref="G7115:G7118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7095:A7096"/>
    <mergeCell ref="A5385:A5386"/>
    <mergeCell ref="A5387:A5388"/>
    <mergeCell ref="A6721:A6722"/>
    <mergeCell ref="A5625:A5626"/>
    <mergeCell ref="A5577:A5578"/>
    <mergeCell ref="A6703:A6706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12:A7114"/>
    <mergeCell ref="A7115:A7118"/>
    <mergeCell ref="A7120:A7123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G6560:G6561"/>
    <mergeCell ref="A6735:A6736"/>
    <mergeCell ref="A7093:A7094"/>
    <mergeCell ref="A7129:A7130"/>
    <mergeCell ref="G7129:G7130"/>
    <mergeCell ref="G7127:G7128"/>
    <mergeCell ref="A7127:A7128"/>
    <mergeCell ref="A7110:A7111"/>
    <mergeCell ref="A7144:A7147"/>
    <mergeCell ref="A7148:A7150"/>
    <mergeCell ref="G7148:G7150"/>
    <mergeCell ref="A7151:A7153"/>
    <mergeCell ref="A7131:A7134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G5436:G5437"/>
    <mergeCell ref="G5370:G537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2026-09-02T16:30:32Z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