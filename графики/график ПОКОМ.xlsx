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78B75B75-B435-43BB-84D0-8D4906FC421E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Лист1!$A$2:$R$7088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s="1"/>
  <c r="A6989" i="1" s="1"/>
  <c r="A6992" i="1" s="1"/>
  <c r="A6996" i="1" s="1"/>
  <c r="A6999" i="1" s="1"/>
  <c r="A7004" i="1" s="1"/>
  <c r="A7006" i="1" s="1"/>
  <c r="A7008" i="1" s="1"/>
  <c r="A7009" i="1" s="1"/>
  <c r="A7010" i="1" s="1"/>
  <c r="A7011" i="1" s="1"/>
  <c r="A7014" i="1" s="1"/>
  <c r="A7016" i="1" s="1"/>
  <c r="A7017" i="1" s="1"/>
  <c r="A7020" i="1" s="1"/>
  <c r="A7021" i="1" s="1"/>
  <c r="A7022" i="1" s="1"/>
  <c r="A7023" i="1" s="1"/>
  <c r="A7024" i="1" s="1"/>
  <c r="A7025" i="1" l="1"/>
  <c r="A7026" i="1" s="1"/>
  <c r="A7028" i="1" l="1"/>
  <c r="A7031" i="1" s="1"/>
  <c r="A7032" i="1" l="1"/>
  <c r="A7035" i="1" s="1"/>
  <c r="A7037" i="1" s="1"/>
  <c r="A7039" i="1" s="1"/>
  <c r="A7041" i="1" l="1"/>
  <c r="A7042" i="1" s="1"/>
  <c r="A7047" i="1" l="1"/>
  <c r="A7050" i="1" s="1"/>
  <c r="A7054" i="1" s="1"/>
  <c r="A7056" i="1" l="1"/>
  <c r="A7058" i="1" s="1"/>
  <c r="A7062" i="1" l="1"/>
  <c r="A7063" i="1" s="1"/>
  <c r="A7067" i="1" s="1"/>
  <c r="A7069" i="1" l="1"/>
  <c r="A7073" i="1" s="1"/>
  <c r="A7074" i="1" l="1"/>
  <c r="A7076" i="1" s="1"/>
  <c r="A7078" i="1" s="1"/>
  <c r="A7079" i="1" s="1"/>
  <c r="A7080" i="1" s="1"/>
  <c r="A7082" i="1" l="1"/>
  <c r="A7084" i="1" s="1"/>
  <c r="A7086" i="1" s="1"/>
  <c r="A7087" i="1" l="1"/>
  <c r="A7088" i="1" s="1"/>
  <c r="A7089" i="1" l="1"/>
  <c r="A7090" i="1" s="1"/>
  <c r="A7091" i="1" l="1"/>
  <c r="A7092" i="1" s="1"/>
  <c r="A7093" i="1" l="1"/>
  <c r="A7094" i="1" s="1"/>
  <c r="A7095" i="1" l="1"/>
  <c r="A7096" i="1" s="1"/>
  <c r="A7097" i="1" l="1"/>
  <c r="A7098" i="1" s="1"/>
  <c r="A7099" i="1" l="1"/>
  <c r="A7100" i="1" s="1"/>
</calcChain>
</file>

<file path=xl/sharedStrings.xml><?xml version="1.0" encoding="utf-8"?>
<sst xmlns="http://schemas.openxmlformats.org/spreadsheetml/2006/main" count="45299" uniqueCount="2275">
  <si>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</si>
  <si>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</si>
  <si>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</si>
  <si>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</si>
  <si>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</si>
  <si>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</si>
  <si>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</si>
  <si>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</si>
  <si>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</si>
  <si>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</si>
  <si>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</si>
  <si>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</si>
  <si>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</si>
  <si>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</si>
  <si>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</si>
  <si>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</si>
  <si>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</si>
  <si>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</si>
  <si>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</si>
  <si>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</si>
  <si>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</si>
  <si>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</si>
  <si>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</si>
  <si>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</si>
  <si>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</si>
  <si>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</si>
  <si>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</si>
  <si>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</si>
  <si>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</si>
  <si>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</si>
  <si>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</si>
  <si>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</si>
  <si>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</si>
  <si>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</si>
  <si>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</si>
  <si>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</si>
  <si>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</si>
  <si>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</si>
  <si>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</si>
  <si>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</si>
  <si>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</si>
  <si>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</si>
  <si>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</si>
  <si>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</si>
  <si>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</si>
  <si>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</si>
  <si>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</si>
  <si>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</si>
  <si>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</si>
  <si>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</si>
  <si>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</si>
  <si>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</si>
  <si>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</si>
  <si>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</si>
  <si>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</si>
  <si>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</si>
  <si>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</si>
  <si>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</si>
  <si>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</si>
  <si>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</si>
  <si>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</si>
  <si>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</si>
  <si>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</si>
  <si>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</si>
  <si>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</si>
  <si>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</si>
  <si>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</si>
  <si>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</si>
  <si>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</si>
  <si>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</si>
  <si>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</si>
  <si>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</si>
  <si>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</si>
  <si>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</si>
  <si>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</si>
  <si>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</si>
  <si>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</si>
  <si>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</si>
  <si>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</si>
  <si>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</si>
  <si>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</si>
  <si>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</si>
  <si>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</si>
  <si>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</si>
  <si>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</si>
  <si>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</si>
  <si>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</si>
  <si>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</si>
  <si>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</si>
  <si>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</si>
  <si>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</si>
  <si>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</si>
  <si>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</si>
  <si>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</si>
  <si>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</si>
  <si>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</si>
  <si>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</si>
  <si>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</si>
  <si>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</si>
  <si>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</si>
  <si>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</si>
  <si>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</si>
  <si>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</si>
  <si>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</si>
  <si>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</si>
  <si>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</si>
  <si>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</si>
  <si>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</si>
  <si>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</si>
  <si>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</si>
  <si>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</si>
  <si>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</si>
  <si>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</si>
  <si>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</si>
  <si>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</si>
  <si>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</si>
  <si>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</si>
  <si>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</si>
  <si>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</si>
  <si>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</si>
  <si>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</si>
  <si>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</si>
  <si>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</si>
  <si>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</si>
  <si>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</si>
  <si>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</si>
  <si>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</si>
  <si>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</si>
  <si>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</si>
  <si>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</si>
  <si>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</si>
  <si>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</si>
  <si>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</si>
  <si>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</si>
  <si>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</si>
  <si>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</si>
  <si>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</si>
  <si>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</si>
  <si>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</si>
  <si>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</si>
  <si>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</si>
  <si>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</si>
  <si>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</si>
  <si>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</si>
  <si>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</si>
  <si>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</si>
  <si>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</si>
  <si>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</si>
  <si>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</si>
  <si>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</si>
  <si>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</si>
  <si>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</si>
  <si>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</si>
  <si>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</si>
  <si>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</si>
  <si>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</si>
  <si>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</si>
  <si>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</si>
  <si>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</si>
  <si>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</si>
  <si>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</si>
  <si>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</si>
  <si>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</si>
  <si>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</si>
  <si>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</si>
  <si>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</si>
  <si>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</si>
  <si>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</si>
  <si>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</si>
  <si>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</si>
  <si>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</si>
  <si>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</si>
  <si>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</si>
  <si>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</si>
  <si>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</si>
  <si>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</si>
  <si>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</si>
  <si>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</si>
  <si>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</si>
  <si>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</si>
  <si>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</si>
  <si>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</si>
  <si>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</si>
  <si>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</si>
  <si>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</si>
  <si>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</si>
  <si>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</si>
  <si>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</si>
  <si>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</si>
  <si>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</si>
  <si>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</si>
  <si>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</si>
  <si>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</si>
  <si>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</si>
  <si>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</si>
  <si>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</si>
  <si>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</si>
  <si>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</si>
  <si>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</si>
  <si>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</si>
  <si>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</si>
  <si>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</si>
  <si>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</si>
  <si>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</si>
  <si>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</si>
  <si>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</si>
  <si>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</si>
  <si>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</si>
  <si>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</si>
  <si>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</si>
  <si>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</si>
  <si>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</si>
  <si>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</si>
  <si>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</si>
  <si>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</si>
  <si>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</si>
  <si>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</si>
  <si>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</si>
  <si>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</si>
  <si>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</si>
  <si>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</si>
  <si>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</si>
  <si>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</si>
  <si>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</si>
  <si>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</si>
  <si>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</si>
  <si>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</si>
  <si>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</si>
  <si>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</si>
  <si>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</si>
  <si>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</si>
  <si>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</si>
  <si>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</si>
  <si>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</si>
  <si>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</si>
  <si>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</si>
  <si>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</si>
  <si>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</si>
  <si>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</si>
  <si>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</si>
  <si>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</si>
  <si>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</si>
  <si>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</si>
  <si>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</si>
  <si>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</si>
  <si>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</si>
  <si>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</si>
  <si>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</si>
  <si>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</si>
  <si>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</si>
  <si>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</si>
  <si>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</si>
  <si>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</si>
  <si>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</si>
  <si>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</si>
  <si>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</si>
  <si>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</si>
  <si>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</si>
  <si>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</si>
  <si>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</si>
  <si>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</si>
  <si>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</si>
  <si>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</si>
  <si>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</si>
  <si>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</si>
  <si>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</si>
  <si>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</si>
  <si>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</si>
  <si>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</si>
  <si>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</si>
  <si>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</si>
  <si>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</si>
  <si>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</si>
  <si>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</si>
  <si>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</si>
  <si>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</si>
  <si>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</si>
  <si>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</si>
  <si>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</si>
  <si>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</si>
  <si>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</si>
  <si>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</si>
  <si>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</si>
  <si>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</si>
  <si>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</si>
  <si>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</si>
  <si>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</si>
  <si>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</si>
  <si>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</si>
  <si>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</si>
  <si>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</si>
  <si>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</si>
  <si>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</si>
  <si>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</si>
  <si>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</si>
  <si>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</si>
  <si>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</si>
  <si>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</si>
  <si>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</si>
  <si>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</si>
  <si>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</si>
  <si>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</si>
  <si>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</si>
  <si>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</si>
  <si>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</si>
  <si>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</si>
  <si>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</si>
  <si>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</si>
  <si>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</si>
  <si>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</si>
  <si>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</si>
  <si>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</si>
  <si>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</si>
  <si>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</si>
  <si>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</si>
  <si>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</si>
  <si>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</si>
  <si>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</si>
  <si>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</si>
  <si>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</si>
  <si>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</si>
  <si>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</si>
  <si>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</si>
  <si>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</si>
  <si>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</si>
  <si>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</si>
  <si>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</si>
  <si>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</si>
  <si>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</si>
  <si>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</si>
  <si>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</si>
  <si>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</si>
  <si>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</si>
  <si>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</si>
  <si>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</si>
  <si>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</si>
  <si>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</si>
  <si>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</si>
  <si>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</si>
  <si>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</si>
  <si>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</si>
  <si>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</si>
  <si>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</si>
  <si>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</si>
  <si>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</si>
  <si>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</si>
  <si>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</si>
  <si>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</si>
  <si>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</si>
  <si>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</si>
  <si>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</si>
  <si>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</si>
  <si>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</si>
  <si>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</si>
  <si>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</si>
  <si>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</si>
  <si>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</si>
  <si>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</si>
  <si>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</si>
  <si>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</si>
  <si>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</si>
  <si>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</si>
  <si>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</si>
  <si>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</si>
  <si>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</si>
  <si>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</si>
  <si>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</si>
  <si>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</si>
  <si>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</si>
  <si>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</si>
  <si>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</si>
  <si>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</si>
  <si>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</si>
  <si>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</si>
  <si>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</si>
  <si>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</si>
  <si>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</si>
  <si>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</si>
  <si>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</si>
  <si>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</si>
  <si>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</si>
  <si>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</si>
  <si>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</si>
  <si>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</si>
  <si>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</si>
  <si>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</si>
  <si>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</si>
  <si>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</si>
  <si>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</si>
  <si>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</si>
  <si>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</si>
  <si>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</si>
  <si>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</si>
  <si>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</si>
  <si>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</si>
  <si>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</si>
  <si>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</si>
  <si>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</si>
  <si>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</si>
  <si>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</si>
  <si>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</si>
  <si>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</si>
  <si>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</si>
  <si>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</si>
  <si>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</si>
  <si>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</si>
  <si>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</si>
  <si>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</si>
  <si>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</si>
  <si>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</si>
  <si>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</si>
  <si>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</si>
  <si>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</si>
  <si>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</si>
  <si>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</si>
  <si>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</si>
  <si>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</si>
  <si>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</si>
  <si>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</si>
  <si>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</si>
  <si>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</si>
  <si>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</si>
  <si>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</si>
  <si>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</si>
  <si>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</si>
  <si>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</si>
  <si>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</si>
  <si>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</si>
  <si>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</si>
  <si>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</si>
  <si>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</si>
  <si>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</si>
  <si>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</si>
  <si>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</si>
  <si>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</si>
  <si>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</si>
  <si>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</si>
  <si>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</si>
  <si>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</si>
  <si>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</si>
  <si>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</si>
  <si>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</si>
  <si>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</si>
  <si>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</si>
  <si>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</si>
  <si>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</si>
  <si>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</si>
  <si>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</si>
  <si>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</si>
  <si>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</si>
  <si>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</si>
  <si>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</si>
  <si>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</si>
  <si>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</si>
  <si>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</si>
  <si>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</si>
  <si>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</si>
  <si>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</si>
  <si>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</si>
  <si>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</si>
  <si>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</si>
  <si>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</si>
  <si>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</si>
  <si>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</si>
  <si>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</si>
  <si>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</si>
  <si>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</si>
  <si>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</si>
  <si>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</si>
  <si>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</si>
  <si>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</si>
  <si>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</si>
  <si>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</si>
  <si>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</si>
  <si>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</si>
  <si>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</si>
  <si>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</si>
  <si>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</si>
  <si>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</si>
  <si>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</si>
  <si>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</si>
  <si>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</si>
  <si>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</si>
  <si>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</si>
  <si>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</si>
  <si>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</si>
  <si>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</si>
  <si>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</si>
  <si>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</si>
  <si>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</si>
  <si>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</si>
  <si>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</si>
  <si>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</si>
  <si>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</si>
  <si>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</si>
  <si>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</si>
  <si>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</si>
  <si>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</si>
  <si>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</si>
  <si>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</si>
  <si>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</si>
  <si>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</si>
  <si>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</si>
  <si>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</si>
  <si>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</si>
  <si>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</si>
  <si>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</si>
  <si>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</si>
  <si>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</si>
  <si>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</si>
  <si>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</si>
  <si>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</si>
  <si>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</si>
  <si>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</si>
  <si>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</si>
  <si>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</si>
  <si>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</si>
  <si>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</si>
  <si>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</si>
  <si>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</si>
  <si>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</si>
  <si>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</si>
  <si>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</si>
  <si>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</si>
  <si>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</si>
  <si>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</si>
  <si>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</si>
  <si>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</si>
  <si>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</si>
  <si>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</si>
  <si>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</si>
  <si>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</si>
  <si>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</si>
  <si>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</si>
  <si>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</si>
  <si>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</si>
  <si>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</si>
  <si>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</si>
  <si>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</si>
  <si>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</si>
  <si>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</si>
  <si>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</si>
  <si>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</si>
  <si>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</si>
  <si>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</si>
  <si>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</si>
  <si>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</si>
  <si>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</si>
  <si>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</si>
  <si>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</si>
  <si>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</si>
  <si>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</si>
  <si>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</si>
  <si>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</si>
  <si>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</si>
  <si>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</si>
  <si>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</si>
  <si>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</si>
  <si>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</si>
  <si>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</si>
  <si>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</si>
  <si>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</si>
  <si>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</si>
  <si>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</si>
  <si>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</si>
  <si>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</si>
  <si>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</si>
  <si>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</si>
  <si>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</si>
  <si>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</si>
  <si>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</si>
  <si>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</si>
  <si>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</si>
  <si>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</si>
  <si>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</si>
  <si>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</si>
  <si>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</si>
  <si>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</si>
  <si>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</si>
  <si>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</si>
  <si>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</si>
  <si>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</si>
  <si>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</si>
  <si>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</si>
  <si>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</si>
  <si>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</si>
  <si>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</si>
  <si>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</si>
  <si>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</si>
  <si>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</si>
  <si>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</si>
  <si>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</si>
  <si>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</si>
  <si>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</si>
  <si>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</si>
  <si>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</si>
  <si>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</si>
  <si>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</si>
  <si>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</si>
  <si>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</si>
  <si>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</si>
  <si>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</si>
  <si>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</si>
  <si>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</si>
  <si>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</si>
  <si>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</si>
  <si>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</si>
  <si>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</si>
  <si>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</si>
  <si>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</si>
  <si>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</si>
  <si>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</si>
  <si>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</si>
  <si>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</si>
  <si>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</si>
  <si>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</si>
  <si>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</si>
  <si>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</si>
  <si>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</si>
  <si>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</si>
  <si>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</si>
  <si>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</si>
  <si>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</si>
  <si>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</si>
  <si>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</si>
  <si>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</si>
  <si>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</si>
  <si>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</si>
  <si>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</si>
  <si>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</si>
  <si>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</si>
  <si>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</si>
  <si>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</si>
  <si>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</si>
  <si>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</si>
  <si>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</si>
  <si>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</si>
  <si>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</si>
  <si>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</si>
  <si>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</si>
  <si>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</si>
  <si>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</si>
  <si>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</si>
  <si>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</si>
  <si>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</si>
  <si>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</si>
  <si>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</si>
  <si>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</si>
  <si>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</si>
  <si>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</si>
  <si>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</si>
  <si>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</si>
  <si>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</si>
  <si>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</si>
  <si>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</si>
  <si>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</si>
  <si>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</si>
  <si>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</si>
  <si>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</si>
  <si>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</si>
  <si>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</si>
  <si>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</si>
  <si>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</si>
  <si>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</si>
  <si>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</si>
  <si>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</si>
  <si>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</si>
  <si>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</si>
  <si>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</si>
  <si>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</si>
  <si>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</si>
  <si>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</si>
  <si>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</si>
  <si>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</si>
  <si>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</si>
  <si>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</si>
  <si>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</si>
  <si>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</si>
  <si>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</si>
  <si>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</si>
  <si>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</si>
  <si>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</si>
  <si>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</si>
  <si>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</si>
  <si>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</si>
  <si>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</si>
  <si>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</si>
  <si>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</si>
  <si>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</si>
  <si>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</si>
  <si>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</si>
  <si>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</si>
  <si>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</si>
  <si>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</si>
  <si>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</si>
  <si>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</si>
  <si>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</si>
  <si>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</si>
  <si>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</si>
  <si>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</si>
  <si>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</si>
  <si>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</si>
  <si>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</si>
  <si>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</si>
  <si>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</si>
  <si>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</si>
  <si>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</si>
  <si>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</si>
  <si>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</si>
  <si>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</si>
  <si>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</si>
  <si>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</si>
  <si>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</si>
  <si>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</si>
  <si>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</si>
  <si>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</si>
  <si>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</si>
  <si>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</si>
  <si>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</si>
  <si>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</si>
  <si>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</si>
  <si>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</si>
  <si>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</si>
  <si>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</si>
  <si>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</si>
  <si>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</si>
  <si>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</si>
  <si>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</si>
  <si>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</si>
  <si>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</si>
  <si>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</si>
  <si>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</si>
  <si>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</si>
  <si>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</si>
  <si>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</si>
  <si>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</si>
  <si>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</si>
  <si>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</si>
  <si>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</si>
  <si>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</si>
  <si>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</si>
  <si>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</si>
  <si>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</si>
  <si>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</si>
  <si>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</si>
  <si>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</si>
  <si>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</si>
  <si>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</si>
  <si>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</si>
  <si>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</si>
  <si>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</si>
  <si>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</si>
  <si>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</si>
  <si>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</si>
  <si>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</si>
  <si>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</si>
  <si>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</si>
  <si>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</si>
  <si>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</si>
  <si>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</si>
  <si>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</si>
  <si>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</si>
  <si>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</si>
  <si>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</si>
  <si>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</si>
  <si>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</si>
  <si>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</si>
  <si>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</si>
  <si>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</si>
  <si>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</si>
  <si>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</si>
  <si>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</si>
  <si>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</si>
  <si>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</si>
  <si>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</si>
  <si>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</si>
  <si>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</si>
  <si>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</si>
  <si>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</si>
  <si>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</si>
  <si>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</si>
  <si>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</si>
  <si>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</si>
  <si>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</si>
  <si>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</si>
  <si>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</si>
  <si>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</si>
  <si>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</si>
  <si>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</si>
  <si>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</si>
  <si>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</si>
  <si>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</si>
  <si>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</si>
  <si>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</si>
  <si>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</si>
  <si>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</si>
  <si>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</si>
  <si>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</si>
  <si>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</si>
  <si>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</si>
  <si>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</si>
  <si>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</si>
  <si>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</si>
  <si>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</si>
  <si>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</si>
  <si>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</si>
  <si>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</si>
  <si>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</si>
  <si>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</si>
  <si>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</si>
  <si>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</si>
  <si>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</si>
  <si>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</si>
  <si>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</si>
  <si>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</si>
  <si>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</si>
  <si>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</si>
  <si>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</si>
  <si>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</si>
  <si>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</si>
  <si>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</si>
  <si>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</si>
  <si>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</si>
  <si>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</si>
  <si>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</si>
  <si>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</si>
  <si>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</si>
  <si>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</si>
  <si>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</si>
  <si>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</si>
  <si>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</si>
  <si>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</si>
  <si>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</si>
  <si>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</si>
  <si>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</si>
  <si>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</si>
  <si>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</si>
  <si>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</si>
  <si>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</si>
  <si>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</si>
  <si>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</si>
  <si>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</si>
  <si>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</si>
  <si>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</si>
  <si>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</si>
  <si>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</si>
  <si>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</si>
  <si>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</si>
  <si>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</si>
  <si>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</si>
  <si>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</si>
  <si>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</si>
  <si>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</si>
  <si>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</si>
  <si>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</si>
  <si>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</si>
  <si>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</si>
  <si>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</si>
  <si>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</si>
  <si>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</si>
  <si>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</si>
  <si>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</si>
  <si>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</si>
  <si>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</si>
  <si>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</si>
  <si>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</si>
  <si>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</si>
  <si>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</si>
  <si>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</si>
  <si>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</si>
  <si>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</si>
  <si>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</si>
  <si>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</si>
  <si>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</si>
  <si>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</si>
  <si>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</si>
  <si>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</si>
  <si>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</si>
  <si>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</si>
  <si>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</si>
  <si>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</si>
  <si>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</si>
  <si>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</si>
  <si>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</si>
  <si>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</si>
  <si>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</si>
  <si>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</si>
  <si>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</si>
  <si>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</si>
  <si>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</si>
  <si>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</si>
  <si>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</si>
  <si>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</si>
  <si>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</si>
  <si>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</si>
  <si>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</si>
  <si>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</si>
  <si>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</si>
  <si>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</si>
  <si>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</si>
  <si>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</si>
  <si>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</si>
  <si>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</si>
  <si>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</si>
  <si>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</si>
  <si>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</si>
  <si>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</si>
  <si>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</si>
  <si>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</si>
  <si>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</si>
  <si>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</si>
  <si>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</si>
  <si>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</si>
  <si>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</si>
  <si>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</si>
  <si>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</si>
  <si>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</si>
  <si>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</si>
  <si>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</si>
  <si>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</si>
  <si>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</si>
  <si>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</si>
  <si>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</si>
  <si>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</si>
  <si>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</si>
  <si>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</si>
  <si>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</si>
  <si>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</si>
  <si>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</si>
  <si>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</si>
  <si>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</si>
  <si>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</si>
  <si>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</si>
  <si>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</si>
  <si>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</si>
  <si>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</si>
  <si>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</si>
  <si>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</si>
  <si>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</si>
  <si>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</si>
  <si>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</si>
  <si>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</si>
  <si>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</si>
  <si>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</si>
  <si>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</si>
  <si>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</si>
  <si>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</si>
  <si>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</si>
  <si>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</si>
  <si>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</si>
  <si>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</si>
  <si>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</si>
  <si>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</si>
  <si>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</si>
  <si>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</si>
  <si>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</si>
  <si>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</si>
  <si>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</si>
  <si>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</si>
  <si>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</si>
  <si>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</si>
  <si>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</si>
  <si>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</si>
  <si>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</si>
  <si>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</si>
  <si>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</si>
  <si>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</si>
  <si>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</si>
  <si>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</si>
  <si>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</si>
  <si>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</si>
  <si>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</si>
  <si>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</si>
  <si>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</si>
  <si>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</si>
  <si>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</si>
  <si>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</si>
  <si>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</si>
  <si>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</si>
  <si>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</si>
  <si>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</si>
  <si>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</si>
  <si>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</si>
  <si>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</si>
  <si>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</si>
  <si>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</si>
  <si>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</si>
  <si>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</si>
  <si>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</si>
  <si>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</si>
  <si>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</si>
  <si>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</si>
  <si>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</si>
  <si>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</si>
  <si>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</si>
  <si>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</si>
  <si>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</si>
  <si>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</si>
  <si>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</si>
  <si>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</si>
  <si>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</si>
  <si>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</si>
  <si>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</si>
  <si>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</si>
  <si>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</si>
  <si>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</si>
  <si>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</si>
  <si>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</si>
  <si>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</si>
  <si>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</si>
  <si>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</si>
  <si>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</si>
  <si>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</si>
  <si>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</si>
  <si>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</si>
  <si>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</si>
  <si>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</si>
  <si>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</si>
  <si>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</si>
  <si>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</si>
  <si>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</si>
  <si>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</si>
  <si>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</si>
  <si>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</si>
  <si>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</si>
  <si>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</si>
  <si>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</si>
  <si>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</si>
  <si>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</si>
  <si>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</si>
  <si>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</si>
  <si>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</si>
  <si>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</si>
  <si>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</si>
  <si>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</si>
  <si>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</si>
  <si>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</si>
  <si>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</si>
  <si>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</si>
  <si>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</si>
  <si>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</si>
  <si>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</si>
  <si>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</si>
  <si>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</si>
  <si>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</si>
  <si>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</si>
  <si>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</si>
  <si>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</si>
  <si>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</si>
  <si>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</si>
  <si>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</si>
  <si>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</si>
  <si>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</si>
  <si>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</si>
  <si>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</si>
  <si>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</si>
  <si>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</si>
  <si>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</si>
  <si>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</si>
  <si>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</si>
  <si>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</si>
  <si>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</si>
  <si>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</si>
  <si>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</si>
  <si>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</si>
  <si>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</si>
  <si>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</si>
  <si>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</si>
  <si>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</si>
  <si>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</si>
  <si>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</si>
  <si>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</si>
  <si>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</si>
  <si>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</si>
  <si>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</si>
  <si>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</si>
  <si>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</si>
  <si>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</si>
  <si>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</si>
  <si>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</si>
  <si>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</si>
  <si>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</si>
  <si>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</si>
  <si>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</si>
  <si>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</si>
  <si>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</si>
  <si>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</si>
  <si>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</si>
  <si>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</si>
  <si>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</si>
  <si>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</si>
  <si>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</si>
  <si>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</si>
  <si>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</si>
  <si>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</si>
  <si>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</si>
  <si>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</si>
  <si>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</si>
  <si>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</si>
  <si>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</si>
  <si>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</si>
  <si>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</si>
  <si>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</si>
  <si>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</si>
  <si>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</si>
  <si>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</si>
  <si>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</si>
  <si>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</si>
  <si>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</si>
  <si>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</si>
  <si>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</si>
  <si>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</si>
  <si>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</si>
  <si>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</si>
  <si>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</si>
  <si>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</si>
  <si>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</si>
  <si>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</si>
  <si>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</si>
  <si>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</si>
  <si>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</si>
  <si>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</si>
  <si>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</si>
  <si>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</si>
  <si>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</si>
  <si>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</si>
  <si>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</si>
  <si>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</si>
  <si>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</si>
  <si>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</si>
  <si>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</si>
  <si>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</si>
  <si>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</si>
  <si>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</si>
  <si>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</si>
  <si>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</si>
  <si>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</si>
  <si>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</si>
  <si>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</si>
  <si>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</si>
  <si>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</si>
  <si>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</si>
  <si>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</si>
  <si>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</si>
  <si>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</si>
  <si>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</si>
  <si>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</si>
  <si>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</si>
  <si>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</si>
  <si>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</si>
  <si>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</si>
  <si>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</si>
  <si>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</si>
  <si>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</si>
  <si>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</si>
  <si>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</si>
  <si>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</si>
  <si>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</si>
  <si>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</si>
  <si>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</si>
  <si>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</si>
  <si>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</si>
  <si>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</si>
  <si>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</si>
  <si>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</si>
  <si>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</si>
  <si>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</si>
  <si>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</si>
  <si>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</si>
  <si>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</si>
  <si>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</si>
  <si>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</si>
  <si>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</si>
  <si>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</si>
  <si>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</si>
  <si>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</si>
  <si>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</si>
  <si>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</si>
  <si>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</si>
  <si>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</si>
  <si>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</si>
  <si>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</si>
  <si>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</si>
  <si>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</si>
  <si>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</si>
  <si>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</si>
  <si>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</si>
  <si>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</si>
  <si>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</si>
  <si>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</si>
  <si>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</si>
  <si>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</si>
  <si>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</si>
  <si>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</si>
  <si>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</si>
  <si>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</si>
  <si>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</si>
  <si>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</si>
  <si>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</si>
  <si>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</si>
  <si>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</si>
  <si>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</si>
  <si>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</si>
  <si>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</si>
  <si>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</si>
  <si>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</si>
  <si>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</si>
  <si>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</si>
  <si>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</si>
  <si>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</si>
  <si>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</si>
  <si>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</si>
  <si>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</si>
  <si>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</si>
  <si>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</si>
  <si>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</si>
  <si>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</si>
  <si>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</si>
  <si>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</si>
  <si>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</si>
  <si>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</si>
  <si>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</si>
  <si>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</si>
  <si>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</si>
  <si>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</si>
  <si>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</si>
  <si>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</si>
  <si>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</si>
  <si>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</si>
  <si>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</si>
  <si>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</si>
  <si>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</si>
  <si>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</si>
  <si>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</si>
  <si>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</si>
  <si>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</si>
  <si>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</si>
  <si>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</si>
  <si>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</si>
  <si>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</si>
  <si>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</si>
  <si>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</si>
  <si>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</si>
  <si>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</si>
  <si>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</si>
  <si>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</si>
  <si>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</si>
  <si>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</si>
  <si>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</si>
  <si>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</si>
  <si>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</si>
  <si>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</si>
  <si>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</si>
  <si>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</si>
  <si>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</si>
  <si>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</si>
  <si>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</si>
  <si>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</si>
  <si>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</si>
  <si>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</si>
  <si>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</si>
  <si>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</si>
  <si>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</si>
  <si>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</si>
  <si>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</si>
  <si>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</si>
  <si>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</si>
  <si>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</si>
  <si>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</si>
  <si>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</si>
  <si>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</si>
  <si>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</si>
  <si>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</si>
  <si>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</si>
  <si>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</si>
  <si>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</si>
  <si>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</si>
  <si>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</si>
  <si>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</si>
  <si>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</si>
  <si>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</si>
  <si>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</si>
  <si>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</si>
  <si>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</si>
  <si>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</si>
  <si>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</si>
  <si>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</si>
  <si>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</si>
  <si>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</si>
  <si>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</si>
  <si>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</si>
  <si>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</si>
  <si>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</si>
  <si>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</si>
  <si>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</si>
  <si>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</si>
  <si>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</si>
  <si>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</si>
  <si>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</si>
  <si>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</si>
  <si>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</si>
  <si>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</si>
  <si>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</si>
  <si>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</si>
  <si>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</si>
  <si>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</si>
  <si>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</si>
  <si>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</si>
  <si>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</si>
  <si>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</si>
  <si>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</si>
  <si>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</si>
  <si>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</si>
  <si>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</si>
  <si>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</si>
  <si>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</si>
  <si>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</si>
  <si>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</si>
  <si>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</si>
  <si>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</si>
  <si>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</si>
  <si>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</si>
  <si>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</si>
  <si>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</si>
  <si>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</si>
  <si>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</si>
  <si>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</si>
  <si>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</si>
  <si>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</si>
  <si>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</si>
  <si>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</si>
  <si>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</si>
  <si>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</si>
  <si>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</si>
  <si>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</si>
  <si>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</si>
  <si>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</si>
  <si>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</si>
  <si>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</si>
  <si>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</si>
  <si>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</si>
  <si>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</si>
  <si>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</si>
  <si>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</si>
  <si>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</si>
  <si>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</si>
  <si>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</si>
  <si>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</si>
  <si>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</si>
  <si>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</si>
  <si>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</si>
  <si>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</si>
  <si>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</si>
  <si>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</si>
  <si>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</si>
  <si>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</si>
  <si>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</si>
  <si>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</si>
  <si>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</si>
  <si>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</si>
  <si>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</si>
  <si>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</si>
  <si>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</si>
  <si>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</si>
  <si>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</si>
  <si>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</si>
  <si>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</si>
  <si>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</si>
  <si>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</si>
  <si>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</si>
  <si>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</si>
  <si>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</si>
  <si>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</si>
  <si>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</si>
  <si>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</si>
  <si>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</si>
  <si>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</si>
  <si>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</si>
  <si>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</si>
  <si>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</si>
  <si>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</si>
  <si>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</si>
  <si>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</si>
  <si>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</si>
  <si>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</si>
  <si>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</si>
  <si>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</si>
  <si>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</si>
  <si>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</si>
  <si>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</si>
  <si>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</si>
  <si>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</si>
  <si>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</si>
  <si>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</si>
  <si>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</si>
  <si>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</si>
  <si>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</si>
  <si>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</si>
  <si>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</si>
  <si>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</si>
  <si>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</si>
  <si>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</si>
  <si>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</si>
  <si>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</si>
  <si>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</si>
  <si>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</si>
  <si>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</si>
  <si>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</si>
  <si>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</si>
  <si>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</si>
  <si>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</si>
  <si>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</si>
  <si>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</si>
  <si>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</si>
  <si>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</si>
  <si>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</si>
  <si>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</si>
  <si>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</si>
  <si>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</si>
  <si>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</si>
  <si>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</si>
  <si>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</si>
  <si>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</si>
  <si>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</si>
  <si>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</si>
  <si>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</si>
  <si>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</si>
  <si>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</si>
  <si>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</si>
  <si>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</si>
  <si>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</si>
  <si>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</si>
  <si>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</si>
  <si>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</si>
  <si>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</si>
  <si>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</si>
  <si>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</si>
  <si>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</si>
  <si>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</si>
  <si>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</si>
  <si>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</si>
  <si>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</si>
  <si>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</si>
  <si>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</si>
  <si>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</si>
  <si>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</si>
  <si>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</si>
  <si>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</si>
  <si>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</si>
  <si>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</si>
  <si>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</si>
  <si>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</si>
  <si>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</si>
  <si>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</si>
  <si>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</si>
  <si>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</si>
  <si>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</si>
  <si>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</si>
  <si>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</si>
  <si>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</si>
  <si>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</si>
  <si>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</si>
  <si>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</si>
  <si>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</si>
  <si>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</si>
  <si>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</si>
  <si>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</si>
  <si>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</si>
  <si>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</si>
  <si>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</si>
  <si>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</si>
  <si>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</si>
  <si>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</si>
  <si>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</si>
  <si>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</si>
  <si>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</si>
  <si>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</si>
  <si>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</si>
  <si>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</si>
  <si>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</si>
  <si>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</si>
  <si>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</si>
  <si>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</si>
  <si>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</si>
  <si>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</si>
  <si>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</si>
  <si>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</si>
  <si>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</si>
  <si>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</si>
  <si>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</si>
  <si>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</si>
  <si>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</si>
  <si>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</si>
  <si>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</si>
  <si>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</si>
  <si>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</si>
  <si>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</si>
  <si>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</si>
  <si>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</si>
  <si>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</si>
  <si>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</si>
  <si>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</si>
  <si>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</si>
  <si>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</si>
  <si>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</si>
  <si>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</si>
  <si>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</si>
  <si>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</si>
  <si>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</si>
  <si>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</si>
  <si>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</si>
  <si>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</si>
  <si>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</si>
  <si>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</si>
  <si>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</si>
  <si>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</si>
  <si>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</si>
  <si>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</si>
  <si>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</si>
  <si>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</si>
  <si>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</si>
  <si>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</si>
  <si>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</si>
  <si>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</si>
  <si>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</si>
  <si>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</si>
  <si>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</si>
  <si>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</si>
  <si>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</si>
  <si>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</si>
  <si>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</si>
  <si>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</si>
  <si>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</si>
  <si>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</si>
  <si>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</si>
  <si>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</si>
  <si>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</si>
  <si>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</si>
  <si>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</si>
  <si>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</si>
  <si>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</si>
  <si>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</si>
  <si>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</si>
  <si>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</si>
  <si>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</si>
  <si>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</si>
  <si>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</si>
  <si>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</si>
  <si>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</si>
  <si>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</si>
  <si>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</si>
  <si>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</si>
  <si>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</si>
  <si>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</si>
  <si>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</si>
  <si>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</si>
  <si>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</si>
  <si>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</si>
  <si>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</si>
  <si>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</si>
  <si>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</si>
  <si>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</si>
  <si>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</si>
  <si>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</si>
  <si>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</si>
  <si>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</si>
  <si>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</si>
  <si>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</si>
  <si>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</si>
  <si>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</si>
  <si>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</si>
  <si>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</si>
  <si>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</si>
  <si>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</si>
  <si>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</si>
  <si>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</si>
  <si>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</si>
  <si>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</si>
  <si>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</si>
  <si>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</si>
  <si>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</si>
  <si>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</si>
  <si>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</si>
  <si>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</si>
  <si>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</si>
  <si>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</si>
  <si>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</si>
  <si>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</si>
  <si>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</si>
  <si>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</si>
  <si>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</si>
  <si>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</si>
  <si>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</si>
  <si>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</si>
  <si>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</si>
  <si>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</si>
  <si>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</si>
  <si>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</si>
  <si>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</si>
  <si>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</si>
  <si>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</si>
  <si>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</si>
  <si>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</si>
  <si>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</si>
  <si>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</si>
  <si>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</si>
  <si>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</si>
  <si>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</si>
  <si>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</si>
  <si>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</si>
  <si>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</si>
  <si>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</si>
  <si>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</si>
  <si>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</si>
  <si>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</si>
  <si>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</si>
  <si>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</si>
  <si>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</si>
  <si>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</si>
  <si>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</si>
  <si>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</si>
  <si>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</si>
  <si>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</si>
  <si>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</si>
  <si>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</si>
  <si>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</si>
  <si>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</si>
  <si>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</si>
  <si>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</si>
  <si>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</si>
  <si>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</si>
  <si>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</si>
  <si>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</si>
  <si>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</si>
  <si>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</si>
  <si>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</si>
  <si>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</si>
  <si>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</si>
  <si>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</si>
  <si>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</si>
  <si>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</si>
  <si>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</si>
  <si>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</si>
  <si>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</si>
  <si>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</si>
  <si>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</si>
  <si>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</si>
  <si>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</si>
  <si>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</si>
  <si>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</si>
  <si>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</si>
  <si>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</si>
  <si>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</si>
  <si>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</si>
  <si>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</si>
  <si>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</si>
  <si>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</si>
  <si>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</si>
  <si>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</si>
  <si>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</si>
  <si>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</si>
  <si>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</si>
  <si>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</si>
  <si>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</si>
  <si>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</si>
  <si>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</si>
  <si>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</si>
  <si>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</si>
  <si>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</si>
  <si>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</si>
  <si>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</si>
  <si>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</si>
  <si>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</si>
  <si>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</si>
  <si>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</si>
  <si>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</si>
  <si>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</si>
  <si>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</si>
  <si>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</si>
  <si>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</si>
  <si>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</si>
  <si>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</si>
  <si>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</si>
  <si>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</si>
  <si>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</si>
  <si>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</si>
  <si>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</si>
  <si>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</si>
  <si>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</si>
  <si>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</si>
  <si>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</si>
  <si>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</si>
  <si>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</si>
  <si>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</si>
  <si>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</si>
  <si>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</si>
  <si>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</si>
  <si>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</si>
  <si>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</si>
  <si>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</si>
  <si>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</si>
  <si>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</si>
  <si>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</si>
  <si>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</si>
  <si>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</si>
  <si>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</si>
  <si>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</si>
  <si>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</si>
  <si>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</si>
  <si>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</si>
  <si>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</si>
  <si>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</si>
  <si>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</si>
  <si>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</si>
  <si>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</si>
  <si>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</si>
  <si>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</si>
  <si>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</si>
  <si>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</si>
  <si>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</si>
  <si>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</si>
  <si>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</si>
  <si>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</si>
  <si>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</si>
  <si>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</si>
  <si>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</si>
  <si>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</si>
  <si>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</si>
  <si>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</si>
  <si>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</si>
  <si>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</si>
  <si>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</si>
  <si>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</si>
  <si>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</si>
  <si>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</si>
  <si>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</si>
  <si>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</si>
  <si>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</si>
  <si>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</si>
  <si>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</si>
  <si>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</si>
  <si>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</si>
  <si>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</si>
  <si>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</si>
  <si>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</si>
  <si>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</si>
  <si>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</si>
  <si>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</si>
  <si>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</si>
  <si>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</si>
  <si>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</si>
  <si>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</si>
  <si>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</si>
  <si>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</si>
  <si>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</si>
  <si>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</si>
  <si>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</si>
  <si>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</si>
  <si>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</si>
  <si>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</si>
  <si>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</si>
  <si>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</si>
  <si>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</si>
  <si>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</si>
  <si>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</si>
  <si>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</si>
  <si>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</si>
  <si>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</si>
  <si>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</si>
  <si>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</si>
  <si>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</si>
  <si>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</si>
  <si>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</si>
  <si>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</si>
  <si>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</si>
  <si>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</si>
  <si>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</si>
  <si>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</si>
  <si>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</si>
  <si>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</si>
  <si>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</si>
  <si>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</si>
  <si>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</si>
  <si>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</si>
  <si>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</si>
  <si>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</si>
  <si>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</si>
  <si>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</si>
  <si>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</si>
  <si>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</si>
  <si>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</si>
  <si>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</si>
  <si>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</si>
  <si>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</si>
  <si>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</si>
  <si>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</si>
  <si>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</si>
  <si>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</si>
  <si>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</si>
  <si>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</si>
  <si>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</si>
  <si>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</si>
  <si>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</si>
  <si>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</si>
  <si>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</si>
  <si>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</si>
  <si>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</si>
  <si>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</si>
  <si>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</si>
  <si>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</si>
  <si>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</si>
  <si>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</si>
  <si>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</si>
  <si>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</si>
  <si>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</si>
  <si>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</si>
  <si>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</si>
  <si>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</si>
  <si>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</si>
  <si>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</si>
  <si>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</si>
  <si>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</si>
  <si>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</si>
  <si>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</si>
  <si>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</si>
  <si>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</si>
  <si>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</si>
  <si>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</si>
  <si>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</si>
  <si>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</si>
  <si>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</si>
  <si>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</si>
  <si>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</si>
  <si>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</si>
  <si>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</si>
  <si>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</si>
  <si>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</si>
  <si>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</si>
  <si>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</si>
  <si>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</si>
  <si>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</si>
  <si>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</si>
  <si>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</si>
  <si>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</si>
  <si>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</si>
  <si>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</si>
  <si>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</si>
  <si>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</si>
  <si>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</si>
  <si>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</si>
  <si>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</si>
  <si>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</si>
  <si>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</si>
  <si>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</si>
  <si>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</si>
  <si>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</si>
  <si>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</si>
  <si>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</si>
  <si>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</si>
  <si>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</si>
  <si>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</si>
  <si>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</si>
  <si>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</si>
  <si>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</si>
  <si>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</si>
  <si>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</si>
  <si>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</si>
  <si>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</si>
  <si>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</si>
  <si>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</si>
  <si>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</si>
  <si>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</si>
  <si>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</si>
  <si>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</si>
  <si>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</si>
  <si>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</si>
  <si>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</si>
  <si>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</si>
  <si>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</si>
  <si>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</si>
  <si>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</si>
  <si>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</si>
  <si>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</si>
  <si>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</si>
  <si>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</si>
  <si>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</si>
  <si>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</si>
  <si>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</si>
  <si>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</si>
  <si>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</si>
  <si>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</si>
  <si>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</si>
  <si>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</si>
  <si>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</si>
  <si>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</si>
  <si>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</si>
  <si>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</si>
  <si>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</si>
  <si>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</si>
  <si>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</si>
  <si>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</si>
  <si>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</si>
  <si>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</si>
  <si>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</si>
  <si>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</si>
  <si>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</si>
  <si>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</si>
  <si>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</si>
  <si>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</si>
  <si>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</si>
  <si>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</si>
  <si>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</si>
  <si>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</si>
  <si>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</si>
  <si>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</si>
  <si>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</si>
  <si>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</si>
  <si>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</si>
  <si>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</si>
  <si>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</si>
  <si>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</si>
  <si>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</si>
  <si>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</si>
  <si>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</si>
  <si>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</si>
  <si>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</si>
  <si>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</si>
  <si>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</si>
  <si>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</si>
  <si>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</si>
  <si>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</si>
  <si>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</si>
  <si>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</si>
  <si>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</si>
  <si>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</si>
  <si>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</si>
  <si>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</si>
  <si>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</si>
  <si>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</si>
  <si>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</si>
  <si>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</si>
  <si>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</si>
  <si>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</si>
  <si>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</si>
  <si>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</si>
  <si>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</si>
  <si>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</si>
  <si>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</si>
  <si>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</si>
  <si>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</si>
  <si>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</si>
  <si>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</si>
  <si>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</si>
  <si>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</si>
  <si>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</si>
  <si>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</si>
  <si>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</si>
  <si>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</si>
  <si>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</si>
  <si>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</si>
  <si>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</si>
  <si>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</si>
  <si>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</si>
  <si>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</si>
  <si>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</si>
  <si>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</si>
  <si>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</si>
  <si>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</si>
  <si>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</si>
  <si>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</si>
  <si>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</si>
  <si>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</si>
  <si>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</si>
  <si>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</si>
  <si>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</si>
  <si>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</si>
  <si>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</si>
  <si>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</si>
  <si>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</si>
  <si>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</si>
  <si>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</si>
  <si>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</si>
  <si>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</si>
  <si>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</si>
  <si>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</si>
  <si>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</si>
  <si>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</si>
  <si>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</si>
  <si>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</si>
  <si>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</si>
  <si>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</si>
  <si>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</si>
  <si>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</si>
  <si>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</si>
  <si>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</si>
  <si>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</si>
  <si>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</si>
  <si>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</si>
  <si>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</si>
  <si>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</si>
  <si>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</si>
  <si>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</si>
  <si>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</si>
  <si>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</si>
  <si>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</si>
  <si>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</si>
  <si>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</si>
  <si>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</si>
  <si>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</si>
  <si>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</si>
  <si>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</si>
  <si>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</si>
  <si>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</si>
  <si>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</si>
  <si>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</si>
  <si>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</si>
  <si>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</si>
  <si>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</si>
  <si>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</si>
  <si>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</si>
  <si>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</si>
  <si>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</si>
  <si>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</si>
  <si>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</si>
  <si>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</si>
  <si>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</si>
  <si>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</si>
  <si>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</si>
  <si>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</si>
  <si>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</si>
  <si>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</si>
  <si>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</si>
  <si>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</si>
  <si>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</si>
  <si>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</si>
  <si>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</si>
  <si>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</si>
  <si>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</si>
  <si>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</si>
  <si>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</si>
  <si>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</si>
  <si>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</si>
  <si>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</si>
  <si>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</si>
  <si>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</si>
  <si>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</si>
  <si>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</si>
  <si>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</si>
  <si>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</si>
  <si>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</si>
  <si>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</si>
  <si>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</si>
  <si>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</si>
  <si>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</si>
  <si>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</si>
  <si>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</si>
  <si>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</si>
  <si>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</si>
  <si>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</si>
  <si>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</si>
  <si>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</si>
  <si>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</si>
  <si>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</si>
  <si>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</si>
  <si>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</si>
  <si>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</si>
  <si>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</si>
  <si>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</si>
  <si>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</si>
  <si>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</si>
  <si>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</si>
  <si>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</si>
  <si>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</si>
  <si>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</si>
  <si>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</si>
  <si>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</si>
  <si>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</si>
  <si>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</si>
  <si>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</si>
  <si>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</si>
  <si>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</si>
  <si>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</si>
  <si>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</si>
  <si>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</si>
  <si>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</si>
  <si>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</si>
  <si>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</si>
  <si>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</si>
  <si>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</si>
  <si>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</si>
  <si>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</si>
  <si>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</si>
  <si>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</si>
  <si>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</si>
  <si>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</si>
  <si>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</si>
  <si>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</si>
  <si>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</si>
  <si>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</si>
  <si>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</si>
  <si>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</si>
  <si>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</si>
  <si>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</si>
  <si>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</si>
  <si>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</si>
  <si>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</si>
  <si>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</si>
  <si>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</si>
  <si>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</si>
  <si>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</si>
  <si>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</si>
  <si>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</si>
  <si>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</si>
  <si>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</si>
  <si>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</si>
  <si>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</si>
  <si>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</si>
  <si>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</si>
  <si>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</si>
  <si>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</si>
  <si>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</si>
  <si>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</si>
  <si>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</si>
  <si>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</si>
  <si>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</si>
  <si>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</si>
  <si>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</si>
  <si>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</si>
  <si>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</si>
  <si>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</si>
  <si>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</si>
  <si>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</si>
  <si>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</si>
  <si>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</si>
  <si>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</si>
  <si>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</si>
  <si>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</si>
  <si>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</si>
  <si>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</si>
  <si>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</si>
  <si>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</si>
  <si>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</si>
  <si>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</si>
  <si>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</si>
  <si>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</si>
  <si>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</si>
  <si>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</si>
  <si>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</si>
  <si>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</si>
  <si>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</si>
  <si>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</si>
  <si>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</si>
  <si>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</si>
  <si>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</si>
  <si>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</si>
  <si>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</si>
  <si>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</si>
  <si>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</si>
  <si>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</si>
  <si>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</si>
  <si>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</si>
  <si>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</si>
  <si>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</si>
  <si>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</si>
  <si>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</si>
  <si>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</si>
  <si>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</si>
  <si>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</si>
  <si>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</si>
  <si>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</si>
  <si>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</si>
  <si>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</si>
  <si>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</si>
  <si>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</si>
  <si>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</si>
  <si>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</si>
  <si>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</si>
  <si>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</si>
  <si>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</si>
  <si>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</si>
  <si>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</si>
  <si>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</si>
  <si>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</si>
  <si>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</si>
  <si>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</si>
  <si>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</si>
  <si>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</si>
  <si>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</si>
  <si>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</si>
  <si>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</si>
  <si>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</si>
  <si>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</si>
  <si>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</si>
  <si>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</si>
  <si>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</si>
  <si>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</si>
  <si>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</si>
  <si>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</si>
  <si>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</si>
  <si>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</si>
  <si>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</si>
  <si>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</si>
  <si>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</si>
  <si>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</si>
  <si>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</si>
  <si>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</si>
  <si>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</si>
  <si>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</si>
  <si>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</si>
  <si>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</si>
  <si>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</si>
  <si>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</si>
  <si>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</si>
  <si>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</si>
  <si>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</si>
  <si>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</si>
  <si>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</si>
  <si>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</si>
  <si>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</si>
  <si>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</si>
  <si>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</si>
  <si>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</si>
  <si>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</si>
  <si>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</si>
  <si>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</si>
  <si>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</si>
  <si>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+</t>
  </si>
  <si>
    <t>TSO001089578</t>
  </si>
  <si>
    <t>TSO001089582</t>
  </si>
  <si>
    <t>TSO001089587</t>
  </si>
  <si>
    <t>TSO001089588</t>
  </si>
  <si>
    <t>TSO001089438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</si>
  <si>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</si>
  <si>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</si>
  <si>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</si>
  <si>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</si>
  <si>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</si>
  <si>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</si>
  <si>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</si>
  <si>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</si>
  <si>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</si>
  <si>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</si>
  <si>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</si>
  <si>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</si>
  <si>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</si>
  <si>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</si>
  <si>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</si>
  <si>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</si>
  <si>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</si>
  <si>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</si>
  <si>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</si>
  <si>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</si>
  <si>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</si>
  <si>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</si>
  <si>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</si>
  <si>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</si>
  <si>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</si>
  <si>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</si>
  <si>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</si>
  <si>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</si>
  <si>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</si>
  <si>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</si>
  <si>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</si>
  <si>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</si>
  <si>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</si>
  <si>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 xml:space="preserve">TSO001089890 </t>
  </si>
  <si>
    <t>TSO001089911</t>
  </si>
  <si>
    <t>TSO001090047</t>
  </si>
  <si>
    <t>TSO001090048</t>
  </si>
  <si>
    <t>TSO001090062</t>
  </si>
  <si>
    <t>оставляем</t>
  </si>
  <si>
    <t>остаавляем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</si>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</sst>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56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vertical="center" wrapText="1"/>
    </xf>
    <xf numFmtId="0" fontId="15" fillId="17" borderId="79" xfId="0" applyFont="1" applyFill="1" applyBorder="1" applyAlignment="1">
      <alignment horizontal="center" vertical="center" wrapText="1"/>
    </xf>
    <xf numFmtId="0" fontId="46" fillId="0" borderId="0" xfId="0" applyFont="1"/>
    <xf numFmtId="0" fontId="15" fillId="40" borderId="50" xfId="0" applyFont="1" applyFill="1" applyBorder="1" applyAlignment="1">
      <alignment horizontal="center" vertical="center" wrapText="1"/>
    </xf>
    <xf numFmtId="0" fontId="15" fillId="40" borderId="24" xfId="0" applyFont="1" applyFill="1" applyBorder="1" applyAlignment="1">
      <alignment vertical="center" wrapText="1"/>
    </xf>
    <xf numFmtId="164" fontId="15" fillId="40" borderId="24" xfId="0" applyNumberFormat="1" applyFont="1" applyFill="1" applyBorder="1" applyAlignment="1">
      <alignment horizontal="center"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0" fontId="15" fillId="40" borderId="24" xfId="0" applyFont="1" applyFill="1" applyBorder="1" applyAlignment="1">
      <alignment horizontal="center" vertical="center" wrapText="1"/>
    </xf>
    <xf numFmtId="49" fontId="15" fillId="40" borderId="24" xfId="0" applyNumberFormat="1" applyFont="1" applyFill="1" applyBorder="1" applyAlignment="1">
      <alignment horizontal="left" vertical="center" wrapText="1"/>
    </xf>
    <xf numFmtId="0" fontId="17" fillId="40" borderId="24" xfId="0" applyFont="1" applyFill="1" applyBorder="1" applyAlignment="1">
      <alignment horizontal="center" vertical="center" wrapText="1"/>
    </xf>
    <xf numFmtId="49" fontId="15" fillId="40" borderId="25" xfId="0" applyNumberFormat="1" applyFont="1" applyFill="1" applyBorder="1" applyAlignment="1">
      <alignment horizontal="center" vertical="center" wrapText="1"/>
    </xf>
    <xf numFmtId="20" fontId="15" fillId="40" borderId="25" xfId="0" applyNumberFormat="1" applyFont="1" applyFill="1" applyBorder="1" applyAlignment="1">
      <alignment horizontal="center" vertical="center" wrapText="1"/>
    </xf>
    <xf numFmtId="0" fontId="40" fillId="0" borderId="0" xfId="0" applyFont="1" applyAlignment="1">
      <alignment vertical="center" wrapText="1"/>
    </xf>
    <xf numFmtId="0" fontId="15" fillId="44" borderId="16" xfId="0" applyFont="1" applyFill="1" applyBorder="1" applyAlignment="1">
      <alignment vertical="center" wrapText="1"/>
    </xf>
    <xf numFmtId="0" fontId="15" fillId="44" borderId="16" xfId="0" applyFont="1" applyFill="1" applyBorder="1" applyAlignment="1">
      <alignment horizontal="center" vertical="center" wrapText="1"/>
    </xf>
    <xf numFmtId="0" fontId="15" fillId="44" borderId="69" xfId="0" applyFont="1" applyFill="1" applyBorder="1" applyAlignment="1">
      <alignment vertical="center" wrapText="1"/>
    </xf>
    <xf numFmtId="0" fontId="15" fillId="44" borderId="69" xfId="0" applyFont="1" applyFill="1" applyBorder="1" applyAlignment="1">
      <alignment horizontal="center" vertical="center" wrapText="1"/>
    </xf>
    <xf numFmtId="0" fontId="15" fillId="44" borderId="13" xfId="0" applyFont="1" applyFill="1" applyBorder="1" applyAlignment="1">
      <alignment vertical="center" wrapText="1"/>
    </xf>
    <xf numFmtId="0" fontId="15" fillId="44" borderId="13" xfId="0" applyFont="1" applyFill="1" applyBorder="1" applyAlignment="1">
      <alignment horizontal="center" vertical="center" wrapText="1"/>
    </xf>
    <xf numFmtId="0" fontId="15" fillId="45" borderId="20" xfId="0" applyFont="1" applyFill="1" applyBorder="1" applyAlignment="1">
      <alignment horizontal="center" vertical="center" wrapText="1"/>
    </xf>
    <xf numFmtId="0" fontId="15" fillId="45" borderId="20" xfId="0" applyFont="1" applyFill="1" applyBorder="1" applyAlignment="1">
      <alignment vertical="center" wrapText="1"/>
    </xf>
    <xf numFmtId="0" fontId="15" fillId="45" borderId="16" xfId="0" applyFont="1" applyFill="1" applyBorder="1" applyAlignment="1">
      <alignment vertical="center" wrapText="1"/>
    </xf>
    <xf numFmtId="0" fontId="15" fillId="45" borderId="16" xfId="0" applyFont="1" applyFill="1" applyBorder="1" applyAlignment="1">
      <alignment horizontal="center" vertical="center" wrapText="1"/>
    </xf>
    <xf numFmtId="0" fontId="45" fillId="17" borderId="83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100"/>
  <sheetViews>
    <sheetView tabSelected="1" zoomScale="70" zoomScaleNormal="70" workbookViewId="0">
      <pane ySplit="2" topLeftCell="A7065" activePane="bottomLeft" state="frozen"/>
      <selection pane="bottomLeft" activeCell="Q7079" sqref="Q707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9" width="11.42578125" style="2" customWidth="1"/>
    <col min="20" max="1021" width="9.140625" style="2"/>
  </cols>
  <sheetData>
    <row r="1" spans="1:18" ht="19.5" customHeight="1" thickBot="1" x14ac:dyDescent="0.3">
      <c r="A1" s="1028" t="s">
        <v>0</v>
      </c>
      <c r="B1" s="1028"/>
      <c r="C1" s="1028"/>
      <c r="D1" s="1028"/>
      <c r="E1" s="1028"/>
      <c r="F1" s="1028"/>
      <c r="G1" s="1028"/>
      <c r="H1" s="1028"/>
      <c r="I1" s="1028"/>
      <c r="J1" s="1028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29">
        <v>1</v>
      </c>
      <c r="B3" s="102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29"/>
      <c r="B4" s="102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25">
        <v>3</v>
      </c>
      <c r="B6" s="102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25"/>
      <c r="B7" s="102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25"/>
      <c r="B8" s="102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25">
        <v>5</v>
      </c>
      <c r="B10" s="102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25"/>
      <c r="B11" s="102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23">
        <v>8</v>
      </c>
      <c r="B14" s="102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23"/>
      <c r="B15" s="102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25">
        <v>11</v>
      </c>
      <c r="B18" s="102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25"/>
      <c r="B19" s="102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25"/>
      <c r="B20" s="102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25"/>
      <c r="B21" s="102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25">
        <v>13</v>
      </c>
      <c r="B23" s="102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25"/>
      <c r="B24" s="102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23">
        <v>14</v>
      </c>
      <c r="B25" s="102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23"/>
      <c r="B26" s="102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25">
        <v>15</v>
      </c>
      <c r="B27" s="102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25"/>
      <c r="B28" s="102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25"/>
      <c r="B29" s="102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25"/>
      <c r="B30" s="102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23">
        <v>16</v>
      </c>
      <c r="B31" s="102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23"/>
      <c r="B32" s="102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23"/>
      <c r="B33" s="102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23"/>
      <c r="B34" s="102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25">
        <v>17</v>
      </c>
      <c r="B35" s="102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25"/>
      <c r="B36" s="102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25">
        <v>21</v>
      </c>
      <c r="B40" s="102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25"/>
      <c r="B41" s="102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25">
        <v>23</v>
      </c>
      <c r="B43" s="102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25"/>
      <c r="B44" s="102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25"/>
      <c r="B45" s="102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23">
        <v>24</v>
      </c>
      <c r="B46" s="102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23"/>
      <c r="B47" s="102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25">
        <v>25</v>
      </c>
      <c r="B48" s="102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25"/>
      <c r="B49" s="102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25"/>
      <c r="B50" s="102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23">
        <v>26</v>
      </c>
      <c r="B51" s="102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23"/>
      <c r="B52" s="102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25">
        <v>29</v>
      </c>
      <c r="B55" s="102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25"/>
      <c r="B56" s="102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23">
        <v>32</v>
      </c>
      <c r="B59" s="102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23"/>
      <c r="B60" s="102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23">
        <v>34</v>
      </c>
      <c r="B62" s="102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23"/>
      <c r="B63" s="102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23"/>
      <c r="B64" s="102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23"/>
      <c r="B65" s="102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23"/>
      <c r="B66" s="102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25">
        <v>35</v>
      </c>
      <c r="B67" s="102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25"/>
      <c r="B68" s="102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12">
        <v>40</v>
      </c>
      <c r="B73" s="102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12"/>
      <c r="B74" s="102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11">
        <v>41</v>
      </c>
      <c r="B75" s="102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11"/>
      <c r="B76" s="102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11"/>
      <c r="B77" s="102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12">
        <v>42</v>
      </c>
      <c r="B78" s="102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12"/>
      <c r="B79" s="102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11">
        <v>49</v>
      </c>
      <c r="B86" s="102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11"/>
      <c r="B87" s="102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11"/>
      <c r="B88" s="102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12">
        <v>50</v>
      </c>
      <c r="B89" s="102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12"/>
      <c r="B90" s="102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11">
        <v>51</v>
      </c>
      <c r="B91" s="102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11"/>
      <c r="B92" s="102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11">
        <v>53</v>
      </c>
      <c r="B94" s="102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11"/>
      <c r="B95" s="102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12">
        <v>54</v>
      </c>
      <c r="B96" s="102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12"/>
      <c r="B97" s="102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12"/>
      <c r="B98" s="102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12">
        <v>58</v>
      </c>
      <c r="B102" s="102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12"/>
      <c r="B103" s="102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12">
        <v>60</v>
      </c>
      <c r="B105" s="102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12"/>
      <c r="B106" s="102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12"/>
      <c r="B107" s="102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11">
        <v>61</v>
      </c>
      <c r="B108" s="102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11"/>
      <c r="B109" s="102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11"/>
      <c r="B110" s="102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12">
        <v>64</v>
      </c>
      <c r="B113" s="102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12"/>
      <c r="B114" s="102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12">
        <v>66</v>
      </c>
      <c r="B116" s="102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12"/>
      <c r="B117" s="102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11">
        <v>67</v>
      </c>
      <c r="B118" s="102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11"/>
      <c r="B119" s="102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11"/>
      <c r="B120" s="102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12">
        <v>68</v>
      </c>
      <c r="B121" s="102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12"/>
      <c r="B122" s="102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11">
        <v>69</v>
      </c>
      <c r="B123" s="102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11"/>
      <c r="B124" s="102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12">
        <v>72</v>
      </c>
      <c r="B127" s="1023" t="s">
        <v>65</v>
      </c>
      <c r="C127" s="119" t="s">
        <v>26</v>
      </c>
      <c r="D127" s="120">
        <v>3.3</v>
      </c>
      <c r="E127" s="121"/>
      <c r="F127" s="122" t="s">
        <v>30</v>
      </c>
      <c r="G127" s="1022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12"/>
      <c r="B128" s="1023"/>
      <c r="C128" s="103" t="s">
        <v>26</v>
      </c>
      <c r="D128" s="88">
        <v>12.9</v>
      </c>
      <c r="E128" s="106"/>
      <c r="F128" s="107" t="s">
        <v>16</v>
      </c>
      <c r="G128" s="1022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12">
        <v>76</v>
      </c>
      <c r="B132" s="102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12"/>
      <c r="B133" s="102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12"/>
      <c r="B134" s="102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12"/>
      <c r="B135" s="102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12">
        <v>78</v>
      </c>
      <c r="B137" s="103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12"/>
      <c r="B138" s="103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2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2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1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1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1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1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1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1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1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1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1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1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1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1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1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1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1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1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1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1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1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1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1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1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2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1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2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1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1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1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1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1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1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1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1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1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1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1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1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1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1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1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1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1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1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1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1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1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1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1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1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1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1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1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1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1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1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1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1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1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1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1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1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1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1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1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1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1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22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1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22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1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1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1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1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1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1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1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1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1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1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1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1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1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1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1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1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1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1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1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1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1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1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1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1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1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1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1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1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1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1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1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1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32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1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32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1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1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1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22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1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22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1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1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1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1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1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1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1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1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1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1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1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1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1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1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1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1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1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1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1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1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1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1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1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1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1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1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1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1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1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2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1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2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1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1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1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1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1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1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1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1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1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1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1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1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1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1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1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1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1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1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1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1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1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1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1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1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1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1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1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1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1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1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1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1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1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1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13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1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13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1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1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1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1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1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1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1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1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1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1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1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1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1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1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1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1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1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1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1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1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1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1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1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1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1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1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1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1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1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1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1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1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1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1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13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1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13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1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1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1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1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1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1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30" t="s">
        <v>133</v>
      </c>
      <c r="J420" s="1030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1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1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1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101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1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1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1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1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1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1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1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1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1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1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1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1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1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1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1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1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1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1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1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1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1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14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1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14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1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1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1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1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1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1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1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1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1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1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1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1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1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1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1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1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1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1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1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1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1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1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1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1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1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1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1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1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1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1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1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1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1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13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1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13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1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1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1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3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1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34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1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34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1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34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1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34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1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1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1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1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1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1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1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1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1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1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1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1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1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1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101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1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1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1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1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1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1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1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1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1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1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1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1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1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1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1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1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1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1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1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1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1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1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1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1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1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14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1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14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1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101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1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1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101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1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1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1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1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1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1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1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1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1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1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1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1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1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1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1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1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1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1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1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1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1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1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1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1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1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1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1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1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13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1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13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1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1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1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1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1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1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1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1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1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1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1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1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1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1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1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1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1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1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1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1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1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1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1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1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1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1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1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1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1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1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1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1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1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1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1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1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1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1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1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1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1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1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1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1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13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1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13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101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1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33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1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33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1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1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1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1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1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1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1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1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1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1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1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1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1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1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1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1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1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1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1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1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1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1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1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1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1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1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1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1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1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13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1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13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2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2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2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1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1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1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2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2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1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1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1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2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2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1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1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1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1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1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1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1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1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1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1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1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1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1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1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1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1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1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1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1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1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1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1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3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1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35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1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1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1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1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1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1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1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1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1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1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1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1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1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1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1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1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2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2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2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2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2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2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1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13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1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13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1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1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1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1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1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1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1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1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1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1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1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1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1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1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1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1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1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1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1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1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1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1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1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1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1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1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1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1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1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1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1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1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1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1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1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1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1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1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1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1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1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1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1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14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1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14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1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1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1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1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1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1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1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1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1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1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1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1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1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1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1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1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1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1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1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1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1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1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1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1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1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1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1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1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1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1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1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1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1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1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1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1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1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1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1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1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1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1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1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1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1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1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1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1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1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1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1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1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1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1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1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1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1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1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1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1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1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1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1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1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1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1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1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1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1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1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1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1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1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1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1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1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1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1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1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1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1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1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1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1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1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1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1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1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1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1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1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1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1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14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1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14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1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1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1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1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1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1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1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1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1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1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1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1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1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1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1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1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1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1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1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1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101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1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1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1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1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1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1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1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1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1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1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1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1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1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1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1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1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1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1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1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1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1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1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1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1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1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1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13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1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13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1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1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1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1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1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1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1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1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1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1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1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1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1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1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1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1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1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1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1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1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1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1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1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1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1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1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1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1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1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1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1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1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1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1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1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1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1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1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1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1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1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1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13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1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13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1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1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1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1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1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1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1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1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1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1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1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1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1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1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1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1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1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1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1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1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1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1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1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1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1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1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1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1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1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1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1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1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1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1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1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1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1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1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14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1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14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1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1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1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1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1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1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1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1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1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1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1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1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1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1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1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1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1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1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1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1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1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1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1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1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1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1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14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1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14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1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1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1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1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1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1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1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1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1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1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1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1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1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1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1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1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1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1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1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1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1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1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1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1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1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1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1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1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1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1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1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14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1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14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1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1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1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1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1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1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1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1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1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1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1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1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1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1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1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1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1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1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1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1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1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1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1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1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1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1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14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1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14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1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1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1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1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1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1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1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1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1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1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1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1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1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1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1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1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1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1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1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1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1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1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1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1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1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1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1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1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1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1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1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1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1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1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1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1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14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1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14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1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1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1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1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1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1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1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1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1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1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1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1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1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1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1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1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1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1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1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1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1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1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1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1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1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1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1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1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1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13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1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13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1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1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1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1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1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1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1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1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1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1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1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1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1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1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1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1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1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1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1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1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1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1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1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1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1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1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1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15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1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15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1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1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1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1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1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1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1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1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1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1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1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1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1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1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1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1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1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1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1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1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1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1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1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1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1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1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1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13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1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13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1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1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1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1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1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1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1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1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1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1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1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1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1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1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1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13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1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13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1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13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1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13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1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1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1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1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1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1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1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1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1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13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1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13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1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1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1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1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1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1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1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1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1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1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1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1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1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1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1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1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1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1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1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1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1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1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1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1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1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13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1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13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1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1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1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1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1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1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1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1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1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1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1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1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1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1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1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1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1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1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1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1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14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1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14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1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1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1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1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1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1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1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1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1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1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1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1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1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1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1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1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1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1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1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1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1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13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1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13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1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1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1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1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1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1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1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1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1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1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1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1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1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1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1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1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1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1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1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1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1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1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1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1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1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1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1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1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1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1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1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1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1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1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1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1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1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1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1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1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1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1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1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1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1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1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1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14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1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14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1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1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1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1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1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1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1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1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1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1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1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1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1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1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1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1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1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1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1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1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1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1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1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1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1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1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13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1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13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1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1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1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1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1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1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1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1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1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1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1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1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14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1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14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1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1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1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1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1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1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1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1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1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1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1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1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1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1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1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1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1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1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1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1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1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1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1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13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1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13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1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1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1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1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1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1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1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1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1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1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1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1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1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1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1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11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1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1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1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1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1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1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1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1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13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1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13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1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13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1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1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1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1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1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1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1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1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1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1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1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1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14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1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14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1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1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1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1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1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1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1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1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1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1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1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1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1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12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1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12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1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1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1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1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1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1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1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1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12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1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1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1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1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1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13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1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13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1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1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1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1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1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1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1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1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1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1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1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1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1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1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1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1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1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1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1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1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13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1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13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1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1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1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1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1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1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1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1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1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1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1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11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1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1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1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1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11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1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1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1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1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1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13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1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13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1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1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1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1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1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1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1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1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1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1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1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1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1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1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1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1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1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1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1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1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14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1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14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11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1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1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1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1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1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1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1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1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1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1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1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1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1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1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1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1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1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1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1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1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1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12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1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1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1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1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12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1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1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1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1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1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1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1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1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1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1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1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1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1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1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1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1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1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1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1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1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13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1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13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11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1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1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1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1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1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1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1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1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1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13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1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13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1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1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1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1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1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1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1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1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1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1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1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1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11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1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1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1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1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14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1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14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11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1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1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1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1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1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1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1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1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1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1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1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1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1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1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1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1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1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1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1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1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1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12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1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1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1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1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1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1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1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1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1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1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1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1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1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1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1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11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1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1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1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1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1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1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1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1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1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12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1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1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1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1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1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1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1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1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1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1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1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1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3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37" t="s">
        <v>467</v>
      </c>
      <c r="H2160" s="414" t="s">
        <v>515</v>
      </c>
      <c r="I2160" s="415" t="s">
        <v>516</v>
      </c>
      <c r="J2160" s="1038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3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37"/>
      <c r="H2161" s="421" t="s">
        <v>515</v>
      </c>
      <c r="I2161" s="422" t="s">
        <v>516</v>
      </c>
      <c r="J2161" s="1038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3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37"/>
      <c r="H2162" s="429" t="s">
        <v>515</v>
      </c>
      <c r="I2162" s="430" t="s">
        <v>516</v>
      </c>
      <c r="J2162" s="1038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3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37" t="s">
        <v>467</v>
      </c>
      <c r="H2165" s="414" t="s">
        <v>516</v>
      </c>
      <c r="I2165" s="415" t="s">
        <v>516</v>
      </c>
      <c r="J2165" s="1038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3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37"/>
      <c r="H2166" s="429" t="s">
        <v>516</v>
      </c>
      <c r="I2166" s="430" t="s">
        <v>516</v>
      </c>
      <c r="J2166" s="1038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1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1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1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1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1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11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1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1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1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1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1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1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13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1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13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11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1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1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1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14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1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14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11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39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1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39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1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32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1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32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11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1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1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1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1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1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1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1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1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1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1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1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1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1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1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1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1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1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1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11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1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1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1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1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1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1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1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1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1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1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1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1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1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1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1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1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12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1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1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12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1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1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1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1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1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1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1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1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1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1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1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1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1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1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1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1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1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1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1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1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1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1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1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1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12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1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1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1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1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1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1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1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1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1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1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1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1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1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1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1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1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1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1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1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11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1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1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1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17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1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1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1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1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1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1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1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1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1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1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1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1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1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1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1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1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1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1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1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11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1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1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1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1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1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11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1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1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1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11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1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1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1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1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1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1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1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1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1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1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1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1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1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1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1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1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1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1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1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1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1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1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1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1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1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1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1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1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1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1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1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1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1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1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1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1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1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11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1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1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1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1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1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1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1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1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1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1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1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1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1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1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1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1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1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11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1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1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1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1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16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1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1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1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1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1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1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1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1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1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1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1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1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12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14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1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14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1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14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1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1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1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1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11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1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1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1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1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1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1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14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1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14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1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1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1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1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1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1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1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1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11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1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1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1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4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4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4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41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1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1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1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13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1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13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1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1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1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1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12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1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1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1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1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1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1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1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1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1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1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1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1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1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42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1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42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1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1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1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14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1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14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1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1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1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1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1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1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12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1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1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1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1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1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1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1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1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1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1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1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1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1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1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1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1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14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1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14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1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1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1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1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1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1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1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1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1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1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1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1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1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1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1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1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1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1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1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1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1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1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1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1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4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4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1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1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1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1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1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1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1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1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1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1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1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1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1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1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16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1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1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1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1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1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1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1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1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1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1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1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1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1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1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1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1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1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1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1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1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1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1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1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1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1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1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1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14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1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14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1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14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1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1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1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1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1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1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1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1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1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1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1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1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1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11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1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1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1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1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1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1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1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1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1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1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1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1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1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1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1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1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1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1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1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1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1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1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1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1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1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1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1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1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1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1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1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1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1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1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1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44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1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44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1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1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11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13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1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13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1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1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1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1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1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1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1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11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1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1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1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1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1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1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1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1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1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1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1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17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1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1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1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1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1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1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1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14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1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14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1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1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1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1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1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1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1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1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1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1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1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1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1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1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1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1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1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1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1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13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1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13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1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1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1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1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1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1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1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13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1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13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1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1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1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1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1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1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1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1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1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1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1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1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1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1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1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17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1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1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1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1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1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1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11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1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1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1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1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1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13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1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13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1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1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1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1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1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1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1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1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1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1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1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1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1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1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1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1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1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1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1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1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1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1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1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1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1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1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1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14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1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14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1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14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11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1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1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1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1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1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1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1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1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1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1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1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1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1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1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1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1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1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1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1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14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1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14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1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14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1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14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1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1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1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1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1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1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1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1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14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1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14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1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14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1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1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1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1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1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1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1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1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1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1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1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1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1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1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1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1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1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1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1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1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1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1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14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1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1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1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1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1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1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1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1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1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1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1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1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1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1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1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1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1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1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1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1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1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1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1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1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1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1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1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1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1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1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1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1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1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1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1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1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1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1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1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1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1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1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1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1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1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1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1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1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1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1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1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1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1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1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1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1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1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1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1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1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1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1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13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1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13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1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13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1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1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1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1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1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1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1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1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1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1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1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1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1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1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1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1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1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1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1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1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1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1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1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1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1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1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1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1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1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1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1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1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1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1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1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1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1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1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1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1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1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1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42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1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42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1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42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1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42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1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42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1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42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1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1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1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1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1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1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1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1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1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1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1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1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12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1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1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1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1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1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1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1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1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1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1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1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1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1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1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1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1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1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1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1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1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1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1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1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1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1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1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1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1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1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1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1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1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1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1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1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1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1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1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1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1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1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1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1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1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1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1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1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1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1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1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1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1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1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1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1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1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1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1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1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1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1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1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1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1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1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16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1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1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11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1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1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1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1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1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1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1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1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1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1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1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1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1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1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1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1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1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1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1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1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1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1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1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1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1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1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1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1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1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1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1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1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1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1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1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1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13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1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13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1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1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1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1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1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1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1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1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1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1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13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1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13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16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1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1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1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1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1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1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1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101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101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101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101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1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13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1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13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101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101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101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101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101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101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101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101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1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1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1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1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1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1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1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1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1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1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1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1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1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1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1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1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1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1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42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1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42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1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42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1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1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1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1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1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1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1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1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1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1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1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1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1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17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1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1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1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1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1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1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1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14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1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14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1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1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1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1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1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1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1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1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1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1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1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1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1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1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17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1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1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1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1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1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1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1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1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1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14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1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14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1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1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1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1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1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1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1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1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1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1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1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1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1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1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1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1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14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1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14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76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78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8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91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76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78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8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91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8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91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8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91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74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4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76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4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76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78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4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47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76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8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8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8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74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8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8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8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4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76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4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74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4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76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8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8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8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8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8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74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99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4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48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76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4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74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99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4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48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76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8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8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4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76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8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74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8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8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4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74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8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8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76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8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8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8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8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8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74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4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76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78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4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47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76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78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4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47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76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4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74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4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76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8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76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4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74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4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76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8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4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74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8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4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74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8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8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8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8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8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76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4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74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99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4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48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76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4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74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4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76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8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8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4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76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78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4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47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74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8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4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76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4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74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99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4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48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76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8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8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8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8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8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7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4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74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4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74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99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4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48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76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8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4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74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8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4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76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8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4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74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8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8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8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74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4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76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8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4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76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8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8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8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74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8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74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8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8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8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8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8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76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4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76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78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8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91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4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47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76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8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4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7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8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4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76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8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8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76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78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4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47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74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8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8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4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76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4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76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4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74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4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74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8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8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8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8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76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4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76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8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4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74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4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76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4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74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4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76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78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4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47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74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8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76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8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4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74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4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76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4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74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4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76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4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76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8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8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8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8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8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8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8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76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4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76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4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74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8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8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4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76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8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8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8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8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4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76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4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74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8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8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4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74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8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8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8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8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8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76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4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76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78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4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47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74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8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4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76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8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8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4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74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8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4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76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78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8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91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4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47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74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99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4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48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76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4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74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4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76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8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8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8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8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8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74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4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76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4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74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8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4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76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8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8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4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74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4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76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78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4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47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76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4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74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8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4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74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4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76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8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74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8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74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8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8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8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8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76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4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76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8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74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99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4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48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76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8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8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8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8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8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4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74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8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8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8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76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8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4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76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4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74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4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76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8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4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76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4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9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4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5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76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8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8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8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8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4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74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4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76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8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4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74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4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76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4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76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4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74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8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7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76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8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7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74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7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76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78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7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79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76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8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74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99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7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98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76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8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8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8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8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74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7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76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7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76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8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7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74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7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76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8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8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74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99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8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9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7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98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74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7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74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8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7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76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8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7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74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8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8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8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8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76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7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74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8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7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76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8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8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7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74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7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76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8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8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7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76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7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74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8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8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76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7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74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8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8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8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8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76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7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74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8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7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76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7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74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7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76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7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76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8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7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76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7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74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7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74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8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7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76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8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8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8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7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76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8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74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7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74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7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74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7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76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8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7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74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8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8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7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76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8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7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76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78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7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79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74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8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7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74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8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7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76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8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8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7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76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7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74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99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8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9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8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9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7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98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76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8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7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76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7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74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8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7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76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7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74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8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8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74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99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7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98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76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7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74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8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7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74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7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76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7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74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8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76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7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74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8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8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8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8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76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8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7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76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78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8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91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8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91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7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79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74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7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76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7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76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7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74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8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7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76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7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74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99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7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98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74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8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74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8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8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8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8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7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76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8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74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8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7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76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7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76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8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7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74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8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7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76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8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7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74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8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7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74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7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76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7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7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8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7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76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8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8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7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7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9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8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98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76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8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7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74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7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76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8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8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8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74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7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76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7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74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8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8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7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76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7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7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7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7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7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76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7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7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8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76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8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8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7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76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7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76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8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8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7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74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7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74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7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76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8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7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74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8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7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74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8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7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74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8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7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76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7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76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8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8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7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74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99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8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9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76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7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74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7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76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7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74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7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76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7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76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8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7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74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7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76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7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74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8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7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76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8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7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74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7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76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7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76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8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74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8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7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76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8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7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76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7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76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7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74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7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76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7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74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7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76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8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7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74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8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7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74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8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7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76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7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74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8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7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76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78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8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91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7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79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74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8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7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74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7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74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7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76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8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7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76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7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74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8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76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8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8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7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76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7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76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78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7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79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74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7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74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8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74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7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76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8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8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7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74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8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76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7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76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7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76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8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7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74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8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7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76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7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74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8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7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76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7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74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7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76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7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74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8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7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87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8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74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8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76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7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74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8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8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7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76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7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74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7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76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7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76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78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7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79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76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8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7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74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8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7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76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8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7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74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8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74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7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76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8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74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7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76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7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74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99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8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9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8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9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7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98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74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8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7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74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99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7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98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76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8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76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8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7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74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8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7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76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78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7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79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76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7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74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8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74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8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8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7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76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78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8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91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74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7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74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7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76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7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74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7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76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78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7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79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76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8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7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74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8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7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74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99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7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98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76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7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76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8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76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7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74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8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8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8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76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7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74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7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76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7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74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99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8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9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7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98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76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7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76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78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7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79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74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7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76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8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8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7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74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99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7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98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76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7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74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7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76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7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74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8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76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78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7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79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74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8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8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76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7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76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78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7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79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74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8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8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7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76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7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74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8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7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76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8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8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7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74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7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76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7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74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7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76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78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7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79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74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8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74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8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7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76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78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8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91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74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7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74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8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7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76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8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7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76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7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76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7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74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8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8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7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76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78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7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79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76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7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74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99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7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98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76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8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8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74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7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76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7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74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7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76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7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7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79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74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7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76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7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74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99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7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98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76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7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74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8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7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76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7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74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8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7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74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99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7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98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76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8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74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8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8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76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7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76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8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7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74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8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7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74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99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7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98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74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99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7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98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76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8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76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8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7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74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8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7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76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7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74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7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74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99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7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98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74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8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8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76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7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74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99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7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98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76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7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74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8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7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76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78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8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91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8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91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74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99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7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98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87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8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8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8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87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8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76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8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74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7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76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78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8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51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8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8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8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74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7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76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8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7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74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7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76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7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76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7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74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99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8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9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7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98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76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8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74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99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7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98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74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8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8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7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74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8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7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76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8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7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76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78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8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91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8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91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8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91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74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7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76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78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7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79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76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7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74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8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7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76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78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7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79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74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8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76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8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8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7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74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7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76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78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7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79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74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8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7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74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8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76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8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8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74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7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74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8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8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7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74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7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74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8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76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8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8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7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74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8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7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76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7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74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7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76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7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76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78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8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91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74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8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8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7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76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78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7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79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76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7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76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78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7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79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76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8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7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74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7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76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7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74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99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7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98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74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8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7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76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8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8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7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74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8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7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76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8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76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78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7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79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74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8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76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8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8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74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7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76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8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7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74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7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76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7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74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7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76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7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76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7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74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8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7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76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7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74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7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74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99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8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9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76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8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8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74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7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76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8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8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7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74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8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7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7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8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76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7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74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8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7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76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8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8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7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74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7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76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7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76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8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76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78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8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91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8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91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8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91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8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91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74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7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74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8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8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7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74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8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8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7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76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7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74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8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7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76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8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7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76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8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7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74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7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74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99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7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98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74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99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8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9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8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9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8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9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76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7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74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7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76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7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76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7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74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7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74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8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8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7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87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8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74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7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87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91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8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91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74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8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76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78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7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79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74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8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76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78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8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91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74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7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76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7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74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7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76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7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74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7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76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78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7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79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76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7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74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7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76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7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74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7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76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8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7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74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7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74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7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74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8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8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76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77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76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77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74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8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7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74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8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7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76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8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77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74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8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7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76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8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74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99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7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98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76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8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77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76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77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74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7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76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77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76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78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77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79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76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77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74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7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76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77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74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99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7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98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74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8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8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8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7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76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8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77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76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8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74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99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7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98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74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99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8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9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8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9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8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9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7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98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76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8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77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74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8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8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8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7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76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78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77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79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7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7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76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8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77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76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77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76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77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74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8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7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76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77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74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7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76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8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76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8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8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77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74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75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76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8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77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74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75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76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77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74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99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75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98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74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8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76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77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76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77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76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8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8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77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76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77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74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75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76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77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74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9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75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98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76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77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08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09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03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0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0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74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75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03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0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0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0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0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03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0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74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8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9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8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9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5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89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53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54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55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9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9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74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75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74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8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8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8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8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74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75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74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83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75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8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76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77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76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77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76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8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77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74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75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74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75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74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8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75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76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87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77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74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8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8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76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77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74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8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75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74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8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8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75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74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8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75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76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77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74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99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75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98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74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8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9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96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89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89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90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80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82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76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77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76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87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80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82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88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90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80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81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81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82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88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89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90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80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82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88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90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80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81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82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88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90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80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81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82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76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87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87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87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74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8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8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75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88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90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88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92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89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93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90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94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74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97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75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97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88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78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90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91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80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82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76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77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74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75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76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87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9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10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88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90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88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90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88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89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90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74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8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75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76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87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77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74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8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75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74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75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88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89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90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80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81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81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82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88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89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89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74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8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74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75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88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89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89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90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80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81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81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88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90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80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81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81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88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78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90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79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74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99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8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98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76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77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74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8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8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80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81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81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81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76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87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76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87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87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77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74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8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8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75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74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8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8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8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75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76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87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87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87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87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87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77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80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81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81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82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76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87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77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80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81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82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80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81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81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81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76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87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77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81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81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81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81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82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88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90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80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82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88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89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89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90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88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92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89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93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90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94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74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75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76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77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80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81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82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88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89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90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80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97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82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97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76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78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77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79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76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77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80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82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76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77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74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75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76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87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77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80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81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82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88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89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90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74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86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86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86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76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87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87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77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06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07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74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86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86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86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75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76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87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77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76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77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80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82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76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87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87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77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80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99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81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97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81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97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82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98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76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77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76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77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80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82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988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92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989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93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989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00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989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00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90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94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80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97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81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97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82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98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76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77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76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87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77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80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82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76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87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87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87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77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80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82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76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87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87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87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77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74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86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86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86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76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87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87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77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80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82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76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77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74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86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75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25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76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987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987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77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80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981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82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988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78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989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91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989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91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989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91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990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79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80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82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76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77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2254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76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987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77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80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999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82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998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80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981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82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2245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2246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2250</v>
      </c>
    </row>
    <row r="7026" spans="1:17" x14ac:dyDescent="0.25">
      <c r="A7026" s="976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79"/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thickBot="1" x14ac:dyDescent="0.3">
      <c r="A7027" s="977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87"/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x14ac:dyDescent="0.25">
      <c r="A7028" s="974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63"/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x14ac:dyDescent="0.25">
      <c r="A7029" s="986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6"/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thickBot="1" x14ac:dyDescent="0.3">
      <c r="A7030" s="975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48"/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4"/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2272</v>
      </c>
    </row>
    <row r="7032" spans="1:17" x14ac:dyDescent="0.25">
      <c r="A7032" s="974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63"/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2247</v>
      </c>
    </row>
    <row r="7033" spans="1:17" x14ac:dyDescent="0.25">
      <c r="A7033" s="986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6"/>
      <c r="L7033" s="839" t="s">
        <v>265</v>
      </c>
      <c r="M7033" s="839">
        <v>1200</v>
      </c>
      <c r="N7033" s="598">
        <v>0.375</v>
      </c>
      <c r="O7033" s="897" t="s">
        <v>2228</v>
      </c>
      <c r="P7033" s="867" t="s">
        <v>2248</v>
      </c>
    </row>
    <row r="7034" spans="1:17" ht="19.5" thickBot="1" x14ac:dyDescent="0.3">
      <c r="A7034" s="975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48"/>
      <c r="L7034" s="801" t="s">
        <v>265</v>
      </c>
      <c r="M7034" s="801">
        <v>3615</v>
      </c>
      <c r="N7034" s="804">
        <v>0.375</v>
      </c>
      <c r="O7034" s="897" t="s">
        <v>2227</v>
      </c>
      <c r="P7034" s="867" t="s">
        <v>2249</v>
      </c>
    </row>
    <row r="7035" spans="1:17" x14ac:dyDescent="0.25">
      <c r="A7035" s="976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79"/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2238</v>
      </c>
      <c r="Q7035" s="847" t="s">
        <v>2241</v>
      </c>
    </row>
    <row r="7036" spans="1:17" ht="19.5" thickBot="1" x14ac:dyDescent="0.3">
      <c r="A7036" s="977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87"/>
      <c r="L7036" s="808" t="s">
        <v>265</v>
      </c>
      <c r="M7036" s="808">
        <v>5025</v>
      </c>
      <c r="N7036" s="778">
        <v>0.41666666666666669</v>
      </c>
      <c r="O7036" s="897" t="s">
        <v>2240</v>
      </c>
      <c r="P7036" s="867" t="s">
        <v>2239</v>
      </c>
      <c r="Q7036" s="952"/>
    </row>
    <row r="7037" spans="1:17" x14ac:dyDescent="0.25">
      <c r="A7037" s="980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63"/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2273</v>
      </c>
    </row>
    <row r="7038" spans="1:17" ht="19.5" thickBot="1" x14ac:dyDescent="0.3">
      <c r="A7038" s="982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48"/>
      <c r="L7038" s="801" t="s">
        <v>28</v>
      </c>
      <c r="M7038" s="801">
        <v>1020.9000000000001</v>
      </c>
      <c r="N7038" s="804">
        <v>0.45833333333333331</v>
      </c>
      <c r="O7038" s="897" t="s">
        <v>2229</v>
      </c>
      <c r="P7038" s="867" t="s">
        <v>2274</v>
      </c>
    </row>
    <row r="7039" spans="1:17" x14ac:dyDescent="0.25">
      <c r="A7039" s="976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79"/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2255</v>
      </c>
      <c r="Q7039" s="847" t="s">
        <v>2257</v>
      </c>
    </row>
    <row r="7040" spans="1:17" ht="19.5" thickBot="1" x14ac:dyDescent="0.3">
      <c r="A7040" s="977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87"/>
      <c r="L7040" s="808" t="s">
        <v>28</v>
      </c>
      <c r="M7040" s="808">
        <v>2621.2800000000002</v>
      </c>
      <c r="N7040" s="778">
        <v>0.5</v>
      </c>
      <c r="O7040" s="897" t="s">
        <v>2230</v>
      </c>
      <c r="P7040" s="867" t="s">
        <v>2256</v>
      </c>
    </row>
    <row r="7041" spans="1:18" ht="19.5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4"/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2234</v>
      </c>
    </row>
    <row r="7042" spans="1:18" x14ac:dyDescent="0.25">
      <c r="A7042" s="976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79"/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2235</v>
      </c>
    </row>
    <row r="7043" spans="1:18" ht="37.5" x14ac:dyDescent="0.25">
      <c r="A7043" s="987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1"/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x14ac:dyDescent="0.25">
      <c r="A7044" s="987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3"/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2236</v>
      </c>
    </row>
    <row r="7045" spans="1:18" x14ac:dyDescent="0.25">
      <c r="A7045" s="987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3"/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2237</v>
      </c>
    </row>
    <row r="7046" spans="1:18" ht="38.25" thickBot="1" x14ac:dyDescent="0.3">
      <c r="A7046" s="977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3"/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x14ac:dyDescent="0.25">
      <c r="A7047" s="980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1"/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2243</v>
      </c>
    </row>
    <row r="7048" spans="1:18" x14ac:dyDescent="0.25">
      <c r="A7048" s="981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49"/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2242</v>
      </c>
    </row>
    <row r="7049" spans="1:18" ht="19.5" thickBot="1" x14ac:dyDescent="0.3">
      <c r="A7049" s="982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877"/>
      <c r="L7049" s="788" t="s">
        <v>265</v>
      </c>
      <c r="M7049" s="788">
        <v>6225</v>
      </c>
      <c r="N7049" s="784">
        <v>0.375</v>
      </c>
      <c r="P7049" s="867" t="s">
        <v>2244</v>
      </c>
    </row>
    <row r="7050" spans="1:18" ht="56.25" x14ac:dyDescent="0.25">
      <c r="A7050" s="976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3"/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2258</v>
      </c>
      <c r="R7050" s="943"/>
    </row>
    <row r="7051" spans="1:18" x14ac:dyDescent="0.25">
      <c r="A7051" s="987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3"/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2259</v>
      </c>
    </row>
    <row r="7052" spans="1:18" x14ac:dyDescent="0.25">
      <c r="A7052" s="987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3"/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2260</v>
      </c>
      <c r="Q7052" s="847" t="s">
        <v>2262</v>
      </c>
    </row>
    <row r="7053" spans="1:18" ht="19.5" thickBot="1" x14ac:dyDescent="0.3">
      <c r="A7053" s="977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9"/>
      <c r="L7053" s="856" t="s">
        <v>28</v>
      </c>
      <c r="M7053" s="856">
        <v>1455</v>
      </c>
      <c r="N7053" s="653">
        <v>0.41666666666666669</v>
      </c>
      <c r="O7053" s="897" t="s">
        <v>2232</v>
      </c>
      <c r="P7053" s="867" t="s">
        <v>2261</v>
      </c>
    </row>
    <row r="7054" spans="1:18" x14ac:dyDescent="0.25">
      <c r="A7054" s="980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63"/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2252</v>
      </c>
    </row>
    <row r="7055" spans="1:18" ht="19.5" thickBot="1" x14ac:dyDescent="0.3">
      <c r="A7055" s="982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48"/>
      <c r="L7055" s="801" t="s">
        <v>28</v>
      </c>
      <c r="M7055" s="801">
        <v>1215</v>
      </c>
      <c r="N7055" s="804">
        <v>0.45833333333333331</v>
      </c>
      <c r="O7055" s="897" t="s">
        <v>2233</v>
      </c>
      <c r="P7055" s="867" t="s">
        <v>2253</v>
      </c>
    </row>
    <row r="7056" spans="1:18" x14ac:dyDescent="0.25">
      <c r="A7056" s="976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/>
      <c r="F7056" s="483" t="s">
        <v>16</v>
      </c>
      <c r="G7056" s="899"/>
      <c r="H7056" s="483" t="s">
        <v>2199</v>
      </c>
      <c r="I7056" s="484"/>
      <c r="J7056" s="485"/>
      <c r="K7056" s="479"/>
      <c r="L7056" s="483" t="s">
        <v>265</v>
      </c>
      <c r="M7056" s="483">
        <v>17563.52</v>
      </c>
      <c r="N7056" s="486">
        <v>0.375</v>
      </c>
      <c r="O7056" s="897" t="s">
        <v>2200</v>
      </c>
    </row>
    <row r="7057" spans="1:18" ht="19.5" thickBot="1" x14ac:dyDescent="0.3">
      <c r="A7057" s="977"/>
      <c r="B7057" s="805" t="s">
        <v>2184</v>
      </c>
      <c r="C7057" s="806" t="s">
        <v>26</v>
      </c>
      <c r="D7057" s="807">
        <v>5.2</v>
      </c>
      <c r="E7057" s="807"/>
      <c r="F7057" s="808" t="s">
        <v>16</v>
      </c>
      <c r="G7057" s="902" t="s">
        <v>76</v>
      </c>
      <c r="H7057" s="808" t="s">
        <v>2199</v>
      </c>
      <c r="I7057" s="808"/>
      <c r="J7057" s="810"/>
      <c r="K7057" s="887"/>
      <c r="L7057" s="808" t="s">
        <v>265</v>
      </c>
      <c r="M7057" s="808">
        <v>5205</v>
      </c>
      <c r="N7057" s="778">
        <v>0.375</v>
      </c>
    </row>
    <row r="7058" spans="1:18" x14ac:dyDescent="0.25">
      <c r="A7058" s="974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/>
      <c r="F7058" s="535" t="s">
        <v>16</v>
      </c>
      <c r="G7058" s="536"/>
      <c r="H7058" s="535" t="s">
        <v>2199</v>
      </c>
      <c r="I7058" s="537"/>
      <c r="J7058" s="538"/>
      <c r="K7058" s="531"/>
      <c r="L7058" s="535" t="s">
        <v>265</v>
      </c>
      <c r="M7058" s="535">
        <v>11514.16</v>
      </c>
      <c r="N7058" s="539">
        <v>0.41666666666666669</v>
      </c>
      <c r="O7058" s="897" t="s">
        <v>2201</v>
      </c>
    </row>
    <row r="7059" spans="1:18" x14ac:dyDescent="0.25">
      <c r="A7059" s="986"/>
      <c r="B7059" s="563" t="s">
        <v>2162</v>
      </c>
      <c r="C7059" s="564" t="s">
        <v>1358</v>
      </c>
      <c r="D7059" s="565">
        <v>2.5230000000000001</v>
      </c>
      <c r="E7059" s="566"/>
      <c r="F7059" s="567" t="s">
        <v>16</v>
      </c>
      <c r="G7059" s="568" t="s">
        <v>844</v>
      </c>
      <c r="H7059" s="567" t="s">
        <v>2199</v>
      </c>
      <c r="I7059" s="569"/>
      <c r="J7059" s="570"/>
      <c r="K7059" s="563"/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</row>
    <row r="7060" spans="1:18" x14ac:dyDescent="0.25">
      <c r="A7060" s="986"/>
      <c r="B7060" s="563" t="s">
        <v>2162</v>
      </c>
      <c r="C7060" s="564" t="s">
        <v>1358</v>
      </c>
      <c r="D7060" s="565">
        <v>3.5030000000000001</v>
      </c>
      <c r="E7060" s="566"/>
      <c r="F7060" s="567" t="s">
        <v>16</v>
      </c>
      <c r="G7060" s="568" t="s">
        <v>845</v>
      </c>
      <c r="H7060" s="567" t="s">
        <v>2199</v>
      </c>
      <c r="I7060" s="569"/>
      <c r="J7060" s="570"/>
      <c r="K7060" s="563"/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</row>
    <row r="7061" spans="1:18" ht="38.25" thickBot="1" x14ac:dyDescent="0.3">
      <c r="A7061" s="975"/>
      <c r="B7061" s="832" t="s">
        <v>2199</v>
      </c>
      <c r="C7061" s="827" t="s">
        <v>26</v>
      </c>
      <c r="D7061" s="828">
        <v>4.8</v>
      </c>
      <c r="E7061" s="828"/>
      <c r="F7061" s="829" t="s">
        <v>16</v>
      </c>
      <c r="G7061" s="830" t="s">
        <v>76</v>
      </c>
      <c r="H7061" s="829" t="s">
        <v>2199</v>
      </c>
      <c r="I7061" s="829" t="s">
        <v>979</v>
      </c>
      <c r="J7061" s="831"/>
      <c r="K7061" s="832"/>
      <c r="L7061" s="829" t="s">
        <v>265</v>
      </c>
      <c r="M7061" s="829">
        <v>4811.3999999999996</v>
      </c>
      <c r="N7061" s="644">
        <v>0.41666666666666669</v>
      </c>
      <c r="O7061" s="897" t="s">
        <v>2251</v>
      </c>
    </row>
    <row r="7062" spans="1:18" ht="19.5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/>
      <c r="F7062" s="577" t="s">
        <v>30</v>
      </c>
      <c r="G7062" s="578"/>
      <c r="H7062" s="577" t="s">
        <v>2199</v>
      </c>
      <c r="I7062" s="579"/>
      <c r="J7062" s="580"/>
      <c r="K7062" s="573"/>
      <c r="L7062" s="577" t="s">
        <v>265</v>
      </c>
      <c r="M7062" s="577">
        <v>14427.119999999999</v>
      </c>
      <c r="N7062" s="581">
        <v>0.375</v>
      </c>
      <c r="O7062" s="897" t="s">
        <v>2207</v>
      </c>
    </row>
    <row r="7063" spans="1:18" x14ac:dyDescent="0.25">
      <c r="A7063" s="980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/>
      <c r="F7063" s="535" t="s">
        <v>16</v>
      </c>
      <c r="G7063" s="983" t="s">
        <v>1724</v>
      </c>
      <c r="H7063" s="535" t="s">
        <v>2199</v>
      </c>
      <c r="I7063" s="537"/>
      <c r="J7063" s="538"/>
      <c r="K7063" s="531"/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>
        <v>6298499</v>
      </c>
      <c r="Q7063" s="847">
        <v>-1347</v>
      </c>
      <c r="R7063" s="943"/>
    </row>
    <row r="7064" spans="1:18" x14ac:dyDescent="0.25">
      <c r="A7064" s="981"/>
      <c r="B7064" s="824" t="s">
        <v>2162</v>
      </c>
      <c r="C7064" s="820" t="s">
        <v>24</v>
      </c>
      <c r="D7064" s="821">
        <v>5.923</v>
      </c>
      <c r="E7064" s="822"/>
      <c r="F7064" s="819" t="s">
        <v>16</v>
      </c>
      <c r="G7064" s="984"/>
      <c r="H7064" s="819" t="s">
        <v>2199</v>
      </c>
      <c r="I7064" s="782"/>
      <c r="J7064" s="825"/>
      <c r="K7064" s="849"/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>
        <v>6298528</v>
      </c>
      <c r="Q7064" s="847">
        <v>-1531</v>
      </c>
      <c r="R7064" s="943"/>
    </row>
    <row r="7065" spans="1:18" x14ac:dyDescent="0.25">
      <c r="A7065" s="981"/>
      <c r="B7065" s="813" t="s">
        <v>2199</v>
      </c>
      <c r="C7065" s="814" t="s">
        <v>15</v>
      </c>
      <c r="D7065" s="815">
        <v>1.55</v>
      </c>
      <c r="E7065" s="815"/>
      <c r="F7065" s="816" t="s">
        <v>16</v>
      </c>
      <c r="G7065" s="984"/>
      <c r="H7065" s="816" t="s">
        <v>2199</v>
      </c>
      <c r="I7065" s="816"/>
      <c r="J7065" s="818"/>
      <c r="K7065" s="973"/>
      <c r="L7065" s="816" t="s">
        <v>28</v>
      </c>
      <c r="M7065" s="816">
        <v>1575</v>
      </c>
      <c r="N7065" s="811">
        <v>0.45833333333333331</v>
      </c>
      <c r="O7065" s="897" t="s">
        <v>2268</v>
      </c>
      <c r="R7065" s="943"/>
    </row>
    <row r="7066" spans="1:18" ht="19.5" thickBot="1" x14ac:dyDescent="0.3">
      <c r="A7066" s="982"/>
      <c r="B7066" s="826" t="s">
        <v>2199</v>
      </c>
      <c r="C7066" s="827" t="s">
        <v>24</v>
      </c>
      <c r="D7066" s="828">
        <v>0.85</v>
      </c>
      <c r="E7066" s="828"/>
      <c r="F7066" s="829" t="s">
        <v>16</v>
      </c>
      <c r="G7066" s="985"/>
      <c r="H7066" s="788" t="s">
        <v>2199</v>
      </c>
      <c r="I7066" s="788"/>
      <c r="J7066" s="790"/>
      <c r="K7066" s="877"/>
      <c r="L7066" s="788" t="s">
        <v>28</v>
      </c>
      <c r="M7066" s="788">
        <v>870</v>
      </c>
      <c r="N7066" s="784">
        <v>0.45833333333333331</v>
      </c>
      <c r="O7066" s="897" t="s">
        <v>2267</v>
      </c>
    </row>
    <row r="7067" spans="1:18" x14ac:dyDescent="0.25">
      <c r="A7067" s="976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/>
      <c r="F7067" s="483" t="s">
        <v>16</v>
      </c>
      <c r="G7067" s="978" t="s">
        <v>1634</v>
      </c>
      <c r="H7067" s="483" t="s">
        <v>2199</v>
      </c>
      <c r="I7067" s="484"/>
      <c r="J7067" s="485"/>
      <c r="K7067" s="479"/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>
        <v>6298313</v>
      </c>
      <c r="Q7067" s="847">
        <v>-3619</v>
      </c>
      <c r="R7067" s="943"/>
    </row>
    <row r="7068" spans="1:18" ht="19.5" thickBot="1" x14ac:dyDescent="0.3">
      <c r="A7068" s="977"/>
      <c r="B7068" s="805" t="s">
        <v>2199</v>
      </c>
      <c r="C7068" s="806" t="s">
        <v>47</v>
      </c>
      <c r="D7068" s="807">
        <v>3.4950000000000001</v>
      </c>
      <c r="E7068" s="807"/>
      <c r="F7068" s="808" t="s">
        <v>16</v>
      </c>
      <c r="G7068" s="979"/>
      <c r="H7068" s="808" t="s">
        <v>2199</v>
      </c>
      <c r="I7068" s="808"/>
      <c r="J7068" s="810"/>
      <c r="K7068" s="887"/>
      <c r="L7068" s="808" t="s">
        <v>28</v>
      </c>
      <c r="M7068" s="808">
        <v>3517.74</v>
      </c>
      <c r="N7068" s="778">
        <v>0.5</v>
      </c>
      <c r="O7068" s="897" t="s">
        <v>2269</v>
      </c>
      <c r="R7068" s="943"/>
    </row>
    <row r="7069" spans="1:18" x14ac:dyDescent="0.25">
      <c r="A7069" s="974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/>
      <c r="F7069" s="535" t="s">
        <v>16</v>
      </c>
      <c r="G7069" s="536"/>
      <c r="H7069" s="535" t="s">
        <v>2199</v>
      </c>
      <c r="I7069" s="537"/>
      <c r="J7069" s="538" t="s">
        <v>2270</v>
      </c>
      <c r="K7069" s="531"/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>
        <v>6298236</v>
      </c>
      <c r="Q7069" s="847">
        <v>-360</v>
      </c>
      <c r="R7069" s="943">
        <v>1318</v>
      </c>
    </row>
    <row r="7070" spans="1:18" x14ac:dyDescent="0.25">
      <c r="A7070" s="986"/>
      <c r="B7070" s="563" t="s">
        <v>2162</v>
      </c>
      <c r="C7070" s="963" t="s">
        <v>1382</v>
      </c>
      <c r="D7070" s="565">
        <v>6.2930000000000001</v>
      </c>
      <c r="E7070" s="566"/>
      <c r="F7070" s="567" t="s">
        <v>16</v>
      </c>
      <c r="G7070" s="568" t="s">
        <v>844</v>
      </c>
      <c r="H7070" s="567" t="s">
        <v>2199</v>
      </c>
      <c r="I7070" s="569"/>
      <c r="J7070" s="570"/>
      <c r="K7070" s="563"/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>
        <v>6298234</v>
      </c>
      <c r="Q7070" s="847">
        <v>-399</v>
      </c>
      <c r="R7070" s="833">
        <v>5907</v>
      </c>
    </row>
    <row r="7071" spans="1:18" x14ac:dyDescent="0.25">
      <c r="A7071" s="986"/>
      <c r="B7071" s="563" t="s">
        <v>2162</v>
      </c>
      <c r="C7071" s="971" t="s">
        <v>1382</v>
      </c>
      <c r="D7071" s="565">
        <v>1.5760000000000001</v>
      </c>
      <c r="E7071" s="566"/>
      <c r="F7071" s="567" t="s">
        <v>16</v>
      </c>
      <c r="G7071" s="568" t="s">
        <v>845</v>
      </c>
      <c r="H7071" s="567" t="s">
        <v>2199</v>
      </c>
      <c r="I7071" s="569"/>
      <c r="J7071" s="570" t="s">
        <v>2271</v>
      </c>
      <c r="K7071" s="563"/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>
        <v>6298312</v>
      </c>
      <c r="Q7071" s="847">
        <v>-207</v>
      </c>
      <c r="R7071" s="833">
        <v>1405</v>
      </c>
    </row>
    <row r="7072" spans="1:18" ht="19.5" thickBot="1" x14ac:dyDescent="0.3">
      <c r="A7072" s="975"/>
      <c r="B7072" s="636" t="s">
        <v>2162</v>
      </c>
      <c r="C7072" s="965" t="s">
        <v>23</v>
      </c>
      <c r="D7072" s="638">
        <v>7.9850000000000003</v>
      </c>
      <c r="E7072" s="639"/>
      <c r="F7072" s="640" t="s">
        <v>16</v>
      </c>
      <c r="G7072" s="641"/>
      <c r="H7072" s="640" t="s">
        <v>2199</v>
      </c>
      <c r="I7072" s="642"/>
      <c r="J7072" s="643"/>
      <c r="K7072" s="636"/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>
        <v>6298311</v>
      </c>
      <c r="Q7072" s="847">
        <v>-1089</v>
      </c>
      <c r="R7072" s="833">
        <v>6944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/>
      <c r="F7073" s="518" t="s">
        <v>16</v>
      </c>
      <c r="G7073" s="519" t="s">
        <v>1900</v>
      </c>
      <c r="H7073" s="518" t="s">
        <v>2199</v>
      </c>
      <c r="I7073" s="520"/>
      <c r="J7073" s="521"/>
      <c r="K7073" s="514"/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>
        <v>6298185</v>
      </c>
      <c r="R7073" s="833">
        <v>5004</v>
      </c>
      <c r="S7073" s="962"/>
    </row>
    <row r="7074" spans="1:19" x14ac:dyDescent="0.25">
      <c r="A7074" s="974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/>
      <c r="F7074" s="535" t="s">
        <v>30</v>
      </c>
      <c r="G7074" s="536"/>
      <c r="H7074" s="535" t="s">
        <v>2199</v>
      </c>
      <c r="I7074" s="537"/>
      <c r="J7074" s="538"/>
      <c r="K7074" s="531"/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</row>
    <row r="7075" spans="1:19" ht="19.5" thickBot="1" x14ac:dyDescent="0.3">
      <c r="A7075" s="975"/>
      <c r="B7075" s="636" t="s">
        <v>2162</v>
      </c>
      <c r="C7075" s="637" t="s">
        <v>24</v>
      </c>
      <c r="D7075" s="638">
        <v>5.0060000000000002</v>
      </c>
      <c r="E7075" s="639"/>
      <c r="F7075" s="640" t="s">
        <v>30</v>
      </c>
      <c r="G7075" s="641"/>
      <c r="H7075" s="640" t="s">
        <v>2199</v>
      </c>
      <c r="I7075" s="642"/>
      <c r="J7075" s="643"/>
      <c r="K7075" s="636"/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</row>
    <row r="7076" spans="1:19" x14ac:dyDescent="0.25">
      <c r="A7076" s="976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/>
      <c r="F7076" s="483" t="s">
        <v>16</v>
      </c>
      <c r="G7076" s="899"/>
      <c r="H7076" s="483" t="s">
        <v>2208</v>
      </c>
      <c r="I7076" s="484"/>
      <c r="J7076" s="485"/>
      <c r="K7076" s="479"/>
      <c r="L7076" s="483" t="s">
        <v>265</v>
      </c>
      <c r="M7076" s="483">
        <v>17533.699999999997</v>
      </c>
      <c r="N7076" s="486">
        <v>0.375</v>
      </c>
      <c r="O7076" s="897" t="s">
        <v>2209</v>
      </c>
    </row>
    <row r="7077" spans="1:19" ht="19.5" thickBot="1" x14ac:dyDescent="0.3">
      <c r="A7077" s="977"/>
      <c r="B7077" s="805" t="s">
        <v>2199</v>
      </c>
      <c r="C7077" s="806" t="s">
        <v>26</v>
      </c>
      <c r="D7077" s="807">
        <v>4.3499999999999996</v>
      </c>
      <c r="E7077" s="807"/>
      <c r="F7077" s="808" t="s">
        <v>16</v>
      </c>
      <c r="G7077" s="902" t="s">
        <v>76</v>
      </c>
      <c r="H7077" s="808" t="s">
        <v>2208</v>
      </c>
      <c r="I7077" s="808"/>
      <c r="J7077" s="810"/>
      <c r="K7077" s="887"/>
      <c r="L7077" s="808" t="s">
        <v>265</v>
      </c>
      <c r="M7077" s="808">
        <v>4362.96</v>
      </c>
      <c r="N7077" s="778">
        <v>0.375</v>
      </c>
      <c r="O7077" s="897" t="s">
        <v>2226</v>
      </c>
    </row>
    <row r="7078" spans="1:19" ht="19.5" thickBot="1" x14ac:dyDescent="0.3">
      <c r="A7078" s="503">
        <f>MAX(A6949:A7076)+1</f>
        <v>4375</v>
      </c>
      <c r="B7078" s="504" t="s">
        <v>2162</v>
      </c>
      <c r="C7078" s="505" t="s">
        <v>47</v>
      </c>
      <c r="D7078" s="506">
        <v>17.847999999999999</v>
      </c>
      <c r="E7078" s="507"/>
      <c r="F7078" s="508" t="s">
        <v>16</v>
      </c>
      <c r="G7078" s="509"/>
      <c r="H7078" s="508" t="s">
        <v>2208</v>
      </c>
      <c r="I7078" s="510"/>
      <c r="J7078" s="511"/>
      <c r="K7078" s="504"/>
      <c r="L7078" s="508" t="s">
        <v>28</v>
      </c>
      <c r="M7078" s="508">
        <v>18040.5</v>
      </c>
      <c r="N7078" s="512">
        <v>0.41666666666666669</v>
      </c>
      <c r="O7078" s="897" t="s">
        <v>2222</v>
      </c>
    </row>
    <row r="7079" spans="1:19" ht="38.25" thickBot="1" x14ac:dyDescent="0.3">
      <c r="A7079" s="513">
        <f>MAX(A6950:A7078)+1</f>
        <v>4376</v>
      </c>
      <c r="B7079" s="514" t="s">
        <v>2162</v>
      </c>
      <c r="C7079" s="515" t="s">
        <v>23</v>
      </c>
      <c r="D7079" s="516">
        <v>16.997</v>
      </c>
      <c r="E7079" s="517"/>
      <c r="F7079" s="518" t="s">
        <v>16</v>
      </c>
      <c r="G7079" s="519" t="s">
        <v>1634</v>
      </c>
      <c r="H7079" s="518" t="s">
        <v>2208</v>
      </c>
      <c r="I7079" s="520"/>
      <c r="J7079" s="521"/>
      <c r="K7079" s="514"/>
      <c r="L7079" s="518" t="s">
        <v>28</v>
      </c>
      <c r="M7079" s="518">
        <v>17121.98</v>
      </c>
      <c r="N7079" s="522">
        <v>0.45833333333333331</v>
      </c>
      <c r="O7079" s="897" t="s">
        <v>2223</v>
      </c>
    </row>
    <row r="7080" spans="1:19" x14ac:dyDescent="0.25">
      <c r="A7080" s="974">
        <f>MAX(A6951:A7079)+1</f>
        <v>4377</v>
      </c>
      <c r="B7080" s="531" t="s">
        <v>2162</v>
      </c>
      <c r="C7080" s="532" t="s">
        <v>587</v>
      </c>
      <c r="D7080" s="533">
        <v>6.6550000000000002</v>
      </c>
      <c r="E7080" s="534"/>
      <c r="F7080" s="535" t="s">
        <v>30</v>
      </c>
      <c r="G7080" s="536" t="s">
        <v>23</v>
      </c>
      <c r="H7080" s="535" t="s">
        <v>2208</v>
      </c>
      <c r="I7080" s="537"/>
      <c r="J7080" s="538"/>
      <c r="K7080" s="531"/>
      <c r="L7080" s="535" t="s">
        <v>28</v>
      </c>
      <c r="M7080" s="535">
        <v>6655.2000000000007</v>
      </c>
      <c r="N7080" s="539">
        <v>0.41666666666666669</v>
      </c>
      <c r="O7080" s="897" t="s">
        <v>2225</v>
      </c>
    </row>
    <row r="7081" spans="1:19" ht="19.5" thickBot="1" x14ac:dyDescent="0.3">
      <c r="A7081" s="975"/>
      <c r="B7081" s="636" t="s">
        <v>2162</v>
      </c>
      <c r="C7081" s="637" t="s">
        <v>23</v>
      </c>
      <c r="D7081" s="638">
        <v>5.391</v>
      </c>
      <c r="E7081" s="639"/>
      <c r="F7081" s="640" t="s">
        <v>30</v>
      </c>
      <c r="G7081" s="641"/>
      <c r="H7081" s="640" t="s">
        <v>2208</v>
      </c>
      <c r="I7081" s="642"/>
      <c r="J7081" s="643"/>
      <c r="K7081" s="636"/>
      <c r="L7081" s="640" t="s">
        <v>28</v>
      </c>
      <c r="M7081" s="640">
        <v>5391.2</v>
      </c>
      <c r="N7081" s="644">
        <v>0.41666666666666669</v>
      </c>
      <c r="O7081" s="897" t="s">
        <v>2212</v>
      </c>
      <c r="P7081" s="867" t="s">
        <v>2231</v>
      </c>
    </row>
    <row r="7082" spans="1:19" x14ac:dyDescent="0.25">
      <c r="A7082" s="976">
        <f>MAX(A6953:A7081)+1</f>
        <v>4378</v>
      </c>
      <c r="B7082" s="479" t="s">
        <v>2162</v>
      </c>
      <c r="C7082" s="480" t="s">
        <v>587</v>
      </c>
      <c r="D7082" s="481">
        <v>7.875</v>
      </c>
      <c r="E7082" s="482"/>
      <c r="F7082" s="483" t="s">
        <v>30</v>
      </c>
      <c r="G7082" s="549" t="s">
        <v>47</v>
      </c>
      <c r="H7082" s="483" t="s">
        <v>2208</v>
      </c>
      <c r="I7082" s="484"/>
      <c r="J7082" s="485"/>
      <c r="K7082" s="479"/>
      <c r="L7082" s="483" t="s">
        <v>28</v>
      </c>
      <c r="M7082" s="483">
        <v>7875</v>
      </c>
      <c r="N7082" s="486">
        <v>0.45833333333333331</v>
      </c>
      <c r="O7082" s="897" t="s">
        <v>2213</v>
      </c>
    </row>
    <row r="7083" spans="1:19" ht="19.5" thickBot="1" x14ac:dyDescent="0.3">
      <c r="A7083" s="977"/>
      <c r="B7083" s="645" t="s">
        <v>2162</v>
      </c>
      <c r="C7083" s="646" t="s">
        <v>47</v>
      </c>
      <c r="D7083" s="647">
        <v>5.5419999999999998</v>
      </c>
      <c r="E7083" s="648"/>
      <c r="F7083" s="649" t="s">
        <v>30</v>
      </c>
      <c r="G7083" s="650"/>
      <c r="H7083" s="649" t="s">
        <v>2208</v>
      </c>
      <c r="I7083" s="651"/>
      <c r="J7083" s="652"/>
      <c r="K7083" s="645"/>
      <c r="L7083" s="649" t="s">
        <v>28</v>
      </c>
      <c r="M7083" s="649">
        <v>5542.4</v>
      </c>
      <c r="N7083" s="653">
        <v>0.45833333333333331</v>
      </c>
      <c r="O7083" s="897" t="s">
        <v>2214</v>
      </c>
    </row>
    <row r="7084" spans="1:19" x14ac:dyDescent="0.25">
      <c r="A7084" s="974">
        <f>MAX(A6955:A7083)+1</f>
        <v>4379</v>
      </c>
      <c r="B7084" s="531" t="s">
        <v>2199</v>
      </c>
      <c r="C7084" s="532" t="s">
        <v>55</v>
      </c>
      <c r="D7084" s="533">
        <v>14.079000000000001</v>
      </c>
      <c r="E7084" s="534"/>
      <c r="F7084" s="535" t="s">
        <v>16</v>
      </c>
      <c r="G7084" s="536" t="s">
        <v>844</v>
      </c>
      <c r="H7084" s="535" t="s">
        <v>2263</v>
      </c>
      <c r="I7084" s="537"/>
      <c r="J7084" s="538"/>
      <c r="K7084" s="531"/>
      <c r="L7084" s="535" t="s">
        <v>266</v>
      </c>
      <c r="M7084" s="535">
        <v>14211.409999999998</v>
      </c>
      <c r="N7084" s="539">
        <v>0.5</v>
      </c>
      <c r="O7084" s="897" t="s">
        <v>2264</v>
      </c>
    </row>
    <row r="7085" spans="1:19" ht="19.5" thickBot="1" x14ac:dyDescent="0.3">
      <c r="A7085" s="975"/>
      <c r="B7085" s="636" t="s">
        <v>2199</v>
      </c>
      <c r="C7085" s="637" t="s">
        <v>55</v>
      </c>
      <c r="D7085" s="638">
        <v>3.3940000000000001</v>
      </c>
      <c r="E7085" s="639"/>
      <c r="F7085" s="640" t="s">
        <v>16</v>
      </c>
      <c r="G7085" s="641" t="s">
        <v>845</v>
      </c>
      <c r="H7085" s="640" t="s">
        <v>2263</v>
      </c>
      <c r="I7085" s="642"/>
      <c r="J7085" s="643"/>
      <c r="K7085" s="636"/>
      <c r="L7085" s="640" t="s">
        <v>266</v>
      </c>
      <c r="M7085" s="640">
        <v>3487.7999999999997</v>
      </c>
      <c r="N7085" s="644">
        <v>0.5</v>
      </c>
      <c r="O7085" s="897" t="s">
        <v>2265</v>
      </c>
    </row>
    <row r="7086" spans="1:19" ht="38.25" thickBot="1" x14ac:dyDescent="0.3">
      <c r="A7086" s="513">
        <f t="shared" ref="A7086:A7100" si="213">MAX(A6957:A7085)+1</f>
        <v>4380</v>
      </c>
      <c r="B7086" s="514" t="s">
        <v>2199</v>
      </c>
      <c r="C7086" s="515" t="s">
        <v>32</v>
      </c>
      <c r="D7086" s="516">
        <v>17.5</v>
      </c>
      <c r="E7086" s="517"/>
      <c r="F7086" s="518" t="s">
        <v>16</v>
      </c>
      <c r="G7086" s="519" t="s">
        <v>1900</v>
      </c>
      <c r="H7086" s="518" t="s">
        <v>2263</v>
      </c>
      <c r="I7086" s="520"/>
      <c r="J7086" s="521"/>
      <c r="K7086" s="514"/>
      <c r="L7086" s="518" t="s">
        <v>266</v>
      </c>
      <c r="M7086" s="518">
        <v>17503.2</v>
      </c>
      <c r="N7086" s="522">
        <v>0.54166666666666663</v>
      </c>
      <c r="O7086" s="897" t="s">
        <v>2266</v>
      </c>
    </row>
    <row r="7087" spans="1:19" x14ac:dyDescent="0.25">
      <c r="A7087" s="676">
        <f t="shared" si="213"/>
        <v>4381</v>
      </c>
      <c r="B7087" s="676"/>
      <c r="C7087" s="473"/>
      <c r="D7087" s="474"/>
      <c r="E7087" s="475"/>
      <c r="F7087" s="676"/>
      <c r="G7087" s="476"/>
      <c r="H7087" s="676"/>
      <c r="I7087" s="477"/>
      <c r="J7087" s="478"/>
      <c r="K7087" s="676"/>
      <c r="L7087" s="676"/>
      <c r="M7087" s="676"/>
      <c r="N7087" s="676"/>
    </row>
    <row r="7088" spans="1:19" x14ac:dyDescent="0.25">
      <c r="A7088" s="676">
        <f t="shared" si="213"/>
        <v>4382</v>
      </c>
      <c r="B7088" s="676"/>
      <c r="C7088" s="473"/>
      <c r="D7088" s="474"/>
      <c r="E7088" s="475"/>
      <c r="F7088" s="676"/>
      <c r="G7088" s="476"/>
      <c r="H7088" s="676"/>
      <c r="I7088" s="477"/>
      <c r="J7088" s="478"/>
      <c r="K7088" s="676"/>
      <c r="L7088" s="676"/>
      <c r="M7088" s="676"/>
      <c r="N7088" s="676"/>
    </row>
    <row r="7089" spans="1:14" x14ac:dyDescent="0.25">
      <c r="A7089" s="676">
        <f t="shared" si="213"/>
        <v>4383</v>
      </c>
      <c r="B7089" s="676"/>
      <c r="C7089" s="473"/>
      <c r="D7089" s="474"/>
      <c r="E7089" s="475"/>
      <c r="F7089" s="676"/>
      <c r="G7089" s="476"/>
      <c r="H7089" s="676"/>
      <c r="I7089" s="477"/>
      <c r="J7089" s="478"/>
      <c r="K7089" s="676"/>
      <c r="L7089" s="676"/>
      <c r="M7089" s="676"/>
      <c r="N7089" s="676"/>
    </row>
    <row r="7090" spans="1:14" x14ac:dyDescent="0.25">
      <c r="A7090" s="676">
        <f t="shared" si="213"/>
        <v>4384</v>
      </c>
      <c r="B7090" s="676"/>
      <c r="C7090" s="473"/>
      <c r="D7090" s="474"/>
      <c r="E7090" s="475"/>
      <c r="F7090" s="676"/>
      <c r="G7090" s="476"/>
      <c r="H7090" s="676"/>
      <c r="I7090" s="477"/>
      <c r="J7090" s="478"/>
      <c r="K7090" s="676"/>
      <c r="L7090" s="676"/>
      <c r="M7090" s="676"/>
      <c r="N7090" s="676"/>
    </row>
    <row r="7091" spans="1:14" x14ac:dyDescent="0.25">
      <c r="A7091" s="676">
        <f t="shared" si="213"/>
        <v>4385</v>
      </c>
      <c r="B7091" s="676"/>
      <c r="C7091" s="473"/>
      <c r="D7091" s="474"/>
      <c r="E7091" s="475"/>
      <c r="F7091" s="676"/>
      <c r="G7091" s="476"/>
      <c r="H7091" s="676"/>
      <c r="I7091" s="477"/>
      <c r="J7091" s="478"/>
      <c r="K7091" s="676"/>
      <c r="L7091" s="676"/>
      <c r="M7091" s="676"/>
      <c r="N7091" s="676"/>
    </row>
    <row r="7092" spans="1:14" x14ac:dyDescent="0.25">
      <c r="A7092" s="676">
        <f t="shared" si="213"/>
        <v>4386</v>
      </c>
      <c r="B7092" s="676"/>
      <c r="C7092" s="473"/>
      <c r="D7092" s="474"/>
      <c r="E7092" s="475"/>
      <c r="F7092" s="676"/>
      <c r="G7092" s="476"/>
      <c r="H7092" s="676"/>
      <c r="I7092" s="477"/>
      <c r="J7092" s="478"/>
      <c r="K7092" s="676"/>
      <c r="L7092" s="676"/>
      <c r="M7092" s="676"/>
      <c r="N7092" s="676"/>
    </row>
    <row r="7093" spans="1:14" x14ac:dyDescent="0.25">
      <c r="A7093" s="676">
        <f t="shared" si="213"/>
        <v>4387</v>
      </c>
      <c r="B7093" s="676"/>
      <c r="C7093" s="473"/>
      <c r="D7093" s="474"/>
      <c r="E7093" s="475"/>
      <c r="F7093" s="676"/>
      <c r="G7093" s="476"/>
      <c r="H7093" s="676"/>
      <c r="I7093" s="477"/>
      <c r="J7093" s="478"/>
      <c r="K7093" s="676"/>
      <c r="L7093" s="676"/>
      <c r="M7093" s="676"/>
      <c r="N7093" s="676"/>
    </row>
    <row r="7094" spans="1:14" x14ac:dyDescent="0.25">
      <c r="A7094" s="676">
        <f t="shared" si="213"/>
        <v>4388</v>
      </c>
      <c r="B7094" s="676"/>
      <c r="C7094" s="473"/>
      <c r="D7094" s="474"/>
      <c r="E7094" s="475"/>
      <c r="F7094" s="676"/>
      <c r="G7094" s="476"/>
      <c r="H7094" s="676"/>
      <c r="I7094" s="477"/>
      <c r="J7094" s="478"/>
      <c r="K7094" s="676"/>
      <c r="L7094" s="676"/>
      <c r="M7094" s="676"/>
      <c r="N7094" s="676"/>
    </row>
    <row r="7095" spans="1:14" x14ac:dyDescent="0.25">
      <c r="A7095" s="676">
        <f t="shared" si="213"/>
        <v>4389</v>
      </c>
      <c r="B7095" s="676"/>
      <c r="C7095" s="473"/>
      <c r="D7095" s="474"/>
      <c r="E7095" s="475"/>
      <c r="F7095" s="676"/>
      <c r="G7095" s="476"/>
      <c r="H7095" s="676"/>
      <c r="I7095" s="477"/>
      <c r="J7095" s="478"/>
      <c r="K7095" s="676"/>
      <c r="L7095" s="676"/>
      <c r="M7095" s="676"/>
      <c r="N7095" s="676"/>
    </row>
    <row r="7096" spans="1:14" x14ac:dyDescent="0.25">
      <c r="A7096" s="676">
        <f t="shared" si="213"/>
        <v>4390</v>
      </c>
      <c r="B7096" s="676"/>
      <c r="C7096" s="473"/>
      <c r="D7096" s="474"/>
      <c r="E7096" s="475"/>
      <c r="F7096" s="676"/>
      <c r="G7096" s="476"/>
      <c r="H7096" s="676"/>
      <c r="I7096" s="477"/>
      <c r="J7096" s="478"/>
      <c r="K7096" s="676"/>
      <c r="L7096" s="676"/>
      <c r="M7096" s="676"/>
      <c r="N7096" s="676"/>
    </row>
    <row r="7097" spans="1:14" x14ac:dyDescent="0.25">
      <c r="A7097" s="676">
        <f t="shared" si="213"/>
        <v>4391</v>
      </c>
      <c r="B7097" s="676"/>
      <c r="C7097" s="473"/>
      <c r="D7097" s="474"/>
      <c r="E7097" s="475"/>
      <c r="F7097" s="676"/>
      <c r="G7097" s="476"/>
      <c r="H7097" s="676"/>
      <c r="I7097" s="477"/>
      <c r="J7097" s="478"/>
      <c r="K7097" s="676"/>
      <c r="L7097" s="676"/>
      <c r="M7097" s="676"/>
      <c r="N7097" s="676"/>
    </row>
    <row r="7098" spans="1:14" x14ac:dyDescent="0.25">
      <c r="A7098" s="676">
        <f t="shared" si="213"/>
        <v>4392</v>
      </c>
      <c r="B7098" s="676"/>
      <c r="C7098" s="473"/>
      <c r="D7098" s="474"/>
      <c r="E7098" s="475"/>
      <c r="F7098" s="676"/>
      <c r="G7098" s="476"/>
      <c r="H7098" s="676"/>
      <c r="I7098" s="477"/>
      <c r="J7098" s="478"/>
      <c r="K7098" s="676"/>
      <c r="L7098" s="676"/>
      <c r="M7098" s="676"/>
      <c r="N7098" s="676"/>
    </row>
    <row r="7099" spans="1:14" x14ac:dyDescent="0.25">
      <c r="A7099" s="676">
        <f t="shared" si="213"/>
        <v>4393</v>
      </c>
      <c r="B7099" s="676"/>
      <c r="C7099" s="473"/>
      <c r="D7099" s="474"/>
      <c r="E7099" s="475"/>
      <c r="F7099" s="676"/>
      <c r="G7099" s="476"/>
      <c r="H7099" s="676"/>
      <c r="I7099" s="477"/>
      <c r="J7099" s="478"/>
      <c r="K7099" s="676"/>
      <c r="L7099" s="676"/>
      <c r="M7099" s="676"/>
      <c r="N7099" s="676"/>
    </row>
    <row r="7100" spans="1:14" x14ac:dyDescent="0.25">
      <c r="A7100" s="676">
        <f t="shared" si="213"/>
        <v>4394</v>
      </c>
      <c r="B7100" s="676"/>
      <c r="C7100" s="473"/>
      <c r="D7100" s="474"/>
      <c r="E7100" s="475"/>
      <c r="F7100" s="676"/>
      <c r="G7100" s="476"/>
      <c r="H7100" s="676"/>
      <c r="I7100" s="477"/>
      <c r="J7100" s="478"/>
      <c r="K7100" s="676"/>
      <c r="L7100" s="676"/>
      <c r="M7100" s="676"/>
      <c r="N7100" s="676"/>
    </row>
  </sheetData>
  <autoFilter ref="A2:R7088" xr:uid="{9E4C531E-AD50-422A-AC7C-8C5AF4C19268}">
    <filterColumn colId="10">
      <filters blank="1"/>
    </filterColumn>
  </autoFilter>
  <mergeCells count="1860">
    <mergeCell ref="A6970:A6974"/>
    <mergeCell ref="A6975:A6978"/>
    <mergeCell ref="A6941:A6942"/>
    <mergeCell ref="A5243:A5244"/>
    <mergeCell ref="A5262:A5263"/>
    <mergeCell ref="A5539:A5541"/>
    <mergeCell ref="A7058:A7061"/>
    <mergeCell ref="A5593:A5594"/>
    <mergeCell ref="A6581:A6583"/>
    <mergeCell ref="A6585:A6586"/>
    <mergeCell ref="A6754:A6755"/>
    <mergeCell ref="A6691:A6692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A6961:A6962"/>
    <mergeCell ref="A6981:A6984"/>
    <mergeCell ref="A6963:A6967"/>
    <mergeCell ref="A6611:A6612"/>
    <mergeCell ref="A5282:A5283"/>
    <mergeCell ref="G5436:G5437"/>
    <mergeCell ref="G5370:G5373"/>
    <mergeCell ref="A6604:A6605"/>
    <mergeCell ref="A5342:A5343"/>
    <mergeCell ref="A6939:A6940"/>
    <mergeCell ref="A5625:A5626"/>
    <mergeCell ref="A5577:A5578"/>
    <mergeCell ref="A6601:A6602"/>
    <mergeCell ref="A5588:A5589"/>
    <mergeCell ref="A5590:A5592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234:A5235"/>
    <mergeCell ref="A5279:A528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5290:A5292"/>
    <mergeCell ref="A5418:A5419"/>
    <mergeCell ref="A5513:A5514"/>
    <mergeCell ref="A5326:A5327"/>
    <mergeCell ref="A5452:A5453"/>
    <mergeCell ref="A5305:A5308"/>
    <mergeCell ref="A5402:A5403"/>
    <mergeCell ref="A5321:A5325"/>
    <mergeCell ref="A5331:A5334"/>
    <mergeCell ref="A5515:A5516"/>
    <mergeCell ref="A5412:A5413"/>
    <mergeCell ref="A5534:A5538"/>
    <mergeCell ref="A5358:A5359"/>
    <mergeCell ref="A5265:A5266"/>
    <mergeCell ref="A5316:A5317"/>
    <mergeCell ref="A5363:A5364"/>
    <mergeCell ref="A5511:A5512"/>
    <mergeCell ref="A5370:A5373"/>
    <mergeCell ref="A5445:A5446"/>
    <mergeCell ref="A5441:A5442"/>
    <mergeCell ref="A5270:A5271"/>
    <mergeCell ref="A5443:A5444"/>
    <mergeCell ref="A5385:A5386"/>
    <mergeCell ref="A5387:A5388"/>
    <mergeCell ref="A5507:A5508"/>
    <mergeCell ref="A5338:A5341"/>
    <mergeCell ref="A5531:A5532"/>
    <mergeCell ref="A5436:A5437"/>
    <mergeCell ref="A5267:A5269"/>
    <mergeCell ref="A5311:A5312"/>
    <mergeCell ref="A5296:A5297"/>
    <mergeCell ref="A5140:A5141"/>
    <mergeCell ref="G5408:G5409"/>
    <mergeCell ref="A5428:A5429"/>
    <mergeCell ref="A5272:A5273"/>
    <mergeCell ref="G5531:G553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504:A550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03:A4904"/>
    <mergeCell ref="A4834:A4837"/>
    <mergeCell ref="A4930:A4931"/>
    <mergeCell ref="G4729:G4732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89:A4890"/>
    <mergeCell ref="A4832:A4833"/>
    <mergeCell ref="A4926:A4929"/>
    <mergeCell ref="G4700:G4701"/>
    <mergeCell ref="A4721:A4722"/>
    <mergeCell ref="A4774:A477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597:A4598"/>
    <mergeCell ref="A4700:A4701"/>
    <mergeCell ref="A4687:A4690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384:A4386"/>
    <mergeCell ref="A4374:A4375"/>
    <mergeCell ref="A4370:A4372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499:A4500"/>
    <mergeCell ref="A4591:A4592"/>
    <mergeCell ref="A4593:A4595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6559:A6561"/>
    <mergeCell ref="A6567:A6568"/>
    <mergeCell ref="A5606:A5607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6635:A6637"/>
    <mergeCell ref="A6709:A6712"/>
    <mergeCell ref="A6698:A669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5523:A5525"/>
    <mergeCell ref="A6555:A6556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617:A6618"/>
    <mergeCell ref="A6678:A6679"/>
    <mergeCell ref="A6688:A6690"/>
    <mergeCell ref="A6660:A6661"/>
    <mergeCell ref="A6638:A6639"/>
    <mergeCell ref="A6861:A6863"/>
    <mergeCell ref="A6822:A6828"/>
    <mergeCell ref="A6791:A6793"/>
    <mergeCell ref="A6789:A6790"/>
    <mergeCell ref="A6836:A6838"/>
    <mergeCell ref="A6833:A6835"/>
    <mergeCell ref="G6876:G6877"/>
    <mergeCell ref="A6785:A6786"/>
    <mergeCell ref="A6780:A6781"/>
    <mergeCell ref="A6552:A6554"/>
    <mergeCell ref="A6663:A6664"/>
    <mergeCell ref="A6644:A6647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595:A6599"/>
    <mergeCell ref="G6560:G6561"/>
    <mergeCell ref="A6649:A6651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7084:A7085"/>
    <mergeCell ref="A7067:A7068"/>
    <mergeCell ref="G7067:G7068"/>
    <mergeCell ref="A7063:A7066"/>
    <mergeCell ref="G7063:G7066"/>
    <mergeCell ref="A7069:A7072"/>
    <mergeCell ref="A7074:A7075"/>
    <mergeCell ref="A7080:A7081"/>
    <mergeCell ref="A7082:A7083"/>
    <mergeCell ref="A7042:A7046"/>
    <mergeCell ref="A7047:A7049"/>
    <mergeCell ref="A7050:A7053"/>
    <mergeCell ref="A7011:A7013"/>
    <mergeCell ref="A7017:A7019"/>
    <mergeCell ref="A6999:A7003"/>
    <mergeCell ref="G6999:G7003"/>
    <mergeCell ref="A7004:A7005"/>
    <mergeCell ref="A7076:A707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2026-08-24T15:34:48Z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