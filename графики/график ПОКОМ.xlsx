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72A7572A-A78F-417A-BA76-8CDB7D6D7BC6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Лист1!$A$2:$N$6725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A6719" i="1" l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s="1"/>
  <c r="A6677" i="1" l="1"/>
  <c r="A6678" i="1" l="1"/>
  <c r="A6680" i="1"/>
  <c r="A6682" i="1" s="1"/>
  <c r="A6684" i="1" s="1"/>
  <c r="A6686" i="1" l="1"/>
  <c r="A6688" i="1" l="1"/>
  <c r="A6689" i="1" s="1"/>
  <c r="A6690" i="1" s="1"/>
  <c r="A6693" i="1" s="1"/>
  <c r="A6695" i="1" l="1"/>
  <c r="A6698" i="1"/>
  <c r="A6701" i="1" l="1"/>
  <c r="A6702" i="1" l="1"/>
  <c r="A6703" i="1" l="1"/>
  <c r="A6706" i="1" l="1"/>
  <c r="A6707" i="1" l="1"/>
  <c r="A6708" i="1" l="1"/>
  <c r="A6709" i="1" l="1"/>
  <c r="A6710" i="1" l="1"/>
  <c r="A6712" i="1" l="1"/>
  <c r="A6713" i="1" s="1"/>
  <c r="A6714" i="1" s="1"/>
  <c r="A6715" i="1" s="1"/>
  <c r="A6717" i="1" s="1"/>
  <c r="A6721" i="1" l="1"/>
  <c r="A6722" i="1" s="1"/>
  <c r="A6723" i="1" s="1"/>
  <c r="A6724" i="1" s="1"/>
  <c r="A6725" i="1" s="1"/>
</calcChain>
</file>

<file path=xl/sharedStrings.xml><?xml version="1.0" encoding="utf-8"?>
<sst xmlns="http://schemas.openxmlformats.org/spreadsheetml/2006/main" count="42300" uniqueCount="1636">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</sst>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00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6" borderId="50" xfId="0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0" fontId="44" fillId="16" borderId="81" xfId="0" applyFont="1" applyFill="1" applyBorder="1" applyAlignment="1">
      <alignment horizontal="center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44" fillId="17" borderId="83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4" fillId="17" borderId="75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725"/>
  <sheetViews>
    <sheetView tabSelected="1" zoomScale="85" zoomScaleNormal="85" workbookViewId="0">
      <pane ySplit="2" topLeftCell="A6709" activePane="bottomLeft" state="frozen"/>
      <selection pane="bottomLeft" activeCell="O6712" sqref="O671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758" customWidth="1"/>
    <col min="16" max="16" width="71.140625" style="758" customWidth="1"/>
    <col min="17" max="1021" width="9.140625" style="2"/>
  </cols>
  <sheetData>
    <row r="1" spans="1:16" ht="19.5" customHeight="1" thickBot="1" x14ac:dyDescent="0.3">
      <c r="A1" s="858" t="s">
        <v>0</v>
      </c>
      <c r="B1" s="858"/>
      <c r="C1" s="858"/>
      <c r="D1" s="858"/>
      <c r="E1" s="858"/>
      <c r="F1" s="858"/>
      <c r="G1" s="858"/>
      <c r="H1" s="858"/>
      <c r="I1" s="858"/>
      <c r="J1" s="858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859">
        <v>1</v>
      </c>
      <c r="B3" s="859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859"/>
      <c r="B4" s="859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855">
        <v>3</v>
      </c>
      <c r="B6" s="855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855"/>
      <c r="B7" s="855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855"/>
      <c r="B8" s="855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855">
        <v>5</v>
      </c>
      <c r="B10" s="855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855"/>
      <c r="B11" s="855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854">
        <v>8</v>
      </c>
      <c r="B14" s="854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854"/>
      <c r="B15" s="854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855">
        <v>11</v>
      </c>
      <c r="B18" s="855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855"/>
      <c r="B19" s="855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855"/>
      <c r="B20" s="855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855"/>
      <c r="B21" s="855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855">
        <v>13</v>
      </c>
      <c r="B23" s="855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855"/>
      <c r="B24" s="855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854">
        <v>14</v>
      </c>
      <c r="B25" s="854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854"/>
      <c r="B26" s="854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855">
        <v>15</v>
      </c>
      <c r="B27" s="855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855"/>
      <c r="B28" s="855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855"/>
      <c r="B29" s="855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855"/>
      <c r="B30" s="855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854">
        <v>16</v>
      </c>
      <c r="B31" s="854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854"/>
      <c r="B32" s="854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854"/>
      <c r="B33" s="854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854"/>
      <c r="B34" s="854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855">
        <v>17</v>
      </c>
      <c r="B35" s="855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855"/>
      <c r="B36" s="855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855">
        <v>21</v>
      </c>
      <c r="B40" s="855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855"/>
      <c r="B41" s="855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855">
        <v>23</v>
      </c>
      <c r="B43" s="855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855"/>
      <c r="B44" s="855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855"/>
      <c r="B45" s="855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854">
        <v>24</v>
      </c>
      <c r="B46" s="854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854"/>
      <c r="B47" s="854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855">
        <v>25</v>
      </c>
      <c r="B48" s="855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855"/>
      <c r="B49" s="855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855"/>
      <c r="B50" s="855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854">
        <v>26</v>
      </c>
      <c r="B51" s="854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854"/>
      <c r="B52" s="854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855">
        <v>29</v>
      </c>
      <c r="B55" s="855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855"/>
      <c r="B56" s="855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854">
        <v>32</v>
      </c>
      <c r="B59" s="854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854"/>
      <c r="B60" s="854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854">
        <v>34</v>
      </c>
      <c r="B62" s="854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854"/>
      <c r="B63" s="854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854"/>
      <c r="B64" s="854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854"/>
      <c r="B65" s="854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854"/>
      <c r="B66" s="854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855">
        <v>35</v>
      </c>
      <c r="B67" s="855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855"/>
      <c r="B68" s="855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843">
        <v>40</v>
      </c>
      <c r="B73" s="854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843"/>
      <c r="B74" s="854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844">
        <v>41</v>
      </c>
      <c r="B75" s="855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844"/>
      <c r="B76" s="855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844"/>
      <c r="B77" s="855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843">
        <v>42</v>
      </c>
      <c r="B78" s="854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843"/>
      <c r="B79" s="854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844">
        <v>49</v>
      </c>
      <c r="B86" s="855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844"/>
      <c r="B87" s="855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844"/>
      <c r="B88" s="855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843">
        <v>50</v>
      </c>
      <c r="B89" s="854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843"/>
      <c r="B90" s="854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844">
        <v>51</v>
      </c>
      <c r="B91" s="855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844"/>
      <c r="B92" s="855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844">
        <v>53</v>
      </c>
      <c r="B94" s="855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844"/>
      <c r="B95" s="855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843">
        <v>54</v>
      </c>
      <c r="B96" s="854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843"/>
      <c r="B97" s="854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843"/>
      <c r="B98" s="854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843">
        <v>58</v>
      </c>
      <c r="B102" s="854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843"/>
      <c r="B103" s="854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843">
        <v>60</v>
      </c>
      <c r="B105" s="854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843"/>
      <c r="B106" s="854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843"/>
      <c r="B107" s="854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844">
        <v>61</v>
      </c>
      <c r="B108" s="855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844"/>
      <c r="B109" s="855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844"/>
      <c r="B110" s="855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843">
        <v>64</v>
      </c>
      <c r="B113" s="854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843"/>
      <c r="B114" s="854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843">
        <v>66</v>
      </c>
      <c r="B116" s="854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843"/>
      <c r="B117" s="854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844">
        <v>67</v>
      </c>
      <c r="B118" s="855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844"/>
      <c r="B119" s="855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844"/>
      <c r="B120" s="855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843">
        <v>68</v>
      </c>
      <c r="B121" s="854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843"/>
      <c r="B122" s="854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844">
        <v>69</v>
      </c>
      <c r="B123" s="855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844"/>
      <c r="B124" s="855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843">
        <v>72</v>
      </c>
      <c r="B127" s="854" t="s">
        <v>65</v>
      </c>
      <c r="C127" s="119" t="s">
        <v>26</v>
      </c>
      <c r="D127" s="120">
        <v>3.3</v>
      </c>
      <c r="E127" s="121"/>
      <c r="F127" s="122" t="s">
        <v>30</v>
      </c>
      <c r="G127" s="852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843"/>
      <c r="B128" s="854"/>
      <c r="C128" s="103" t="s">
        <v>26</v>
      </c>
      <c r="D128" s="88">
        <v>12.9</v>
      </c>
      <c r="E128" s="106"/>
      <c r="F128" s="107" t="s">
        <v>16</v>
      </c>
      <c r="G128" s="852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843">
        <v>76</v>
      </c>
      <c r="B132" s="860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843"/>
      <c r="B133" s="860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843"/>
      <c r="B134" s="860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843"/>
      <c r="B135" s="860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843">
        <v>78</v>
      </c>
      <c r="B137" s="85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843"/>
      <c r="B138" s="85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85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85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843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843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843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844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844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843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843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844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844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844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844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844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844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844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844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843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843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843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843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843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843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844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45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844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45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843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843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843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843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843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843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843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843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843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844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844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843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843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844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844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843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843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844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844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844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844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844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843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843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844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844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844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843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843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844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844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843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843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844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844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843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843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843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844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844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843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52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843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52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843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843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844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844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844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844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843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843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843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843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19.5" hidden="1" thickBot="1" x14ac:dyDescent="0.3">
      <c r="A236" s="843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843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844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844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843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843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843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843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844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844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843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843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843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843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843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844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844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843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843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844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844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843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61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843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61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844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844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843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52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843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52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843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843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843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843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843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843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843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843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844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844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843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843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844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844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843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843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843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843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844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844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844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844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844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844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844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844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843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843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844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45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844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45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844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844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844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844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844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844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844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844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844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844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844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844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844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844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843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843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844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844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843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843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843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843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844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844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844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844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844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844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843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843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844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844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844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844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47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844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47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843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843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843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843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843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843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843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843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843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843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843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843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844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844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843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843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844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844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844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844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844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844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844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844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843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843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844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844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844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843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843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844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844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844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47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844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47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843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843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843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843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843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843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62" t="s">
        <v>133</v>
      </c>
      <c r="J420" s="862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844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844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843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843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844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844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843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843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843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843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844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844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844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844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19.5" hidden="1" thickBot="1" x14ac:dyDescent="0.3">
      <c r="A437" s="844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843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843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843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844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844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843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843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844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844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843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46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843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46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844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844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843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843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843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843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843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843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t="19.5" hidden="1" thickBot="1" x14ac:dyDescent="0.3">
      <c r="A464" s="86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t="19.5" hidden="1" thickBot="1" x14ac:dyDescent="0.3">
      <c r="A465" s="86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t="19.5" hidden="1" thickBot="1" x14ac:dyDescent="0.3">
      <c r="A466" s="86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843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843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844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844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843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843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843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843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843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843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19.5" hidden="1" thickBot="1" x14ac:dyDescent="0.3">
      <c r="A482" s="843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843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844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844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844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844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843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843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843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844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844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844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47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844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47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843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843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844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64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844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64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843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64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843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64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843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64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843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843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843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843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843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843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844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844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844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843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843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843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844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844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844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844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844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843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843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843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844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844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844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844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844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844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843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843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843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844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844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844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844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843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843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843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844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844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844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843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46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843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46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843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843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843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843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843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844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844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844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844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843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843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843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844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844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844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843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843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843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843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19.5" hidden="1" thickBot="1" x14ac:dyDescent="0.3">
      <c r="A578" s="843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843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844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844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844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844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844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844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844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844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843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843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843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844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47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844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47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844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844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843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843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843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843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843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843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843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843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843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843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843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843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844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844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844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843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843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843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844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844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844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844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844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843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19.5" hidden="1" thickBot="1" x14ac:dyDescent="0.3">
      <c r="A630" s="843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844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844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844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843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843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843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843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844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844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844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844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844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844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843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843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843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844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47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844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47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844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844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65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844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65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844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843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843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843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844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844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844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843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843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844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844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844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844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19.5" hidden="1" thickBot="1" x14ac:dyDescent="0.3">
      <c r="A675" s="844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844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843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843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844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844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843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843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843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843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843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843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843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843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843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844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47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844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47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8.25" hidden="1" thickBot="1" x14ac:dyDescent="0.3">
      <c r="A699" s="853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8.25" hidden="1" thickBot="1" x14ac:dyDescent="0.3">
      <c r="A700" s="853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8.25" hidden="1" thickBot="1" x14ac:dyDescent="0.3">
      <c r="A701" s="853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844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844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844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t="19.5" hidden="1" thickBot="1" x14ac:dyDescent="0.3">
      <c r="A705" s="853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t="19.5" hidden="1" thickBot="1" x14ac:dyDescent="0.3">
      <c r="A706" s="853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844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844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844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t="19.5" hidden="1" thickBot="1" x14ac:dyDescent="0.3">
      <c r="A710" s="853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t="19.5" hidden="1" thickBot="1" x14ac:dyDescent="0.3">
      <c r="A711" s="853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843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843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843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844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844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844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843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843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843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843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843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843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843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843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844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844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844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844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844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19.5" hidden="1" thickBot="1" x14ac:dyDescent="0.3">
      <c r="A732" s="844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19.5" hidden="1" thickBot="1" x14ac:dyDescent="0.3">
      <c r="A733" s="844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843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66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843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66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843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843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843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843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843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844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844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844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844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844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844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844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843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843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843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843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t="19.5" hidden="1" thickBot="1" x14ac:dyDescent="0.3">
      <c r="A755" s="851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t="19.5" hidden="1" thickBot="1" x14ac:dyDescent="0.3">
      <c r="A756" s="851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t="19.5" hidden="1" thickBot="1" x14ac:dyDescent="0.3">
      <c r="A757" s="851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t="19.5" hidden="1" thickBot="1" x14ac:dyDescent="0.3">
      <c r="A758" s="851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t="19.5" hidden="1" thickBot="1" x14ac:dyDescent="0.3">
      <c r="A759" s="851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t="19.5" hidden="1" thickBot="1" x14ac:dyDescent="0.3">
      <c r="A760" s="851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844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47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844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47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843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843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843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844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844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844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t="19.5" hidden="1" thickBot="1" x14ac:dyDescent="0.3">
      <c r="A774" s="850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t="19.5" hidden="1" thickBot="1" x14ac:dyDescent="0.3">
      <c r="A775" s="850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t="19.5" hidden="1" thickBot="1" x14ac:dyDescent="0.3">
      <c r="A776" s="850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t="19.5" hidden="1" thickBot="1" x14ac:dyDescent="0.3">
      <c r="A777" s="850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t="19.5" hidden="1" thickBot="1" x14ac:dyDescent="0.3">
      <c r="A778" s="850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844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844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844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844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844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849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849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844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844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844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843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843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844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844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843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843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843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843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844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844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844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844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844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844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844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843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843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843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843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844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844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843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46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843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46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844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844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844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844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844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844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844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844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844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844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844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844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844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843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843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843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844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844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844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843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843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844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844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844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844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843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843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843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844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844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844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844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844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844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844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844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844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843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843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843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843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843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843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843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843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843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843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844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844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844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843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843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843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843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843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844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844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843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843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843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844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844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844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843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843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843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843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843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843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843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844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844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843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843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843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844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844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844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843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843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844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844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843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19.5" hidden="1" thickBot="1" x14ac:dyDescent="0.3">
      <c r="A920" s="843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844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844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843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843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844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844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844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844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843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46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843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46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844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844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844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844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844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843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843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844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844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844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19.5" hidden="1" thickBot="1" x14ac:dyDescent="0.3">
      <c r="A943" s="844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844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844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844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844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843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843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843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843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843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843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84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84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843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843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844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844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843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843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843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843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843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844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844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844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844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19.5" hidden="1" thickBot="1" x14ac:dyDescent="0.3">
      <c r="A973" s="844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843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843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843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844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844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844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843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843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843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844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47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844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47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843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843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843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844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844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843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843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843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844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19.5" hidden="1" thickBot="1" x14ac:dyDescent="0.3">
      <c r="A996" s="844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844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844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844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843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843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t="19.5" hidden="1" thickBot="1" x14ac:dyDescent="0.3">
      <c r="A1002" s="86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t="19.5" hidden="1" thickBot="1" x14ac:dyDescent="0.3">
      <c r="A1003" s="86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843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843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844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844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843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843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843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843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843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843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843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844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844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843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843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844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844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843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843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843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844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844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843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843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844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47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844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47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843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843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843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844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844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843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843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844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844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844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843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843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844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844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844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844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844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844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844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844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843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843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843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843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843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844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844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843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843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844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844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844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843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843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843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844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844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843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46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843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46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844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844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844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844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844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844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844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844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843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843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844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844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844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844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843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843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844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844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844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843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843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844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844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844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844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843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46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843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46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844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844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843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843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843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843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844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844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843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843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844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844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843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843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844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844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844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844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843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843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843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843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843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843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843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843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844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844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844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844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843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46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843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46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843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843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844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844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843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843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843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843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844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844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843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843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844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844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844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844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844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844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844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843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843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843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843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843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843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843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46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843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46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843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843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844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844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843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843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844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844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844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844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843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843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843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843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844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844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844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844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844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844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844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844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844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844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844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844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844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843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843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844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844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843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843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844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844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843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46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843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46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844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844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844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844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843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843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843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843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844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844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844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844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843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843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843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843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843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843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843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843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843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843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844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844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843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843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843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843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844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47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844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47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844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844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843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843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843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844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844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843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843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844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844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844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844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844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844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844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844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844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844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844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844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844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843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843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844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844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844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67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844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67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843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843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843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844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844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844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843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843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843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843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844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844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844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844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843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843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844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844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843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843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843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843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843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843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844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844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844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47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844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47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844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844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843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843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844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844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843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843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844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844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844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844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843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843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844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47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844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47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844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47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844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47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843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843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844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844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844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844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844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844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844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47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844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47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844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844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844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844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843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843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844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844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844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844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844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843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843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843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843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843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843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843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843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844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844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843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843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843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844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47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844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47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844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844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844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844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843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843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844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844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844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844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844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844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844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844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844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843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843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844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844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843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46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843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46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844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844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843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843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843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844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844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844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844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844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844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844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844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843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843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844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844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843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843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843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844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47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844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47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844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844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844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843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843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843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843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843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844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844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843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843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843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843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843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844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844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843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843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843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844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844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843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843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844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844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843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843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843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843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843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843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844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844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844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844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844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844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844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844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843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843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844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844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843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843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843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46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843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46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843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843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843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844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844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844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844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844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844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844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844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844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844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844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843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843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843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843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844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844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844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844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844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843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843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844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47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844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47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843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843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843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843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843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843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843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843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844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844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844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843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46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843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46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843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843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843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843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843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844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844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844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844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844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844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844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843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843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843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843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843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844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844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843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843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843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844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47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844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47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844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844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843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843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843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843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843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843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843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844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844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843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843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843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843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844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844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843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843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844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844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843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843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844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47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844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47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844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47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843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843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844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844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844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843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843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844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844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844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844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843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46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843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46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844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844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844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844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844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844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844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844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843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843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843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843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843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843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843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843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843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843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844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844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844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844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844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844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843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843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844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844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844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844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47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844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47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843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843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843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844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844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844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844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844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844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844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844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844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844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844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844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844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844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843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843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844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47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844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47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843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843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844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844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843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843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843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844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844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844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844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844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844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844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844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844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844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844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844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843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843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844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47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844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47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844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844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843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843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843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843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844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844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844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844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843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843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843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844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844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844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844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844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844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843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46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843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46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844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844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844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844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843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843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843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843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844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844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843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843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843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843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843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843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843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844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844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844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843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843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843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843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843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843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843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843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843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844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844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843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843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843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843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844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844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843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843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843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t="19.5" hidden="1" thickBot="1" x14ac:dyDescent="0.3">
      <c r="A1991" s="86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t="19.5" hidden="1" thickBot="1" x14ac:dyDescent="0.3">
      <c r="A1992" s="86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86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843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843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843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843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844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47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844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47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844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844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843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843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844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844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843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843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843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844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47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844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47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844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844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844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844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844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843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843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844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844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843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843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843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844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844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844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844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843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46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843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46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844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844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843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843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843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843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843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843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844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844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843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843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843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844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844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843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843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843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843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844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844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844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843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843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844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844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843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843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844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844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843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843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843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843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843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843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843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843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844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844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844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844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843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843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844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844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843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843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843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843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844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844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843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843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843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843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843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843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843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844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844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868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69" t="s">
        <v>467</v>
      </c>
      <c r="H2160" s="414" t="s">
        <v>515</v>
      </c>
      <c r="I2160" s="415" t="s">
        <v>516</v>
      </c>
      <c r="J2160" s="870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868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69"/>
      <c r="H2161" s="421" t="s">
        <v>515</v>
      </c>
      <c r="I2161" s="422" t="s">
        <v>516</v>
      </c>
      <c r="J2161" s="870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868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69"/>
      <c r="H2162" s="429" t="s">
        <v>515</v>
      </c>
      <c r="I2162" s="430" t="s">
        <v>516</v>
      </c>
      <c r="J2162" s="870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868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69" t="s">
        <v>467</v>
      </c>
      <c r="H2165" s="414" t="s">
        <v>516</v>
      </c>
      <c r="I2165" s="415" t="s">
        <v>516</v>
      </c>
      <c r="J2165" s="870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868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69"/>
      <c r="H2166" s="429" t="s">
        <v>516</v>
      </c>
      <c r="I2166" s="430" t="s">
        <v>516</v>
      </c>
      <c r="J2166" s="870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844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844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844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843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843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844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844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843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843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843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843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844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47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844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47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844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844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844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843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46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843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46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844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71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844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71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843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61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843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61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844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844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844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844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843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843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844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844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843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843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843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843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843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844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844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844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843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843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843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844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844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843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843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843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843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843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843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844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844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844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844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843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843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844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844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844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843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843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843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843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843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843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844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844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844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844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844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844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844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843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843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843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843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843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843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843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844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844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844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844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844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843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843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843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843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843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t="19.5" hidden="1" thickBot="1" x14ac:dyDescent="0.3">
      <c r="A2328" s="86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t="19.5" hidden="1" thickBot="1" x14ac:dyDescent="0.3">
      <c r="A2329" s="86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843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843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843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844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844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843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843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843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843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843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843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843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844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844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844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844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844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844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844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844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t="19.5" hidden="1" thickBot="1" x14ac:dyDescent="0.3">
      <c r="A2368" s="850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t="19.5" hidden="1" thickBot="1" x14ac:dyDescent="0.3">
      <c r="A2369" s="850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t="19.5" hidden="1" thickBot="1" x14ac:dyDescent="0.3">
      <c r="A2370" s="850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844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844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844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844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844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843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843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844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844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844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843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843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843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843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843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844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844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844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844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844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t="19.5" hidden="1" thickBot="1" x14ac:dyDescent="0.3">
      <c r="A2403" s="850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t="19.5" hidden="1" thickBot="1" x14ac:dyDescent="0.3">
      <c r="A2404" s="850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t="19.5" hidden="1" thickBot="1" x14ac:dyDescent="0.3">
      <c r="A2405" s="850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844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844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t="19.5" hidden="1" thickBot="1" x14ac:dyDescent="0.3">
      <c r="A2414" s="850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t="19.5" hidden="1" thickBot="1" x14ac:dyDescent="0.3">
      <c r="A2415" s="850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844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844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844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843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843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843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843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844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844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844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844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844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843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843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843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843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843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843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844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844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843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843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t="19.5" hidden="1" thickBot="1" x14ac:dyDescent="0.3">
      <c r="A2453" s="86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t="19.5" hidden="1" thickBot="1" x14ac:dyDescent="0.3">
      <c r="A2454" s="86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843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843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843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843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843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843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843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844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844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844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844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844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843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843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844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844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843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843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t="19.5" hidden="1" thickBot="1" x14ac:dyDescent="0.3">
      <c r="A2489" s="86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t="19.5" hidden="1" thickBot="1" x14ac:dyDescent="0.3">
      <c r="A2490" s="86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843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843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843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843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843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843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843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844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844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844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843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843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844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844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844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844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844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t="19.5" hidden="1" thickBot="1" x14ac:dyDescent="0.3">
      <c r="A2523" s="863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t="19.5" hidden="1" thickBot="1" x14ac:dyDescent="0.3">
      <c r="A2524" s="86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t="19.5" hidden="1" thickBot="1" x14ac:dyDescent="0.3">
      <c r="A2525" s="86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843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843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843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844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844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843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843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843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843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843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7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843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46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843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46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843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46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t="19.5" hidden="1" thickBot="1" x14ac:dyDescent="0.3">
      <c r="A2549" s="86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t="19.5" hidden="1" thickBot="1" x14ac:dyDescent="0.3">
      <c r="A2550" s="86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t="19.5" hidden="1" thickBot="1" x14ac:dyDescent="0.3">
      <c r="A2551" s="86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t="19.5" hidden="1" thickBot="1" x14ac:dyDescent="0.3">
      <c r="A2552" s="86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844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844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843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843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t="19.5" hidden="1" thickBot="1" x14ac:dyDescent="0.3">
      <c r="A2562" s="86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t="19.5" hidden="1" thickBot="1" x14ac:dyDescent="0.3">
      <c r="A2563" s="86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843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46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843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46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843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843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844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844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843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843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844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844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844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844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844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844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872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73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t="19.5" hidden="1" thickBot="1" x14ac:dyDescent="0.3">
      <c r="A2589" s="872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73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843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843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844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47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844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47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844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844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t="19.5" hidden="1" thickBot="1" x14ac:dyDescent="0.3">
      <c r="A2600" s="850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t="19.5" hidden="1" thickBot="1" x14ac:dyDescent="0.3">
      <c r="A2601" s="850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843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843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843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844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844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843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843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t="19.5" hidden="1" thickBot="1" x14ac:dyDescent="0.3">
      <c r="A2616" s="86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t="19.5" hidden="1" thickBot="1" x14ac:dyDescent="0.3">
      <c r="A2617" s="86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843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843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843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843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86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74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t="19.5" hidden="1" thickBot="1" x14ac:dyDescent="0.3">
      <c r="A2625" s="86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74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843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843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843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46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843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46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844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844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844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844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t="19.5" hidden="1" thickBot="1" x14ac:dyDescent="0.3">
      <c r="A2638" s="850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t="19.5" hidden="1" thickBot="1" x14ac:dyDescent="0.3">
      <c r="A2639" s="850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843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843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844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844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843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843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843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844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844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844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844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844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844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844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843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843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843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46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843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46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843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843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843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843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t="19.5" hidden="1" thickBot="1" x14ac:dyDescent="0.3">
      <c r="A2675" s="86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t="19.5" hidden="1" thickBot="1" x14ac:dyDescent="0.3">
      <c r="A2676" s="86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t="19.5" hidden="1" thickBot="1" x14ac:dyDescent="0.3">
      <c r="A2677" s="86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843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843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844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844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844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844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844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843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843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t="19.5" hidden="1" thickBot="1" x14ac:dyDescent="0.3">
      <c r="A2693" s="850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t="19.5" hidden="1" thickBot="1" x14ac:dyDescent="0.3">
      <c r="A2694" s="850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t="19.5" hidden="1" thickBot="1" x14ac:dyDescent="0.3">
      <c r="A2695" s="850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t="19.5" hidden="1" thickBot="1" x14ac:dyDescent="0.3">
      <c r="A2696" s="850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t="19.5" hidden="1" thickBot="1" x14ac:dyDescent="0.3">
      <c r="A2697" s="850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t="19.5" hidden="1" thickBot="1" x14ac:dyDescent="0.3">
      <c r="A2698" s="850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844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844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875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875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843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843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843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843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844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844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843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843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843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843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843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843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844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844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t="19.5" hidden="1" thickBot="1" x14ac:dyDescent="0.3">
      <c r="A2733" s="863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t="19.5" hidden="1" thickBot="1" x14ac:dyDescent="0.3">
      <c r="A2734" s="86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t="19.5" hidden="1" thickBot="1" x14ac:dyDescent="0.3">
      <c r="A2735" s="86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t="19.5" hidden="1" thickBot="1" x14ac:dyDescent="0.3">
      <c r="A2736" s="86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t="19.5" hidden="1" thickBot="1" x14ac:dyDescent="0.3">
      <c r="A2737" s="86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t="19.5" hidden="1" thickBot="1" x14ac:dyDescent="0.3">
      <c r="A2738" s="86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843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843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844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844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844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844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850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850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843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843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843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844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844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843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843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843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843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844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844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844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844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843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46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843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46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843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46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t="19.5" hidden="1" thickBot="1" x14ac:dyDescent="0.3">
      <c r="A2775" s="86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t="19.5" hidden="1" thickBot="1" x14ac:dyDescent="0.3">
      <c r="A2776" s="86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t="19.5" hidden="1" thickBot="1" x14ac:dyDescent="0.3">
      <c r="A2777" s="86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t="19.5" hidden="1" thickBot="1" x14ac:dyDescent="0.3">
      <c r="A2778" s="86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843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843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844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844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843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843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844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844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844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844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844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843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843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843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844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844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843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843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t="19.5" hidden="1" thickBot="1" x14ac:dyDescent="0.3">
      <c r="A2810" s="86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t="19.5" hidden="1" thickBot="1" x14ac:dyDescent="0.3">
      <c r="A2811" s="86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t="19.5" hidden="1" thickBot="1" x14ac:dyDescent="0.3">
      <c r="A2812" s="86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t="19.5" hidden="1" thickBot="1" x14ac:dyDescent="0.3">
      <c r="A2813" s="86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t="19.5" hidden="1" thickBot="1" x14ac:dyDescent="0.3">
      <c r="A2814" s="86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843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843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844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844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844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844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843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843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t="19.5" hidden="1" thickBot="1" x14ac:dyDescent="0.3">
      <c r="A2826" s="86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t="19.5" hidden="1" thickBot="1" x14ac:dyDescent="0.3">
      <c r="A2827" s="86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843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843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843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843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t="19.5" hidden="1" thickBot="1" x14ac:dyDescent="0.3">
      <c r="A2835" s="850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t="19.5" hidden="1" thickBot="1" x14ac:dyDescent="0.3">
      <c r="A2836" s="850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844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844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844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844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844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850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76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t="19.5" hidden="1" thickBot="1" x14ac:dyDescent="0.3">
      <c r="A2845" s="850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76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844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844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844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47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844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47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843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843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844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844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844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t="19.5" hidden="1" thickBot="1" x14ac:dyDescent="0.3">
      <c r="A2861" s="86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t="19.5" hidden="1" thickBot="1" x14ac:dyDescent="0.3">
      <c r="A2862" s="86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844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844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843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843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843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844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844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844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843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843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843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843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t="19.5" hidden="1" thickBot="1" x14ac:dyDescent="0.3">
      <c r="A2885" s="850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t="19.5" hidden="1" thickBot="1" x14ac:dyDescent="0.3">
      <c r="A2886" s="850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t="19.5" hidden="1" thickBot="1" x14ac:dyDescent="0.3">
      <c r="A2887" s="850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t="19.5" hidden="1" thickBot="1" x14ac:dyDescent="0.3">
      <c r="A2888" s="850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t="19.5" hidden="1" thickBot="1" x14ac:dyDescent="0.3">
      <c r="A2889" s="850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844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844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843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46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843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46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844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844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844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844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843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843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t="19.5" hidden="1" thickBot="1" x14ac:dyDescent="0.3">
      <c r="A2905" s="86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t="19.5" hidden="1" thickBot="1" x14ac:dyDescent="0.3">
      <c r="A2906" s="86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843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843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843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844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844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844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844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t="19.5" hidden="1" thickBot="1" x14ac:dyDescent="0.3">
      <c r="A2918" s="86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t="19.5" hidden="1" thickBot="1" x14ac:dyDescent="0.3">
      <c r="A2919" s="86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t="19.5" hidden="1" thickBot="1" x14ac:dyDescent="0.3">
      <c r="A2920" s="86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844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47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844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47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t="19.5" hidden="1" thickBot="1" x14ac:dyDescent="0.3">
      <c r="A2926" s="850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t="19.5" hidden="1" thickBot="1" x14ac:dyDescent="0.3">
      <c r="A2927" s="850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t="19.5" hidden="1" thickBot="1" x14ac:dyDescent="0.3">
      <c r="A2928" s="850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t="19.5" hidden="1" thickBot="1" x14ac:dyDescent="0.3">
      <c r="A2929" s="850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844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844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844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47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844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47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844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844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843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843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843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t="19.5" hidden="1" thickBot="1" x14ac:dyDescent="0.3">
      <c r="A2943" s="86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t="19.5" hidden="1" thickBot="1" x14ac:dyDescent="0.3">
      <c r="A2944" s="86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843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843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843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843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t="19.5" hidden="1" thickBot="1" x14ac:dyDescent="0.3">
      <c r="A2953" s="86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t="19.5" hidden="1" thickBot="1" x14ac:dyDescent="0.3">
      <c r="A2954" s="86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843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843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t="19.5" hidden="1" thickBot="1" x14ac:dyDescent="0.3">
      <c r="A2966" s="850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t="19.5" hidden="1" thickBot="1" x14ac:dyDescent="0.3">
      <c r="A2967" s="850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t="19.5" hidden="1" thickBot="1" x14ac:dyDescent="0.3">
      <c r="A2968" s="850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t="19.5" hidden="1" thickBot="1" x14ac:dyDescent="0.3">
      <c r="A2969" s="850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t="19.5" hidden="1" thickBot="1" x14ac:dyDescent="0.3">
      <c r="A2970" s="850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844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844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844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844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843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843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843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86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47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86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47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844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844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843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843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844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844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844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t="19.5" hidden="1" thickBot="1" x14ac:dyDescent="0.3">
      <c r="A2994" s="86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t="19.5" hidden="1" thickBot="1" x14ac:dyDescent="0.3">
      <c r="A2995" s="86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t="19.5" hidden="1" thickBot="1" x14ac:dyDescent="0.3">
      <c r="A2996" s="86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t="19.5" hidden="1" thickBot="1" x14ac:dyDescent="0.3">
      <c r="A2999" s="850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t="19.5" hidden="1" thickBot="1" x14ac:dyDescent="0.3">
      <c r="A3000" s="850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t="19.5" hidden="1" thickBot="1" x14ac:dyDescent="0.3">
      <c r="A3001" s="850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t="19.5" hidden="1" thickBot="1" x14ac:dyDescent="0.3">
      <c r="A3002" s="850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t="19.5" hidden="1" thickBot="1" x14ac:dyDescent="0.3">
      <c r="A3003" s="850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t="19.5" hidden="1" thickBot="1" x14ac:dyDescent="0.3">
      <c r="A3004" s="850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844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844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843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843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843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843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843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844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844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844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850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46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850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46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850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46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844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844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843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843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844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844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844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843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843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844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844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t="19.5" hidden="1" thickBot="1" x14ac:dyDescent="0.3">
      <c r="A3040" s="850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t="19.5" hidden="1" thickBot="1" x14ac:dyDescent="0.3">
      <c r="A3041" s="850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844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844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843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843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844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844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843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46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843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46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843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46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843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46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t="19.5" hidden="1" thickBot="1" x14ac:dyDescent="0.3">
      <c r="A3052" s="86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t="19.5" hidden="1" thickBot="1" x14ac:dyDescent="0.3">
      <c r="A3053" s="86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t="19.5" hidden="1" thickBot="1" x14ac:dyDescent="0.3">
      <c r="A3054" s="86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t="19.5" hidden="1" thickBot="1" x14ac:dyDescent="0.3">
      <c r="A3055" s="86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t="19.5" hidden="1" thickBot="1" x14ac:dyDescent="0.3">
      <c r="A3056" s="86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843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843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843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46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843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46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843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46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844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844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t="19.5" hidden="1" thickBot="1" x14ac:dyDescent="0.3">
      <c r="A3067" s="850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t="19.5" hidden="1" thickBot="1" x14ac:dyDescent="0.3">
      <c r="A3068" s="850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t="19.5" hidden="1" thickBot="1" x14ac:dyDescent="0.3">
      <c r="A3069" s="850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844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844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843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843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844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844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843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843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843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844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844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844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844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844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843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46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843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46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t="19.5" hidden="1" thickBot="1" x14ac:dyDescent="0.3">
      <c r="A3092" s="86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t="19.5" hidden="1" thickBot="1" x14ac:dyDescent="0.3">
      <c r="A3093" s="86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843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843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844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844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843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843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844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844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t="19.5" hidden="1" thickBot="1" x14ac:dyDescent="0.3">
      <c r="A3102" s="850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t="19.5" hidden="1" thickBot="1" x14ac:dyDescent="0.3">
      <c r="A3103" s="850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t="19.5" hidden="1" thickBot="1" x14ac:dyDescent="0.3">
      <c r="A3104" s="850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t="19.5" hidden="1" thickBot="1" x14ac:dyDescent="0.3">
      <c r="A3105" s="850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t="19.5" hidden="1" thickBot="1" x14ac:dyDescent="0.3">
      <c r="A3106" s="850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t="19.5" hidden="1" thickBot="1" x14ac:dyDescent="0.3">
      <c r="A3107" s="850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t="19.5" hidden="1" thickBot="1" x14ac:dyDescent="0.3">
      <c r="A3108" s="850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t="19.5" hidden="1" thickBot="1" x14ac:dyDescent="0.3">
      <c r="A3109" s="850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844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844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844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844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843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843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843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843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843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844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844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844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t="19.5" hidden="1" thickBot="1" x14ac:dyDescent="0.3">
      <c r="A3126" s="850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t="19.5" hidden="1" thickBot="1" x14ac:dyDescent="0.3">
      <c r="A3127" s="850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844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844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843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843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844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844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844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844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843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843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843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843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844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844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844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844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843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843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843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843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t="19.5" hidden="1" thickBot="1" x14ac:dyDescent="0.3">
      <c r="A3151" s="850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t="19.5" hidden="1" thickBot="1" x14ac:dyDescent="0.3">
      <c r="A3152" s="850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t="19.5" hidden="1" thickBot="1" x14ac:dyDescent="0.3">
      <c r="A3153" s="850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844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844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843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843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844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47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844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47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844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47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844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47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843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843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844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844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843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843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843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844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844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844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843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843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844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844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843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843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843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843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t="19.5" hidden="1" thickBot="1" x14ac:dyDescent="0.3">
      <c r="A3188" s="850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t="19.5" hidden="1" thickBot="1" x14ac:dyDescent="0.3">
      <c r="A3189" s="850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t="19.5" hidden="1" thickBot="1" x14ac:dyDescent="0.3">
      <c r="A3190" s="850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843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843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843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843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843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844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844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844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844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844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843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843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8.25" hidden="1" thickBot="1" x14ac:dyDescent="0.3">
      <c r="A3206" s="86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8.25" hidden="1" thickBot="1" x14ac:dyDescent="0.3">
      <c r="A3207" s="86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843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843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844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844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843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843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86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74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t="19.5" hidden="1" thickBot="1" x14ac:dyDescent="0.3">
      <c r="A3215" s="86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74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t="19.5" hidden="1" thickBot="1" x14ac:dyDescent="0.3">
      <c r="A3216" s="86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74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t="19.5" hidden="1" thickBot="1" x14ac:dyDescent="0.3">
      <c r="A3217" s="86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74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t="19.5" hidden="1" thickBot="1" x14ac:dyDescent="0.3">
      <c r="A3218" s="86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74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t="19.5" hidden="1" thickBot="1" x14ac:dyDescent="0.3">
      <c r="A3219" s="86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74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843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843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843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843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844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844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843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843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t="19.5" hidden="1" thickBot="1" x14ac:dyDescent="0.3">
      <c r="A3235" s="86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t="19.5" hidden="1" thickBot="1" x14ac:dyDescent="0.3">
      <c r="A3236" s="86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t="19.5" hidden="1" thickBot="1" x14ac:dyDescent="0.3">
      <c r="A3237" s="86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t="19.5" hidden="1" thickBot="1" x14ac:dyDescent="0.3">
      <c r="A3238" s="86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843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843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843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844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844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844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843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843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844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844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843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843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t="19.5" hidden="1" thickBot="1" x14ac:dyDescent="0.3">
      <c r="A3257" s="86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t="19.5" hidden="1" thickBot="1" x14ac:dyDescent="0.3">
      <c r="A3258" s="86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t="19.5" hidden="1" thickBot="1" x14ac:dyDescent="0.3">
      <c r="A3259" s="86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844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844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843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843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t="19.5" hidden="1" thickBot="1" x14ac:dyDescent="0.3">
      <c r="A3266" s="850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t="19.5" hidden="1" thickBot="1" x14ac:dyDescent="0.3">
      <c r="A3267" s="850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t="19.5" hidden="1" thickBot="1" x14ac:dyDescent="0.3">
      <c r="A3268" s="850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t="19.5" hidden="1" thickBot="1" x14ac:dyDescent="0.3">
      <c r="A3269" s="850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t="19.5" hidden="1" thickBot="1" x14ac:dyDescent="0.3">
      <c r="A3270" s="850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t="19.5" hidden="1" thickBot="1" x14ac:dyDescent="0.3">
      <c r="A3271" s="850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t="19.5" hidden="1" thickBot="1" x14ac:dyDescent="0.3">
      <c r="A3272" s="850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t="19.5" hidden="1" thickBot="1" x14ac:dyDescent="0.3">
      <c r="A3273" s="850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844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844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843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843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843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843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t="19.5" hidden="1" thickBot="1" x14ac:dyDescent="0.3">
      <c r="A3283" s="86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8.25" hidden="1" thickBot="1" x14ac:dyDescent="0.3">
      <c r="A3284" s="86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t="19.5" hidden="1" thickBot="1" x14ac:dyDescent="0.3">
      <c r="A3285" s="86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843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843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843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843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843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844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844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843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843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844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844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844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844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t="19.5" hidden="1" thickBot="1" x14ac:dyDescent="0.3">
      <c r="A3306" s="86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t="19.5" hidden="1" thickBot="1" x14ac:dyDescent="0.3">
      <c r="A3307" s="86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843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843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844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844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t="19.5" hidden="1" thickBot="1" x14ac:dyDescent="0.3">
      <c r="A3312" s="850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t="19.5" hidden="1" thickBot="1" x14ac:dyDescent="0.3">
      <c r="A3313" s="850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t="19.5" hidden="1" thickBot="1" x14ac:dyDescent="0.3">
      <c r="A3314" s="850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t="19.5" hidden="1" thickBot="1" x14ac:dyDescent="0.3">
      <c r="A3315" s="850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t="19.5" hidden="1" thickBot="1" x14ac:dyDescent="0.3">
      <c r="A3316" s="850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t="19.5" hidden="1" thickBot="1" x14ac:dyDescent="0.3">
      <c r="A3317" s="850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t="19.5" hidden="1" thickBot="1" x14ac:dyDescent="0.3">
      <c r="A3318" s="850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t="19.5" hidden="1" thickBot="1" x14ac:dyDescent="0.3">
      <c r="A3319" s="850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t="19.5" hidden="1" thickBot="1" x14ac:dyDescent="0.3">
      <c r="A3320" s="850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844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844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t="19.5" hidden="1" thickBot="1" x14ac:dyDescent="0.3">
      <c r="A3328" s="863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t="19.5" hidden="1" thickBot="1" x14ac:dyDescent="0.3">
      <c r="A3329" s="86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t="19.5" hidden="1" thickBot="1" x14ac:dyDescent="0.3">
      <c r="A3330" s="86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844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844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844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t="19.5" hidden="1" thickBot="1" x14ac:dyDescent="0.3">
      <c r="A3339" s="850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t="19.5" hidden="1" thickBot="1" x14ac:dyDescent="0.3">
      <c r="A3340" s="850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844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844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t="19.5" hidden="1" thickBot="1" x14ac:dyDescent="0.3">
      <c r="A3343" s="850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t="19.5" hidden="1" thickBot="1" x14ac:dyDescent="0.3">
      <c r="A3344" s="850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844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844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t="19.5" hidden="1" thickBot="1" x14ac:dyDescent="0.3">
      <c r="A3347" s="850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t="19.5" hidden="1" thickBot="1" x14ac:dyDescent="0.3">
      <c r="A3348" s="850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t="19.5" hidden="1" thickBot="1" x14ac:dyDescent="0.3">
      <c r="A3351" s="86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t="19.5" hidden="1" thickBot="1" x14ac:dyDescent="0.3">
      <c r="A3352" s="86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t="19.5" hidden="1" thickBot="1" x14ac:dyDescent="0.3">
      <c r="A3353" s="86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843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843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844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844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843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843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t="19.5" hidden="1" thickBot="1" x14ac:dyDescent="0.3">
      <c r="A3360" s="86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t="19.5" hidden="1" thickBot="1" x14ac:dyDescent="0.3">
      <c r="A3361" s="86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t="19.5" hidden="1" thickBot="1" x14ac:dyDescent="0.3">
      <c r="A3362" s="86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t="19.5" hidden="1" thickBot="1" x14ac:dyDescent="0.3">
      <c r="A3363" s="86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t="19.5" hidden="1" thickBot="1" x14ac:dyDescent="0.3">
      <c r="A3364" s="86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t="19.5" hidden="1" thickBot="1" x14ac:dyDescent="0.3">
      <c r="A3365" s="86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t="19.5" hidden="1" thickBot="1" x14ac:dyDescent="0.3">
      <c r="A3366" s="86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t="19.5" hidden="1" thickBot="1" x14ac:dyDescent="0.3">
      <c r="A3367" s="86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843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843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844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844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843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843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86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47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86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47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843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843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843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844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844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843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843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843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843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844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47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844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47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8.2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t="19.5" hidden="1" thickBot="1" x14ac:dyDescent="0.3">
      <c r="A3399" s="863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t="19.5" hidden="1" thickBot="1" x14ac:dyDescent="0.3">
      <c r="A3400" s="86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t="19.5" hidden="1" thickBot="1" x14ac:dyDescent="0.3">
      <c r="A3401" s="86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t="19.5" hidden="1" thickBot="1" x14ac:dyDescent="0.3">
      <c r="A3402" s="86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t="19.5" hidden="1" thickBot="1" x14ac:dyDescent="0.3">
      <c r="A3403" s="86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t="19.5" hidden="1" thickBot="1" x14ac:dyDescent="0.3">
      <c r="A3404" s="86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844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844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843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843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843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843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844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47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844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47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8.25" hidden="1" thickBot="1" x14ac:dyDescent="0.3">
      <c r="A3416" s="850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8.25" hidden="1" thickBot="1" x14ac:dyDescent="0.3">
      <c r="A3417" s="850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8.25" hidden="1" thickBot="1" x14ac:dyDescent="0.3">
      <c r="A3418" s="850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850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843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843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843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843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843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843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843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843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t="19.5" hidden="1" thickBot="1" x14ac:dyDescent="0.3">
      <c r="A3432" s="86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t="19.5" hidden="1" thickBot="1" x14ac:dyDescent="0.3">
      <c r="A3433" s="86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844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844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844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844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844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844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844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844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844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843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843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86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74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t="19.5" hidden="1" thickBot="1" x14ac:dyDescent="0.3">
      <c r="A3453" s="86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74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t="19.5" hidden="1" thickBot="1" x14ac:dyDescent="0.3">
      <c r="A3454" s="86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74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843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843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843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843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844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844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843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843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843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844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844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844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844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t="19.5" hidden="1" thickBot="1" x14ac:dyDescent="0.3">
      <c r="A3479" s="850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t="19.5" hidden="1" thickBot="1" x14ac:dyDescent="0.3">
      <c r="A3480" s="850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t="19.5" hidden="1" thickBot="1" x14ac:dyDescent="0.3">
      <c r="A3481" s="850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t="19.5" hidden="1" thickBot="1" x14ac:dyDescent="0.3">
      <c r="A3482" s="850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t="19.5" hidden="1" thickBot="1" x14ac:dyDescent="0.3">
      <c r="A3483" s="850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844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844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843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46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843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46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844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844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t="19.5" hidden="1" thickBot="1" x14ac:dyDescent="0.3">
      <c r="A3495" s="86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t="19.5" hidden="1" thickBot="1" x14ac:dyDescent="0.3">
      <c r="A3496" s="86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844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844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843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843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843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843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843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844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844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844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t="19.5" hidden="1" thickBot="1" x14ac:dyDescent="0.3">
      <c r="A3515" s="850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t="19.5" hidden="1" thickBot="1" x14ac:dyDescent="0.3">
      <c r="A3516" s="850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t="19.5" hidden="1" thickBot="1" x14ac:dyDescent="0.3">
      <c r="A3517" s="850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t="19.5" hidden="1" thickBot="1" x14ac:dyDescent="0.3">
      <c r="A3518" s="850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t="19.5" hidden="1" thickBot="1" x14ac:dyDescent="0.3">
      <c r="A3519" s="850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t="19.5" hidden="1" thickBot="1" x14ac:dyDescent="0.3">
      <c r="A3520" s="850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t="19.5" hidden="1" thickBot="1" x14ac:dyDescent="0.3">
      <c r="A3521" s="850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844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844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843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46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843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46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844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844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843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843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843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843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7" hidden="1" thickBot="1" x14ac:dyDescent="0.3">
      <c r="A3539" s="850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t="19.5" hidden="1" thickBot="1" x14ac:dyDescent="0.3">
      <c r="A3540" s="850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843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843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843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843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843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844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844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843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46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843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46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831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38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836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40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t="19.5" hidden="1" thickBot="1" x14ac:dyDescent="0.3">
      <c r="A3557" s="831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38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t="19.5" hidden="1" thickBot="1" x14ac:dyDescent="0.3">
      <c r="A3558" s="836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40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t="19.5" hidden="1" thickBot="1" x14ac:dyDescent="0.3">
      <c r="A3559" s="836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40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t="19.5" hidden="1" thickBot="1" x14ac:dyDescent="0.3">
      <c r="A3560" s="836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40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t="19.5" hidden="1" thickBot="1" x14ac:dyDescent="0.3">
      <c r="A3561" s="828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877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t="19.5" hidden="1" thickBot="1" x14ac:dyDescent="0.3">
      <c r="A3565" s="831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878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t="19.5" hidden="1" thickBot="1" x14ac:dyDescent="0.3">
      <c r="A3568" s="831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38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878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79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t="19.5" hidden="1" thickBot="1" x14ac:dyDescent="0.3">
      <c r="A3571" s="831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t="19.5" hidden="1" thickBot="1" x14ac:dyDescent="0.3">
      <c r="A3572" s="836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t="19.5" hidden="1" thickBot="1" x14ac:dyDescent="0.3">
      <c r="A3573" s="836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t="19.5" hidden="1" thickBot="1" x14ac:dyDescent="0.3">
      <c r="A3574" s="836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t="19.5" hidden="1" thickBot="1" x14ac:dyDescent="0.3">
      <c r="A3577" s="828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t="19.5" hidden="1" thickBot="1" x14ac:dyDescent="0.3">
      <c r="A3578" s="829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t="19.5" hidden="1" thickBot="1" x14ac:dyDescent="0.3">
      <c r="A3579" s="829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t="19.5" hidden="1" thickBot="1" x14ac:dyDescent="0.3">
      <c r="A3580" s="829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877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t="19.5" hidden="1" thickBot="1" x14ac:dyDescent="0.3">
      <c r="A3584" s="831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878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t="19.5" hidden="1" thickBot="1" x14ac:dyDescent="0.3">
      <c r="A3586" s="828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877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t="19.5" hidden="1" thickBot="1" x14ac:dyDescent="0.3">
      <c r="A3592" s="831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t="19.5" hidden="1" thickBot="1" x14ac:dyDescent="0.3">
      <c r="A3593" s="836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t="19.5" hidden="1" thickBot="1" x14ac:dyDescent="0.3">
      <c r="A3594" s="836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t="19.5" hidden="1" thickBot="1" x14ac:dyDescent="0.3">
      <c r="A3595" s="836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t="19.5" hidden="1" thickBot="1" x14ac:dyDescent="0.3">
      <c r="A3596" s="836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t="19.5" hidden="1" thickBot="1" x14ac:dyDescent="0.3">
      <c r="A3597" s="836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828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41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877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80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t="19.5" hidden="1" thickBot="1" x14ac:dyDescent="0.3">
      <c r="A3600" s="831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878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t="19.5" hidden="1" thickBot="1" x14ac:dyDescent="0.3">
      <c r="A3604" s="828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41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877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80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t="19.5" hidden="1" thickBot="1" x14ac:dyDescent="0.3">
      <c r="A3606" s="831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t="19.5" hidden="1" thickBot="1" x14ac:dyDescent="0.3">
      <c r="A3607" s="836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t="19.5" hidden="1" thickBot="1" x14ac:dyDescent="0.3">
      <c r="A3608" s="836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878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t="19.5" hidden="1" thickBot="1" x14ac:dyDescent="0.3">
      <c r="A3611" s="831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t="19.5" hidden="1" thickBot="1" x14ac:dyDescent="0.3">
      <c r="A3612" s="836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t="19.5" hidden="1" thickBot="1" x14ac:dyDescent="0.3">
      <c r="A3615" s="828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t="19.5" hidden="1" thickBot="1" x14ac:dyDescent="0.3">
      <c r="A3616" s="829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t="19.5" hidden="1" thickBot="1" x14ac:dyDescent="0.3">
      <c r="A3617" s="829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877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t="19.5" hidden="1" thickBot="1" x14ac:dyDescent="0.3">
      <c r="A3622" s="828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t="19.5" hidden="1" thickBot="1" x14ac:dyDescent="0.3">
      <c r="A3623" s="829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t="19.5" hidden="1" thickBot="1" x14ac:dyDescent="0.3">
      <c r="A3624" s="829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t="19.5" hidden="1" thickBot="1" x14ac:dyDescent="0.3">
      <c r="A3627" s="831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t="19.5" hidden="1" thickBot="1" x14ac:dyDescent="0.3">
      <c r="A3628" s="836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t="19.5" hidden="1" thickBot="1" x14ac:dyDescent="0.3">
      <c r="A3629" s="836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t="19.5" hidden="1" thickBot="1" x14ac:dyDescent="0.3">
      <c r="A3630" s="836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t="19.5" hidden="1" thickBot="1" x14ac:dyDescent="0.3">
      <c r="A3631" s="836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t="19.5" hidden="1" thickBot="1" x14ac:dyDescent="0.3">
      <c r="A3632" s="836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t="19.5" hidden="1" thickBot="1" x14ac:dyDescent="0.3">
      <c r="A3633" s="828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877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t="19.5" hidden="1" thickBot="1" x14ac:dyDescent="0.3">
      <c r="A3639" s="831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38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878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79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t="19.5" hidden="1" thickBot="1" x14ac:dyDescent="0.3">
      <c r="A3642" s="831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38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878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79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t="19.5" hidden="1" thickBot="1" x14ac:dyDescent="0.3">
      <c r="A3645" s="831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878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t="19.5" hidden="1" thickBot="1" x14ac:dyDescent="0.3">
      <c r="A3647" s="828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877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t="19.5" hidden="1" thickBot="1" x14ac:dyDescent="0.3">
      <c r="A3649" s="831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836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t="19.5" hidden="1" thickBot="1" x14ac:dyDescent="0.3">
      <c r="A3654" s="831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878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t="19.5" hidden="1" thickBot="1" x14ac:dyDescent="0.3">
      <c r="A3656" s="828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877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t="19.5" hidden="1" thickBot="1" x14ac:dyDescent="0.3">
      <c r="A3658" s="831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t="19.5" hidden="1" thickBot="1" x14ac:dyDescent="0.3">
      <c r="A3659" s="836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878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t="19.5" hidden="1" thickBot="1" x14ac:dyDescent="0.3">
      <c r="A3661" s="828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t="19.5" hidden="1" thickBot="1" x14ac:dyDescent="0.3">
      <c r="A3662" s="829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877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t="19.5" hidden="1" thickBot="1" x14ac:dyDescent="0.3">
      <c r="A3669" s="828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t="19.5" hidden="1" thickBot="1" x14ac:dyDescent="0.3">
      <c r="A3670" s="829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t="19.5" hidden="1" thickBot="1" x14ac:dyDescent="0.3">
      <c r="A3671" s="829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t="19.5" hidden="1" thickBot="1" x14ac:dyDescent="0.3">
      <c r="A3672" s="829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t="19.5" hidden="1" thickBot="1" x14ac:dyDescent="0.3">
      <c r="A3673" s="829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t="19.5" hidden="1" thickBot="1" x14ac:dyDescent="0.3">
      <c r="A3674" s="829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t="19.5" hidden="1" thickBot="1" x14ac:dyDescent="0.3">
      <c r="A3675" s="831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878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t="19.5" hidden="1" thickBot="1" x14ac:dyDescent="0.3">
      <c r="A3677" s="828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41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877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80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7" hidden="1" thickBot="1" x14ac:dyDescent="0.3">
      <c r="A3681" s="831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878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t="19.5" hidden="1" thickBot="1" x14ac:dyDescent="0.3">
      <c r="A3685" s="828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877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t="19.5" hidden="1" thickBot="1" x14ac:dyDescent="0.3">
      <c r="A3687" s="831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t="19.5" hidden="1" thickBot="1" x14ac:dyDescent="0.3">
      <c r="A3688" s="836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t="19.5" hidden="1" thickBot="1" x14ac:dyDescent="0.3">
      <c r="A3689" s="836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878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831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38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878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79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t="19.5" hidden="1" thickBot="1" x14ac:dyDescent="0.3">
      <c r="A3698" s="828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t="19.5" hidden="1" thickBot="1" x14ac:dyDescent="0.3">
      <c r="A3699" s="829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877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t="19.5" hidden="1" thickBot="1" x14ac:dyDescent="0.3">
      <c r="A3701" s="831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878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828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41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877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80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8.2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t="19.5" hidden="1" thickBot="1" x14ac:dyDescent="0.3">
      <c r="A3709" s="831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t="19.5" hidden="1" thickBot="1" x14ac:dyDescent="0.3">
      <c r="A3710" s="836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t="19.5" hidden="1" thickBot="1" x14ac:dyDescent="0.3">
      <c r="A3711" s="836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t="19.5" hidden="1" thickBot="1" x14ac:dyDescent="0.3">
      <c r="A3712" s="836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t="19.5" hidden="1" thickBot="1" x14ac:dyDescent="0.3">
      <c r="A3713" s="836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t="19.5" hidden="1" thickBot="1" x14ac:dyDescent="0.3">
      <c r="A3714" s="836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t="19.5" hidden="1" thickBot="1" x14ac:dyDescent="0.3">
      <c r="A3715" s="828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877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t="19.5" hidden="1" thickBot="1" x14ac:dyDescent="0.3">
      <c r="A3718" s="828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877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t="19.5" hidden="1" thickBot="1" x14ac:dyDescent="0.3">
      <c r="A3721" s="828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41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877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80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t="19.5" hidden="1" thickBot="1" x14ac:dyDescent="0.3">
      <c r="A3723" s="831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t="19.5" hidden="1" thickBot="1" x14ac:dyDescent="0.3">
      <c r="A3724" s="836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878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t="19.5" hidden="1" thickBot="1" x14ac:dyDescent="0.3">
      <c r="A3726" s="828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t="19.5" hidden="1" thickBot="1" x14ac:dyDescent="0.3">
      <c r="A3727" s="829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877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t="19.5" hidden="1" thickBot="1" x14ac:dyDescent="0.3">
      <c r="A3729" s="831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t="19.5" hidden="1" thickBot="1" x14ac:dyDescent="0.3">
      <c r="A3730" s="836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878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t="19.5" hidden="1" thickBot="1" x14ac:dyDescent="0.3">
      <c r="A3732" s="828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t="19.5" hidden="1" thickBot="1" x14ac:dyDescent="0.3">
      <c r="A3733" s="829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t="19.5" hidden="1" thickBot="1" x14ac:dyDescent="0.3">
      <c r="A3734" s="829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t="19.5" hidden="1" thickBot="1" x14ac:dyDescent="0.3">
      <c r="A3735" s="829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t="19.5" hidden="1" thickBot="1" x14ac:dyDescent="0.3">
      <c r="A3737" s="828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877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t="19.5" hidden="1" thickBot="1" x14ac:dyDescent="0.3">
      <c r="A3739" s="831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t="19.5" hidden="1" thickBot="1" x14ac:dyDescent="0.3">
      <c r="A3740" s="836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878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t="19.5" hidden="1" thickBot="1" x14ac:dyDescent="0.3">
      <c r="A3743" s="831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t="19.5" hidden="1" thickBot="1" x14ac:dyDescent="0.3">
      <c r="A3744" s="836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t="19.5" hidden="1" thickBot="1" x14ac:dyDescent="0.3">
      <c r="A3745" s="836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t="19.5" hidden="1" thickBot="1" x14ac:dyDescent="0.3">
      <c r="A3746" s="836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t="19.5" hidden="1" thickBot="1" x14ac:dyDescent="0.3">
      <c r="A3749" s="828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t="19.5" hidden="1" thickBot="1" x14ac:dyDescent="0.3">
      <c r="A3750" s="829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t="19.5" hidden="1" thickBot="1" x14ac:dyDescent="0.3">
      <c r="A3754" s="828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t="19.5" hidden="1" thickBot="1" x14ac:dyDescent="0.3">
      <c r="A3755" s="829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t="19.5" hidden="1" thickBot="1" x14ac:dyDescent="0.3">
      <c r="A3756" s="829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t="19.5" hidden="1" thickBot="1" x14ac:dyDescent="0.3">
      <c r="A3757" s="829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t="19.5" hidden="1" thickBot="1" x14ac:dyDescent="0.3">
      <c r="A3758" s="829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t="19.5" hidden="1" thickBot="1" x14ac:dyDescent="0.3">
      <c r="A3759" s="829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t="19.5" hidden="1" thickBot="1" x14ac:dyDescent="0.3">
      <c r="A3760" s="831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878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t="19.5" hidden="1" thickBot="1" x14ac:dyDescent="0.3">
      <c r="A3765" s="831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38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t="19.5" hidden="1" thickBot="1" x14ac:dyDescent="0.3">
      <c r="A3766" s="836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40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878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79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7" hidden="1" thickBot="1" x14ac:dyDescent="0.3">
      <c r="A3769" s="831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t="19.5" hidden="1" thickBot="1" x14ac:dyDescent="0.3">
      <c r="A3770" s="836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878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t="19.5" hidden="1" thickBot="1" x14ac:dyDescent="0.3">
      <c r="A3772" s="828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t="19.5" hidden="1" thickBot="1" x14ac:dyDescent="0.3">
      <c r="A3773" s="829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877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t="19.5" hidden="1" thickBot="1" x14ac:dyDescent="0.3">
      <c r="A3775" s="831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t="19.5" hidden="1" thickBot="1" x14ac:dyDescent="0.3">
      <c r="A3776" s="836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t="19.5" hidden="1" thickBot="1" x14ac:dyDescent="0.3">
      <c r="A3777" s="836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831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38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878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79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t="19.5" hidden="1" thickBot="1" x14ac:dyDescent="0.3">
      <c r="A3781" s="828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t="19.5" hidden="1" thickBot="1" x14ac:dyDescent="0.3">
      <c r="A3782" s="829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t="19.5" hidden="1" thickBot="1" x14ac:dyDescent="0.3">
      <c r="A3783" s="829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877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t="19.5" hidden="1" thickBot="1" x14ac:dyDescent="0.3">
      <c r="A3785" s="831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878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t="19.5" hidden="1" thickBot="1" x14ac:dyDescent="0.3">
      <c r="A3788" s="831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878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t="19.5" hidden="1" thickBot="1" x14ac:dyDescent="0.3">
      <c r="A3790" s="828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877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t="19.5" hidden="1" thickBot="1" x14ac:dyDescent="0.3">
      <c r="A3797" s="828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t="19.5" hidden="1" thickBot="1" x14ac:dyDescent="0.3">
      <c r="A3798" s="829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t="19.5" hidden="1" thickBot="1" x14ac:dyDescent="0.3">
      <c r="A3799" s="829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t="19.5" hidden="1" thickBot="1" x14ac:dyDescent="0.3">
      <c r="A3800" s="829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t="19.5" hidden="1" thickBot="1" x14ac:dyDescent="0.3">
      <c r="A3801" s="829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t="19.5" hidden="1" thickBot="1" x14ac:dyDescent="0.3">
      <c r="A3802" s="831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878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t="19.5" hidden="1" thickBot="1" x14ac:dyDescent="0.3">
      <c r="A3811" s="831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t="19.5" hidden="1" thickBot="1" x14ac:dyDescent="0.3">
      <c r="A3812" s="836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878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t="19.5" hidden="1" thickBot="1" x14ac:dyDescent="0.3">
      <c r="A3814" s="828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877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t="19.5" hidden="1" thickBot="1" x14ac:dyDescent="0.3">
      <c r="A3816" s="831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878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t="19.5" hidden="1" thickBot="1" x14ac:dyDescent="0.3">
      <c r="A3818" s="828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877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t="19.5" hidden="1" thickBot="1" x14ac:dyDescent="0.3">
      <c r="A3820" s="831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38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878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79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t="19.5" hidden="1" thickBot="1" x14ac:dyDescent="0.3">
      <c r="A3822" s="828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t="19.5" hidden="1" thickBot="1" x14ac:dyDescent="0.3">
      <c r="A3823" s="829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t="19.5" hidden="1" thickBot="1" x14ac:dyDescent="0.3">
      <c r="A3828" s="831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t="19.5" hidden="1" thickBot="1" x14ac:dyDescent="0.3">
      <c r="A3829" s="836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878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t="19.5" hidden="1" thickBot="1" x14ac:dyDescent="0.3">
      <c r="A3831" s="828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877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t="19.5" hidden="1" thickBot="1" x14ac:dyDescent="0.3">
      <c r="A3833" s="831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878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t="19.5" hidden="1" thickBot="1" x14ac:dyDescent="0.3">
      <c r="A3835" s="828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877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t="19.5" hidden="1" thickBot="1" x14ac:dyDescent="0.3">
      <c r="A3837" s="831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878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t="19.5" hidden="1" thickBot="1" x14ac:dyDescent="0.3">
      <c r="A3842" s="831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t="19.5" hidden="1" thickBot="1" x14ac:dyDescent="0.3">
      <c r="A3843" s="836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t="19.5" hidden="1" thickBot="1" x14ac:dyDescent="0.3">
      <c r="A3848" s="829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t="19.5" hidden="1" thickBot="1" x14ac:dyDescent="0.3">
      <c r="A3849" s="829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t="19.5" hidden="1" thickBot="1" x14ac:dyDescent="0.3">
      <c r="A3850" s="829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t="19.5" hidden="1" thickBot="1" x14ac:dyDescent="0.3">
      <c r="A3851" s="829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t="19.5" hidden="1" thickBot="1" x14ac:dyDescent="0.3">
      <c r="A3852" s="829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t="19.5" hidden="1" thickBot="1" x14ac:dyDescent="0.3">
      <c r="A3853" s="829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t="19.5" hidden="1" thickBot="1" x14ac:dyDescent="0.3">
      <c r="A3854" s="831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878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t="19.5" hidden="1" thickBot="1" x14ac:dyDescent="0.3">
      <c r="A3859" s="831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878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t="19.5" hidden="1" thickBot="1" x14ac:dyDescent="0.3">
      <c r="A3861" s="828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t="19.5" hidden="1" thickBot="1" x14ac:dyDescent="0.3">
      <c r="A3862" s="829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t="19.5" hidden="1" thickBot="1" x14ac:dyDescent="0.3">
      <c r="A3863" s="829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877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t="19.5" hidden="1" thickBot="1" x14ac:dyDescent="0.3">
      <c r="A3867" s="831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t="19.5" hidden="1" thickBot="1" x14ac:dyDescent="0.3">
      <c r="A3868" s="836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t="19.5" hidden="1" thickBot="1" x14ac:dyDescent="0.3">
      <c r="A3869" s="836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t="19.5" hidden="1" thickBot="1" x14ac:dyDescent="0.3">
      <c r="A3870" s="836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t="19.5" hidden="1" thickBot="1" x14ac:dyDescent="0.3">
      <c r="A3871" s="836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878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t="19.5" hidden="1" thickBot="1" x14ac:dyDescent="0.3">
      <c r="A3874" s="831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878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t="19.5" hidden="1" thickBot="1" x14ac:dyDescent="0.3">
      <c r="A3876" s="828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t="19.5" hidden="1" thickBot="1" x14ac:dyDescent="0.3">
      <c r="A3877" s="829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t="19.5" hidden="1" thickBot="1" x14ac:dyDescent="0.3">
      <c r="A3878" s="829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877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7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t="19.5" hidden="1" thickBot="1" x14ac:dyDescent="0.3">
      <c r="A3884" s="828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t="19.5" hidden="1" thickBot="1" x14ac:dyDescent="0.3">
      <c r="A3885" s="829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t="19.5" hidden="1" thickBot="1" x14ac:dyDescent="0.3">
      <c r="A3886" s="829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t="19.5" hidden="1" thickBot="1" x14ac:dyDescent="0.3">
      <c r="A3887" s="829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t="19.5" hidden="1" thickBot="1" x14ac:dyDescent="0.3">
      <c r="A3888" s="829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t="19.5" hidden="1" thickBot="1" x14ac:dyDescent="0.3">
      <c r="A3889" s="829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t="19.5" hidden="1" thickBot="1" x14ac:dyDescent="0.3">
      <c r="A3890" s="831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878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t="19.5" hidden="1" thickBot="1" x14ac:dyDescent="0.3">
      <c r="A3895" s="831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38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878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79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828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829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877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831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836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836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878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828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829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877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831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38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836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40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878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79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828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41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877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80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831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878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828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877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831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836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836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836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836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836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828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877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831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878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828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829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877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831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836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836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878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828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877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831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38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878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79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831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878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828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829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877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828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877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831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836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t="19.5" hidden="1" thickBot="1" x14ac:dyDescent="0.3">
      <c r="A3966" s="828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t="19.5" hidden="1" thickBot="1" x14ac:dyDescent="0.3">
      <c r="A3967" s="829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t="19.5" hidden="1" thickBot="1" x14ac:dyDescent="0.3">
      <c r="A3971" s="828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t="19.5" hidden="1" thickBot="1" x14ac:dyDescent="0.3">
      <c r="A3972" s="829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t="19.5" hidden="1" thickBot="1" x14ac:dyDescent="0.3">
      <c r="A3973" s="829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t="19.5" hidden="1" thickBot="1" x14ac:dyDescent="0.3">
      <c r="A3974" s="829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t="19.5" hidden="1" thickBot="1" x14ac:dyDescent="0.3">
      <c r="A3975" s="829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t="19.5" hidden="1" thickBot="1" x14ac:dyDescent="0.3">
      <c r="A3976" s="831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878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t="19.5" hidden="1" thickBot="1" x14ac:dyDescent="0.3">
      <c r="A3981" s="831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t="19.5" hidden="1" thickBot="1" x14ac:dyDescent="0.3">
      <c r="A3982" s="836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t="19.5" hidden="1" thickBot="1" x14ac:dyDescent="0.3">
      <c r="A3983" s="828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41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877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80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t="19.5" hidden="1" thickBot="1" x14ac:dyDescent="0.3">
      <c r="A3985" s="831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t="19.5" hidden="1" thickBot="1" x14ac:dyDescent="0.3">
      <c r="A3986" s="836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t="19.5" hidden="1" thickBot="1" x14ac:dyDescent="0.3">
      <c r="A3987" s="836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t="19.5" hidden="1" thickBot="1" x14ac:dyDescent="0.3">
      <c r="A3988" s="836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t="19.5" hidden="1" thickBot="1" x14ac:dyDescent="0.3">
      <c r="A3989" s="836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t="19.5" hidden="1" thickBot="1" x14ac:dyDescent="0.3">
      <c r="A3990" s="836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878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t="19.5" hidden="1" thickBot="1" x14ac:dyDescent="0.3">
      <c r="A3992" s="828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t="19.5" hidden="1" thickBot="1" x14ac:dyDescent="0.3">
      <c r="A3993" s="829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t="19.5" hidden="1" thickBot="1" x14ac:dyDescent="0.3">
      <c r="A3994" s="829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t="19.5" hidden="1" thickBot="1" x14ac:dyDescent="0.3">
      <c r="A3995" s="829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t="19.5" hidden="1" thickBot="1" x14ac:dyDescent="0.3">
      <c r="A3996" s="831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t="19.5" hidden="1" thickBot="1" x14ac:dyDescent="0.3">
      <c r="A3997" s="836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878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t="19.5" hidden="1" thickBot="1" x14ac:dyDescent="0.3">
      <c r="A4002" s="831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878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t="19.5" hidden="1" thickBot="1" x14ac:dyDescent="0.3">
      <c r="A4004" s="828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877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t="19.5" hidden="1" thickBot="1" x14ac:dyDescent="0.3">
      <c r="A4006" s="831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t="19.5" hidden="1" thickBot="1" x14ac:dyDescent="0.3">
      <c r="A4007" s="836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878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t="19.5" hidden="1" thickBot="1" x14ac:dyDescent="0.3">
      <c r="A4010" s="831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878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t="19.5" hidden="1" thickBot="1" x14ac:dyDescent="0.3">
      <c r="A4012" s="882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t="19.5" hidden="1" thickBot="1" x14ac:dyDescent="0.3">
      <c r="A4013" s="88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88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7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t="19.5" hidden="1" thickBot="1" x14ac:dyDescent="0.3">
      <c r="A4019" s="831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t="19.5" hidden="1" thickBot="1" x14ac:dyDescent="0.3">
      <c r="A4020" s="836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t="19.5" hidden="1" thickBot="1" x14ac:dyDescent="0.3">
      <c r="A4021" s="836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t="19.5" hidden="1" thickBot="1" x14ac:dyDescent="0.3">
      <c r="A4022" s="836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t="19.5" hidden="1" thickBot="1" x14ac:dyDescent="0.3">
      <c r="A4023" s="836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878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8.2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t="19.5" hidden="1" thickBot="1" x14ac:dyDescent="0.3">
      <c r="A4027" s="828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877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t="19.5" hidden="1" thickBot="1" x14ac:dyDescent="0.3">
      <c r="A4031" s="831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t="19.5" hidden="1" thickBot="1" x14ac:dyDescent="0.3">
      <c r="A4032" s="836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878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t="19.5" hidden="1" thickBot="1" x14ac:dyDescent="0.3">
      <c r="A4034" s="828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877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t="19.5" hidden="1" thickBot="1" x14ac:dyDescent="0.3">
      <c r="A4036" s="831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878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t="19.5" hidden="1" thickBot="1" x14ac:dyDescent="0.3">
      <c r="A4039" s="831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878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t="19.5" hidden="1" thickBot="1" x14ac:dyDescent="0.3">
      <c r="A4045" s="828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t="19.5" hidden="1" thickBot="1" x14ac:dyDescent="0.3">
      <c r="A4046" s="829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830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t="19.5" hidden="1" thickBot="1" x14ac:dyDescent="0.3">
      <c r="A4048" s="831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t="19.5" hidden="1" thickBot="1" x14ac:dyDescent="0.3">
      <c r="A4049" s="836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832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t="19.5" hidden="1" thickBot="1" x14ac:dyDescent="0.3">
      <c r="A4053" s="828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830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t="19.5" hidden="1" thickBot="1" x14ac:dyDescent="0.3">
      <c r="A4055" s="831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38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832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39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t="19.5" hidden="1" thickBot="1" x14ac:dyDescent="0.3">
      <c r="A4058" s="831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t="19.5" hidden="1" thickBot="1" x14ac:dyDescent="0.3">
      <c r="A4059" s="836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t="19.5" hidden="1" thickBot="1" x14ac:dyDescent="0.3">
      <c r="A4064" s="828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41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830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42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t="19.5" hidden="1" thickBot="1" x14ac:dyDescent="0.3">
      <c r="A4066" s="831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t="19.5" hidden="1" thickBot="1" x14ac:dyDescent="0.3">
      <c r="A4067" s="836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t="19.5" hidden="1" thickBot="1" x14ac:dyDescent="0.3">
      <c r="A4068" s="836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t="19.5" hidden="1" thickBot="1" x14ac:dyDescent="0.3">
      <c r="A4069" s="836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t="19.5" hidden="1" thickBot="1" x14ac:dyDescent="0.3">
      <c r="A4070" s="836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t="19.5" hidden="1" thickBot="1" x14ac:dyDescent="0.3">
      <c r="A4071" s="828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830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t="19.5" hidden="1" thickBot="1" x14ac:dyDescent="0.3">
      <c r="A4077" s="831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832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t="19.5" hidden="1" thickBot="1" x14ac:dyDescent="0.3">
      <c r="A4082" s="831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t="19.5" hidden="1" thickBot="1" x14ac:dyDescent="0.3">
      <c r="A4083" s="836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832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t="19.5" hidden="1" thickBot="1" x14ac:dyDescent="0.3">
      <c r="A4085" s="828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830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t="19.5" hidden="1" thickBot="1" x14ac:dyDescent="0.3">
      <c r="A4087" s="831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t="19.5" hidden="1" thickBot="1" x14ac:dyDescent="0.3">
      <c r="A4088" s="836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t="19.5" hidden="1" thickBot="1" x14ac:dyDescent="0.3">
      <c r="A4089" s="836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828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41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829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81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830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42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t="19.5" hidden="1" thickBot="1" x14ac:dyDescent="0.3">
      <c r="A4096" s="828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830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t="19.5" hidden="1" thickBot="1" x14ac:dyDescent="0.3">
      <c r="A4099" s="828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t="19.5" hidden="1" thickBot="1" x14ac:dyDescent="0.3">
      <c r="A4100" s="829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830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8.2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t="19.5" hidden="1" thickBot="1" x14ac:dyDescent="0.3">
      <c r="A4106" s="831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t="19.5" hidden="1" thickBot="1" x14ac:dyDescent="0.3">
      <c r="A4107" s="836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832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t="19.5" hidden="1" thickBot="1" x14ac:dyDescent="0.3">
      <c r="A4109" s="828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t="19.5" hidden="1" thickBot="1" x14ac:dyDescent="0.3">
      <c r="A4110" s="829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t="19.5" hidden="1" thickBot="1" x14ac:dyDescent="0.3">
      <c r="A4111" s="829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t="19.5" hidden="1" thickBot="1" x14ac:dyDescent="0.3">
      <c r="A4112" s="829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t="19.5" hidden="1" thickBot="1" x14ac:dyDescent="0.3">
      <c r="A4113" s="829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t="19.5" hidden="1" thickBot="1" x14ac:dyDescent="0.3">
      <c r="A4114" s="831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832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t="19.5" hidden="1" thickBot="1" x14ac:dyDescent="0.3">
      <c r="A4120" s="828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t="19.5" hidden="1" thickBot="1" x14ac:dyDescent="0.3">
      <c r="A4121" s="829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830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t="19.5" hidden="1" thickBot="1" x14ac:dyDescent="0.3">
      <c r="A4123" s="831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t="19.5" hidden="1" thickBot="1" x14ac:dyDescent="0.3">
      <c r="A4124" s="836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t="19.5" hidden="1" thickBot="1" x14ac:dyDescent="0.3">
      <c r="A4125" s="836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832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t="19.5" hidden="1" thickBot="1" x14ac:dyDescent="0.3">
      <c r="A4131" s="828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830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t="19.5" hidden="1" thickBot="1" x14ac:dyDescent="0.3">
      <c r="A4133" s="831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t="19.5" hidden="1" thickBot="1" x14ac:dyDescent="0.3">
      <c r="A4134" s="836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t="19.5" hidden="1" thickBot="1" x14ac:dyDescent="0.3">
      <c r="A4135" s="836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832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t="19.5" hidden="1" thickBot="1" x14ac:dyDescent="0.3">
      <c r="A4138" s="831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832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t="19.5" hidden="1" thickBot="1" x14ac:dyDescent="0.3">
      <c r="A4140" s="828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t="19.5" hidden="1" thickBot="1" x14ac:dyDescent="0.3">
      <c r="A4141" s="829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t="19.5" hidden="1" thickBot="1" x14ac:dyDescent="0.3">
      <c r="A4142" s="829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t="19.5" hidden="1" thickBot="1" x14ac:dyDescent="0.3">
      <c r="A4145" s="831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832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t="19.5" hidden="1" thickBot="1" x14ac:dyDescent="0.3">
      <c r="A4153" s="828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t="19.5" hidden="1" thickBot="1" x14ac:dyDescent="0.3">
      <c r="A4154" s="829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t="19.5" hidden="1" thickBot="1" x14ac:dyDescent="0.3">
      <c r="A4155" s="829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t="19.5" hidden="1" thickBot="1" x14ac:dyDescent="0.3">
      <c r="A4156" s="829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t="19.5" hidden="1" thickBot="1" x14ac:dyDescent="0.3">
      <c r="A4157" s="829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t="19.5" hidden="1" thickBot="1" x14ac:dyDescent="0.3">
      <c r="A4158" s="831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832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t="19.5" hidden="1" thickBot="1" x14ac:dyDescent="0.3">
      <c r="A4164" s="828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t="19.5" hidden="1" thickBot="1" x14ac:dyDescent="0.3">
      <c r="A4165" s="829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830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t="19.5" hidden="1" thickBot="1" x14ac:dyDescent="0.3">
      <c r="A4167" s="831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832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t="19.5" hidden="1" thickBot="1" x14ac:dyDescent="0.3">
      <c r="A4169" s="828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830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t="19.5" hidden="1" thickBot="1" x14ac:dyDescent="0.3">
      <c r="A4171" s="831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832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t="19.5" hidden="1" thickBot="1" x14ac:dyDescent="0.3">
      <c r="A4178" s="831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t="19.5" hidden="1" thickBot="1" x14ac:dyDescent="0.3">
      <c r="A4179" s="836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832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t="19.5" hidden="1" thickBot="1" x14ac:dyDescent="0.3">
      <c r="A4182" s="831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832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t="19.5" hidden="1" thickBot="1" x14ac:dyDescent="0.3">
      <c r="A4184" s="828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830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7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t="19.5" hidden="1" thickBot="1" x14ac:dyDescent="0.3">
      <c r="A4193" s="828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t="19.5" hidden="1" thickBot="1" x14ac:dyDescent="0.3">
      <c r="A4194" s="829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830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t="19.5" hidden="1" thickBot="1" x14ac:dyDescent="0.3">
      <c r="A4196" s="831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t="19.5" hidden="1" thickBot="1" x14ac:dyDescent="0.3">
      <c r="A4197" s="836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t="19.5" hidden="1" thickBot="1" x14ac:dyDescent="0.3">
      <c r="A4198" s="836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t="19.5" hidden="1" thickBot="1" x14ac:dyDescent="0.3">
      <c r="A4199" s="836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832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t="19.5" hidden="1" thickBot="1" x14ac:dyDescent="0.3">
      <c r="A4202" s="831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t="19.5" hidden="1" thickBot="1" x14ac:dyDescent="0.3">
      <c r="A4203" s="836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t="19.5" hidden="1" thickBot="1" x14ac:dyDescent="0.3">
      <c r="A4204" s="828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830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7" hidden="1" thickBot="1" x14ac:dyDescent="0.3">
      <c r="A4209" s="828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830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t="19.5" hidden="1" thickBot="1" x14ac:dyDescent="0.3">
      <c r="A4212" s="828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830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t="19.5" hidden="1" thickBot="1" x14ac:dyDescent="0.3">
      <c r="A4214" s="831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t="19.5" hidden="1" thickBot="1" x14ac:dyDescent="0.3">
      <c r="A4215" s="836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832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t="19.5" hidden="1" thickBot="1" x14ac:dyDescent="0.3">
      <c r="A4223" s="828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t="19.5" hidden="1" thickBot="1" x14ac:dyDescent="0.3">
      <c r="A4224" s="829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t="19.5" hidden="1" thickBot="1" x14ac:dyDescent="0.3">
      <c r="A4225" s="829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830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t="19.5" hidden="1" thickBot="1" x14ac:dyDescent="0.3">
      <c r="A4227" s="831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t="19.5" hidden="1" thickBot="1" x14ac:dyDescent="0.3">
      <c r="A4228" s="836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832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831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38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832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39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t="19.5" hidden="1" thickBot="1" x14ac:dyDescent="0.3">
      <c r="A4233" s="828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t="19.5" hidden="1" thickBot="1" x14ac:dyDescent="0.3">
      <c r="A4234" s="829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830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t="19.5" hidden="1" thickBot="1" x14ac:dyDescent="0.3">
      <c r="A4237" s="828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t="19.5" hidden="1" thickBot="1" x14ac:dyDescent="0.3">
      <c r="A4238" s="829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830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t="19.5" hidden="1" thickBot="1" x14ac:dyDescent="0.3">
      <c r="A4240" s="831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t="19.5" hidden="1" thickBot="1" x14ac:dyDescent="0.3">
      <c r="A4241" s="836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t="19.5" hidden="1" thickBot="1" x14ac:dyDescent="0.3">
      <c r="A4242" s="836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832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t="19.5" hidden="1" thickBot="1" x14ac:dyDescent="0.3">
      <c r="A4245" s="831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832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7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828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41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829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81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829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81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830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42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t="19.5" hidden="1" thickBot="1" x14ac:dyDescent="0.3">
      <c r="A4255" s="831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t="19.5" hidden="1" thickBot="1" x14ac:dyDescent="0.3">
      <c r="A4256" s="836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832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8.2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t="19.5" hidden="1" thickBot="1" x14ac:dyDescent="0.3">
      <c r="A4259" s="831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832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t="19.5" hidden="1" thickBot="1" x14ac:dyDescent="0.3">
      <c r="A4267" s="828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t="19.5" hidden="1" thickBot="1" x14ac:dyDescent="0.3">
      <c r="A4268" s="829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830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t="19.5" hidden="1" thickBot="1" x14ac:dyDescent="0.3">
      <c r="A4270" s="831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832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t="19.5" hidden="1" thickBot="1" x14ac:dyDescent="0.3">
      <c r="A4272" s="828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t="19.5" hidden="1" thickBot="1" x14ac:dyDescent="0.3">
      <c r="A4273" s="829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t="19.5" hidden="1" thickBot="1" x14ac:dyDescent="0.3">
      <c r="A4274" s="829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828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41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830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42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t="19.5" hidden="1" thickBot="1" x14ac:dyDescent="0.3">
      <c r="A4282" s="831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832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t="19.5" hidden="1" thickBot="1" x14ac:dyDescent="0.3">
      <c r="A4284" s="828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t="19.5" hidden="1" thickBot="1" x14ac:dyDescent="0.3">
      <c r="A4285" s="829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830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t="19.5" hidden="1" thickBot="1" x14ac:dyDescent="0.3">
      <c r="A4288" s="828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830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t="19.5" hidden="1" thickBot="1" x14ac:dyDescent="0.3">
      <c r="A4290" s="831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832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t="19.5" hidden="1" thickBot="1" x14ac:dyDescent="0.3">
      <c r="A4292" s="828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t="19.5" hidden="1" thickBot="1" x14ac:dyDescent="0.3">
      <c r="A4293" s="829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t="19.5" hidden="1" thickBot="1" x14ac:dyDescent="0.3">
      <c r="A4298" s="831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832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t="19.5" hidden="1" thickBot="1" x14ac:dyDescent="0.3">
      <c r="A4300" s="828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t="19.5" hidden="1" thickBot="1" x14ac:dyDescent="0.3">
      <c r="A4301" s="829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t="19.5" hidden="1" thickBot="1" x14ac:dyDescent="0.3">
      <c r="A4302" s="829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t="19.5" hidden="1" thickBot="1" x14ac:dyDescent="0.3">
      <c r="A4303" s="829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t="19.5" hidden="1" thickBot="1" x14ac:dyDescent="0.3">
      <c r="A4304" s="829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t="19.5" hidden="1" thickBot="1" x14ac:dyDescent="0.3">
      <c r="A4305" s="831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t="19.5" hidden="1" thickBot="1" x14ac:dyDescent="0.3">
      <c r="A4306" s="836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832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t="19.5" hidden="1" thickBot="1" x14ac:dyDescent="0.3">
      <c r="A4311" s="831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38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t="19.5" hidden="1" thickBot="1" x14ac:dyDescent="0.3">
      <c r="A4312" s="836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40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t="19.5" hidden="1" thickBot="1" x14ac:dyDescent="0.3">
      <c r="A4313" s="836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40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832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39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t="19.5" hidden="1" thickBot="1" x14ac:dyDescent="0.3">
      <c r="A4315" s="828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830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t="19.5" hidden="1" thickBot="1" x14ac:dyDescent="0.3">
      <c r="A4317" s="831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832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t="19.5" hidden="1" thickBot="1" x14ac:dyDescent="0.3">
      <c r="A4322" s="831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832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t="19.5" hidden="1" thickBot="1" x14ac:dyDescent="0.3">
      <c r="A4324" s="828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t="19.5" hidden="1" thickBot="1" x14ac:dyDescent="0.3">
      <c r="A4325" s="829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830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t="19.5" hidden="1" thickBot="1" x14ac:dyDescent="0.3">
      <c r="A4329" s="831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832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828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41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830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42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t="19.5" hidden="1" thickBot="1" x14ac:dyDescent="0.3">
      <c r="A4334" s="828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t="19.5" hidden="1" thickBot="1" x14ac:dyDescent="0.3">
      <c r="A4335" s="829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t="19.5" hidden="1" thickBot="1" x14ac:dyDescent="0.3">
      <c r="A4339" s="828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t="19.5" hidden="1" thickBot="1" x14ac:dyDescent="0.3">
      <c r="A4340" s="829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t="19.5" hidden="1" thickBot="1" x14ac:dyDescent="0.3">
      <c r="A4341" s="829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t="19.5" hidden="1" thickBot="1" x14ac:dyDescent="0.3">
      <c r="A4342" s="829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t="19.5" hidden="1" thickBot="1" x14ac:dyDescent="0.3">
      <c r="A4343" s="829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830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t="19.5" hidden="1" thickBot="1" x14ac:dyDescent="0.3">
      <c r="A4345" s="831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t="19.5" hidden="1" thickBot="1" x14ac:dyDescent="0.3">
      <c r="A4346" s="836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t="19.5" hidden="1" thickBot="1" x14ac:dyDescent="0.3">
      <c r="A4347" s="828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t="19.5" hidden="1" thickBot="1" x14ac:dyDescent="0.3">
      <c r="A4348" s="829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830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7" hidden="1" thickBot="1" x14ac:dyDescent="0.3">
      <c r="A4354" s="831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832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t="19.5" hidden="1" thickBot="1" x14ac:dyDescent="0.3">
      <c r="A4357" s="831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t="19.5" hidden="1" thickBot="1" x14ac:dyDescent="0.3">
      <c r="A4358" s="836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832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t="19.5" hidden="1" thickBot="1" x14ac:dyDescent="0.3">
      <c r="A4360" s="828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t="19.5" hidden="1" thickBot="1" x14ac:dyDescent="0.3">
      <c r="A4361" s="829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830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t="19.5" hidden="1" thickBot="1" x14ac:dyDescent="0.3">
      <c r="A4367" s="831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t="19.5" hidden="1" thickBot="1" x14ac:dyDescent="0.3">
      <c r="A4368" s="836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832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t="19.5" hidden="1" thickBot="1" x14ac:dyDescent="0.3">
      <c r="A4370" s="828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t="19.5" hidden="1" thickBot="1" x14ac:dyDescent="0.3">
      <c r="A4371" s="829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830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t="19.5" hidden="1" thickBot="1" x14ac:dyDescent="0.3">
      <c r="A4374" s="828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830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t="19.5" hidden="1" thickBot="1" x14ac:dyDescent="0.3">
      <c r="A4376" s="831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832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7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7" hidden="1" thickBot="1" x14ac:dyDescent="0.3">
      <c r="A4384" s="828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7" hidden="1" thickBot="1" x14ac:dyDescent="0.3">
      <c r="A4385" s="829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830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7" hidden="1" thickBot="1" x14ac:dyDescent="0.3">
      <c r="A4387" s="831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7" hidden="1" thickBot="1" x14ac:dyDescent="0.3">
      <c r="A4388" s="836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7" hidden="1" thickBot="1" x14ac:dyDescent="0.3">
      <c r="A4389" s="836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832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7" hidden="1" thickBot="1" x14ac:dyDescent="0.3">
      <c r="A4391" s="828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41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829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42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t="19.5" hidden="1" thickBot="1" x14ac:dyDescent="0.3">
      <c r="A4393" s="831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t="19.5" hidden="1" thickBot="1" x14ac:dyDescent="0.3">
      <c r="A4394" s="836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832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t="19.5" hidden="1" thickBot="1" x14ac:dyDescent="0.3">
      <c r="A4400" s="828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830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t="19.5" hidden="1" thickBot="1" x14ac:dyDescent="0.3">
      <c r="A4402" s="831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t="19.5" hidden="1" thickBot="1" x14ac:dyDescent="0.3">
      <c r="A4403" s="836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t="19.5" hidden="1" thickBot="1" x14ac:dyDescent="0.3">
      <c r="A4404" s="836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t="19.5" hidden="1" thickBot="1" x14ac:dyDescent="0.3">
      <c r="A4405" s="836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t="19.5" hidden="1" thickBot="1" x14ac:dyDescent="0.3">
      <c r="A4406" s="828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830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t="19.5" hidden="1" thickBot="1" x14ac:dyDescent="0.3">
      <c r="A4414" s="831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832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t="19.5" hidden="1" thickBot="1" x14ac:dyDescent="0.3">
      <c r="A4416" s="828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t="19.5" hidden="1" thickBot="1" x14ac:dyDescent="0.3">
      <c r="A4417" s="829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t="19.5" hidden="1" thickBot="1" x14ac:dyDescent="0.3">
      <c r="A4418" s="829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830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t="19.5" hidden="1" thickBot="1" x14ac:dyDescent="0.3">
      <c r="A4422" s="831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832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t="19.5" hidden="1" thickBot="1" x14ac:dyDescent="0.3">
      <c r="A4424" s="828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830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t="19.5" hidden="1" thickBot="1" x14ac:dyDescent="0.3">
      <c r="A4427" s="828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830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t="19.5" hidden="1" thickBot="1" x14ac:dyDescent="0.3">
      <c r="A4429" s="831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832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t="19.5" hidden="1" thickBot="1" x14ac:dyDescent="0.3">
      <c r="A4431" s="828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t="19.5" hidden="1" thickBot="1" x14ac:dyDescent="0.3">
      <c r="A4432" s="829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t="19.5" hidden="1" thickBot="1" x14ac:dyDescent="0.3">
      <c r="A4437" s="831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t="19.5" hidden="1" thickBot="1" x14ac:dyDescent="0.3">
      <c r="A4438" s="836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t="19.5" hidden="1" thickBot="1" x14ac:dyDescent="0.3">
      <c r="A4439" s="836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832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t="19.5" hidden="1" thickBot="1" x14ac:dyDescent="0.3">
      <c r="A4442" s="831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832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t="19.5" hidden="1" thickBot="1" x14ac:dyDescent="0.3">
      <c r="A4445" s="831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t="19.5" hidden="1" thickBot="1" x14ac:dyDescent="0.3">
      <c r="A4446" s="836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t="19.5" hidden="1" thickBot="1" x14ac:dyDescent="0.3">
      <c r="A4447" s="836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832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t="19.5" hidden="1" thickBot="1" x14ac:dyDescent="0.3">
      <c r="A4453" s="828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830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t="19.5" hidden="1" thickBot="1" x14ac:dyDescent="0.3">
      <c r="A4456" s="828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830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t="19.5" hidden="1" thickBot="1" x14ac:dyDescent="0.3">
      <c r="A4458" s="831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t="19.5" hidden="1" thickBot="1" x14ac:dyDescent="0.3">
      <c r="A4459" s="836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832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t="19.5" hidden="1" thickBot="1" x14ac:dyDescent="0.3">
      <c r="A4461" s="828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t="19.5" hidden="1" thickBot="1" x14ac:dyDescent="0.3">
      <c r="A4462" s="829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830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t="19.5" hidden="1" thickBot="1" x14ac:dyDescent="0.3">
      <c r="A4473" s="828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t="19.5" hidden="1" thickBot="1" x14ac:dyDescent="0.3">
      <c r="A4474" s="829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830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t="19.5" hidden="1" thickBot="1" x14ac:dyDescent="0.3">
      <c r="A4477" s="828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t="19.5" hidden="1" thickBot="1" x14ac:dyDescent="0.3">
      <c r="A4478" s="829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830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t="19.5" hidden="1" thickBot="1" x14ac:dyDescent="0.3">
      <c r="A4480" s="831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832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t="19.5" hidden="1" thickBot="1" x14ac:dyDescent="0.3">
      <c r="A4489" s="831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t="19.5" hidden="1" thickBot="1" x14ac:dyDescent="0.3">
      <c r="A4490" s="836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t="19.5" hidden="1" thickBot="1" x14ac:dyDescent="0.3">
      <c r="A4491" s="836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832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t="19.5" hidden="1" thickBot="1" x14ac:dyDescent="0.3">
      <c r="A4493" s="828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41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t="19.5" hidden="1" thickBot="1" x14ac:dyDescent="0.3">
      <c r="A4494" s="829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81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t="19.5" hidden="1" thickBot="1" x14ac:dyDescent="0.3">
      <c r="A4499" s="831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832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t="19.5" hidden="1" thickBot="1" x14ac:dyDescent="0.3">
      <c r="A4501" s="828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830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t="19.5" hidden="1" thickBot="1" x14ac:dyDescent="0.3">
      <c r="A4503" s="831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832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t="19.5" hidden="1" thickBot="1" x14ac:dyDescent="0.3">
      <c r="A4505" s="828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830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t="19.5" hidden="1" thickBot="1" x14ac:dyDescent="0.3">
      <c r="A4507" s="831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832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t="19.5" hidden="1" thickBot="1" x14ac:dyDescent="0.3">
      <c r="A4512" s="831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t="19.5" hidden="1" thickBot="1" x14ac:dyDescent="0.3">
      <c r="A4513" s="836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832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t="19.5" hidden="1" thickBot="1" x14ac:dyDescent="0.3">
      <c r="A4515" s="828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830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t="19.5" hidden="1" thickBot="1" x14ac:dyDescent="0.3">
      <c r="A4517" s="831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832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t="19.5" hidden="1" thickBot="1" x14ac:dyDescent="0.3">
      <c r="A4521" s="828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t="19.5" hidden="1" thickBot="1" x14ac:dyDescent="0.3">
      <c r="A4522" s="829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830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t="19.5" hidden="1" thickBot="1" x14ac:dyDescent="0.3">
      <c r="A4524" s="831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t="19.5" hidden="1" thickBot="1" x14ac:dyDescent="0.3">
      <c r="A4525" s="836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832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t="19.5" hidden="1" thickBot="1" x14ac:dyDescent="0.3">
      <c r="A4527" s="828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830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t="19.5" hidden="1" thickBot="1" x14ac:dyDescent="0.3">
      <c r="A4529" s="831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832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t="19.5" hidden="1" thickBot="1" x14ac:dyDescent="0.3">
      <c r="A4532" s="831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t="19.5" hidden="1" thickBot="1" x14ac:dyDescent="0.3">
      <c r="A4533" s="836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t="19.5" hidden="1" thickBot="1" x14ac:dyDescent="0.3">
      <c r="A4536" s="828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t="19.5" hidden="1" thickBot="1" x14ac:dyDescent="0.3">
      <c r="A4537" s="829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830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t="19.5" hidden="1" thickBot="1" x14ac:dyDescent="0.3">
      <c r="A4539" s="831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t="19.5" hidden="1" thickBot="1" x14ac:dyDescent="0.3">
      <c r="A4540" s="836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832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t="19.5" hidden="1" thickBot="1" x14ac:dyDescent="0.3">
      <c r="A4543" s="831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832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t="19.5" hidden="1" thickBot="1" x14ac:dyDescent="0.3">
      <c r="A4548" s="831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832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t="19.5" hidden="1" thickBot="1" x14ac:dyDescent="0.3">
      <c r="A4550" s="828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830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t="19.5" hidden="1" thickBot="1" x14ac:dyDescent="0.3">
      <c r="A4552" s="831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832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t="19.5" hidden="1" thickBot="1" x14ac:dyDescent="0.3">
      <c r="A4554" s="828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830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t="19.5" hidden="1" thickBot="1" x14ac:dyDescent="0.3">
      <c r="A4560" s="831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t="19.5" hidden="1" thickBot="1" x14ac:dyDescent="0.3">
      <c r="A4561" s="836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832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t="19.5" hidden="1" thickBot="1" x14ac:dyDescent="0.3">
      <c r="A4563" s="828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t="19.5" hidden="1" thickBot="1" x14ac:dyDescent="0.3">
      <c r="A4564" s="829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830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t="19.5" hidden="1" thickBot="1" x14ac:dyDescent="0.3">
      <c r="A4567" s="828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t="19.5" hidden="1" thickBot="1" x14ac:dyDescent="0.3">
      <c r="A4568" s="829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830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t="19.5" hidden="1" thickBot="1" x14ac:dyDescent="0.3">
      <c r="A4570" s="831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832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t="19.5" hidden="1" thickBot="1" x14ac:dyDescent="0.3">
      <c r="A4572" s="828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t="19.5" hidden="1" thickBot="1" x14ac:dyDescent="0.3">
      <c r="A4573" s="829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830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8.2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831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38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836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40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832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39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t="19.5" hidden="1" thickBot="1" x14ac:dyDescent="0.3">
      <c r="A4582" s="828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t="19.5" hidden="1" thickBot="1" x14ac:dyDescent="0.3">
      <c r="A4583" s="829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830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4.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t="19.5" hidden="1" thickBot="1" x14ac:dyDescent="0.3">
      <c r="A4586" s="828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830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t="19.5" hidden="1" thickBot="1" x14ac:dyDescent="0.3">
      <c r="A4591" s="828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830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t="19.5" hidden="1" thickBot="1" x14ac:dyDescent="0.3">
      <c r="A4593" s="831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t="19.5" hidden="1" thickBot="1" x14ac:dyDescent="0.3">
      <c r="A4594" s="836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832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t="19.5" hidden="1" thickBot="1" x14ac:dyDescent="0.3">
      <c r="A4597" s="831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832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t="19.5" hidden="1" thickBot="1" x14ac:dyDescent="0.3">
      <c r="A4601" s="828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t="19.5" hidden="1" thickBot="1" x14ac:dyDescent="0.3">
      <c r="A4602" s="829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t="19.5" hidden="1" thickBot="1" x14ac:dyDescent="0.3">
      <c r="A4605" s="831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t="19.5" hidden="1" thickBot="1" x14ac:dyDescent="0.3">
      <c r="A4606" s="836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t="19.5" hidden="1" thickBot="1" x14ac:dyDescent="0.3">
      <c r="A4607" s="836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832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t="19.5" hidden="1" thickBot="1" x14ac:dyDescent="0.3">
      <c r="A4610" s="831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832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831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38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832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39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t="19.5" hidden="1" thickBot="1" x14ac:dyDescent="0.3">
      <c r="A4617" s="828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830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t="19.5" hidden="1" thickBot="1" x14ac:dyDescent="0.3">
      <c r="A4622" s="828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t="19.5" hidden="1" thickBot="1" x14ac:dyDescent="0.3">
      <c r="A4623" s="829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t="19.5" hidden="1" thickBot="1" x14ac:dyDescent="0.3">
      <c r="A4627" s="828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830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t="19.5" hidden="1" thickBot="1" x14ac:dyDescent="0.3">
      <c r="A4629" s="831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t="19.5" hidden="1" thickBot="1" x14ac:dyDescent="0.3">
      <c r="A4630" s="836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t="19.5" hidden="1" thickBot="1" x14ac:dyDescent="0.3">
      <c r="A4631" s="836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832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t="19.5" hidden="1" thickBot="1" x14ac:dyDescent="0.3">
      <c r="A4633" s="828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t="19.5" hidden="1" thickBot="1" x14ac:dyDescent="0.3">
      <c r="A4634" s="829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t="19.5" hidden="1" thickBot="1" x14ac:dyDescent="0.3">
      <c r="A4635" s="831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832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7" hidden="1" thickBot="1" x14ac:dyDescent="0.3">
      <c r="A4640" s="831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832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t="19.5" hidden="1" thickBot="1" x14ac:dyDescent="0.3">
      <c r="A4643" s="831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t="19.5" hidden="1" thickBot="1" x14ac:dyDescent="0.3">
      <c r="A4644" s="836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832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t="19.5" hidden="1" thickBot="1" x14ac:dyDescent="0.3">
      <c r="A4646" s="828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t="19.5" hidden="1" thickBot="1" x14ac:dyDescent="0.3">
      <c r="A4647" s="829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830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t="19.5" hidden="1" thickBot="1" x14ac:dyDescent="0.3">
      <c r="A4649" s="831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832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t="19.5" hidden="1" thickBot="1" x14ac:dyDescent="0.3">
      <c r="A4653" s="828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t="19.5" hidden="1" thickBot="1" x14ac:dyDescent="0.3">
      <c r="A4654" s="829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830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t="19.5" hidden="1" thickBot="1" x14ac:dyDescent="0.3">
      <c r="A4656" s="831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832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t="19.5" hidden="1" thickBot="1" x14ac:dyDescent="0.3">
      <c r="A4662" s="828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830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t="19.5" hidden="1" thickBot="1" x14ac:dyDescent="0.3">
      <c r="A4664" s="831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832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828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829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830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836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836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828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829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831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832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828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829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829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830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831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832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828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830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831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832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831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38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832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39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t="19.5" hidden="1" thickBot="1" x14ac:dyDescent="0.3">
      <c r="A4703" s="831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t="19.5" hidden="1" thickBot="1" x14ac:dyDescent="0.3">
      <c r="A4704" s="836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832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t="19.5" hidden="1" thickBot="1" x14ac:dyDescent="0.3">
      <c r="A4706" s="828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t="19.5" hidden="1" thickBot="1" x14ac:dyDescent="0.3">
      <c r="A4707" s="829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830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t="19.5" hidden="1" thickBot="1" x14ac:dyDescent="0.3">
      <c r="A4709" s="831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t="19.5" hidden="1" thickBot="1" x14ac:dyDescent="0.3">
      <c r="A4710" s="836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832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t="19.5" hidden="1" thickBot="1" x14ac:dyDescent="0.3">
      <c r="A4714" s="828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t="19.5" hidden="1" thickBot="1" x14ac:dyDescent="0.3">
      <c r="A4715" s="829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t="19.5" hidden="1" thickBot="1" x14ac:dyDescent="0.3">
      <c r="A4719" s="828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830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t="19.5" hidden="1" thickBot="1" x14ac:dyDescent="0.3">
      <c r="A4721" s="831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t="19.5" hidden="1" thickBot="1" x14ac:dyDescent="0.3">
      <c r="A4722" s="836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t="19.5" hidden="1" thickBot="1" x14ac:dyDescent="0.3">
      <c r="A4723" s="828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830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t="19.5" hidden="1" thickBot="1" x14ac:dyDescent="0.3">
      <c r="A4727" s="831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832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828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41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829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81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829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81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830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42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828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829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830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828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41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830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42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831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836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831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836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832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828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829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830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831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38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832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39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831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832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t="19.5" hidden="1" thickBot="1" x14ac:dyDescent="0.3">
      <c r="A4756" s="828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t="19.5" hidden="1" thickBot="1" x14ac:dyDescent="0.3">
      <c r="A4757" s="829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t="19.5" hidden="1" thickBot="1" x14ac:dyDescent="0.3">
      <c r="A4761" s="828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t="19.5" hidden="1" thickBot="1" x14ac:dyDescent="0.3">
      <c r="A4762" s="829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t="19.5" hidden="1" thickBot="1" x14ac:dyDescent="0.3">
      <c r="A4763" s="829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830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t="19.5" hidden="1" thickBot="1" x14ac:dyDescent="0.3">
      <c r="A4765" s="831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38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t="19.5" hidden="1" thickBot="1" x14ac:dyDescent="0.3">
      <c r="A4766" s="836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40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t="19.5" hidden="1" thickBot="1" x14ac:dyDescent="0.3">
      <c r="A4767" s="828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830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t="19.5" hidden="1" thickBot="1" x14ac:dyDescent="0.3">
      <c r="A4770" s="828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830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t="19.5" hidden="1" thickBot="1" x14ac:dyDescent="0.3">
      <c r="A4772" s="831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832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t="19.5" hidden="1" thickBot="1" x14ac:dyDescent="0.3">
      <c r="A4774" s="828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830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831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38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832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39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t="19.5" hidden="1" thickBot="1" x14ac:dyDescent="0.3">
      <c r="A4785" s="831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t="19.5" hidden="1" thickBot="1" x14ac:dyDescent="0.3">
      <c r="A4786" s="836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832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t="19.5" hidden="1" thickBot="1" x14ac:dyDescent="0.3">
      <c r="A4788" s="828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t="19.5" hidden="1" thickBot="1" x14ac:dyDescent="0.3">
      <c r="A4789" s="829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830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828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41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830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42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t="19.5" hidden="1" thickBot="1" x14ac:dyDescent="0.3">
      <c r="A4794" s="831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832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t="19.5" hidden="1" thickBot="1" x14ac:dyDescent="0.3">
      <c r="A4799" s="831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t="19.5" hidden="1" thickBot="1" x14ac:dyDescent="0.3">
      <c r="A4800" s="836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t="19.5" hidden="1" thickBot="1" x14ac:dyDescent="0.3">
      <c r="A4806" s="831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832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t="19.5" hidden="1" thickBot="1" x14ac:dyDescent="0.3">
      <c r="A4808" s="828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t="19.5" hidden="1" thickBot="1" x14ac:dyDescent="0.3">
      <c r="A4809" s="829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t="19.5" hidden="1" thickBot="1" x14ac:dyDescent="0.3">
      <c r="A4810" s="829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t="19.5" hidden="1" thickBot="1" x14ac:dyDescent="0.3">
      <c r="A4811" s="829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t="19.5" hidden="1" thickBot="1" x14ac:dyDescent="0.3">
      <c r="A4812" s="831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832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t="19.5" hidden="1" thickBot="1" x14ac:dyDescent="0.3">
      <c r="A4816" s="828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830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t="19.5" hidden="1" thickBot="1" x14ac:dyDescent="0.3">
      <c r="A4818" s="831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832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t="19.5" hidden="1" thickBot="1" x14ac:dyDescent="0.3">
      <c r="A4820" s="828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41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t="19.5" hidden="1" thickBot="1" x14ac:dyDescent="0.3">
      <c r="A4821" s="829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81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830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42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t="19.5" hidden="1" thickBot="1" x14ac:dyDescent="0.3">
      <c r="A4825" s="831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832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t="19.5" hidden="1" thickBot="1" x14ac:dyDescent="0.3">
      <c r="A4830" s="831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38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832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39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t="19.5" hidden="1" thickBot="1" x14ac:dyDescent="0.3">
      <c r="A4832" s="828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830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t="19.5" hidden="1" thickBot="1" x14ac:dyDescent="0.3">
      <c r="A4834" s="831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t="19.5" hidden="1" thickBot="1" x14ac:dyDescent="0.3">
      <c r="A4835" s="836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t="19.5" hidden="1" thickBot="1" x14ac:dyDescent="0.3">
      <c r="A4836" s="836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832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828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41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830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42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t="19.5" hidden="1" thickBot="1" x14ac:dyDescent="0.3">
      <c r="A4840" s="831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832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t="19.5" hidden="1" thickBot="1" x14ac:dyDescent="0.3">
      <c r="A4842" s="828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830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t="19.5" hidden="1" thickBot="1" x14ac:dyDescent="0.3">
      <c r="A4844" s="831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832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t="19.5" hidden="1" thickBot="1" x14ac:dyDescent="0.3">
      <c r="A4846" s="828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t="19.5" hidden="1" thickBot="1" x14ac:dyDescent="0.3">
      <c r="A4847" s="829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t="19.5" hidden="1" thickBot="1" x14ac:dyDescent="0.3">
      <c r="A4854" s="831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38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832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39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t="19.5" hidden="1" thickBot="1" x14ac:dyDescent="0.3">
      <c r="A4856" s="828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t="19.5" hidden="1" thickBot="1" x14ac:dyDescent="0.3">
      <c r="A4857" s="829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t="19.5" hidden="1" thickBot="1" x14ac:dyDescent="0.3">
      <c r="A4858" s="829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t="19.5" hidden="1" thickBot="1" x14ac:dyDescent="0.3">
      <c r="A4859" s="831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832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831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38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832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39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t="19.5" hidden="1" thickBot="1" x14ac:dyDescent="0.3">
      <c r="A4868" s="828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t="19.5" hidden="1" thickBot="1" x14ac:dyDescent="0.3">
      <c r="A4869" s="829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t="19.5" hidden="1" thickBot="1" x14ac:dyDescent="0.3">
      <c r="A4870" s="829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830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t="19.5" hidden="1" thickBot="1" x14ac:dyDescent="0.3">
      <c r="A4872" s="831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832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t="19.5" hidden="1" thickBot="1" x14ac:dyDescent="0.3">
      <c r="A4878" s="828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t="19.5" hidden="1" thickBot="1" x14ac:dyDescent="0.3">
      <c r="A4879" s="829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830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t="19.5" hidden="1" thickBot="1" x14ac:dyDescent="0.3">
      <c r="A4881" s="831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t="19.5" hidden="1" thickBot="1" x14ac:dyDescent="0.3">
      <c r="A4882" s="836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t="19.5" hidden="1" thickBot="1" x14ac:dyDescent="0.3">
      <c r="A4883" s="836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832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t="19.5" hidden="1" thickBot="1" x14ac:dyDescent="0.3">
      <c r="A4887" s="828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830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t="19.5" hidden="1" thickBot="1" x14ac:dyDescent="0.3">
      <c r="A4889" s="831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832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t="19.5" hidden="1" thickBot="1" x14ac:dyDescent="0.3">
      <c r="A4891" s="828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830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831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38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832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39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t="19.5" hidden="1" thickBot="1" x14ac:dyDescent="0.3">
      <c r="A4897" s="828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t="19.5" hidden="1" thickBot="1" x14ac:dyDescent="0.3">
      <c r="A4898" s="829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t="19.5" hidden="1" thickBot="1" x14ac:dyDescent="0.3">
      <c r="A4900" s="828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t="19.5" hidden="1" thickBot="1" x14ac:dyDescent="0.3">
      <c r="A4901" s="829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830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831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38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836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40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t="19.5" hidden="1" thickBot="1" x14ac:dyDescent="0.3">
      <c r="A4905" s="828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830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t="19.5" hidden="1" thickBot="1" x14ac:dyDescent="0.3">
      <c r="A4908" s="828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t="19.5" hidden="1" thickBot="1" x14ac:dyDescent="0.3">
      <c r="A4909" s="829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830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t="19.5" hidden="1" thickBot="1" x14ac:dyDescent="0.3">
      <c r="A4911" s="831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t="19.5" hidden="1" thickBot="1" x14ac:dyDescent="0.3">
      <c r="A4912" s="836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832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t="19.5" hidden="1" thickBot="1" x14ac:dyDescent="0.3">
      <c r="A4917" s="831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832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t="19.5" hidden="1" thickBot="1" x14ac:dyDescent="0.3">
      <c r="A4924" s="831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832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t="19.5" hidden="1" thickBot="1" x14ac:dyDescent="0.3">
      <c r="A4926" s="828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t="19.5" hidden="1" thickBot="1" x14ac:dyDescent="0.3">
      <c r="A4927" s="829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t="19.5" hidden="1" thickBot="1" x14ac:dyDescent="0.3">
      <c r="A4928" s="829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830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t="19.5" hidden="1" thickBot="1" x14ac:dyDescent="0.3">
      <c r="A4930" s="831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38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832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39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t="19.5" hidden="1" thickBot="1" x14ac:dyDescent="0.3">
      <c r="A4933" s="831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832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828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41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830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42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t="19.5" hidden="1" thickBot="1" x14ac:dyDescent="0.3">
      <c r="A4939" s="831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t="19.5" hidden="1" thickBot="1" x14ac:dyDescent="0.3">
      <c r="A4940" s="836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t="19.5" hidden="1" thickBot="1" x14ac:dyDescent="0.3">
      <c r="A4941" s="836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t="19.5" hidden="1" thickBot="1" x14ac:dyDescent="0.3">
      <c r="A4942" s="828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830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t="19.5" hidden="1" thickBot="1" x14ac:dyDescent="0.3">
      <c r="A4946" s="831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832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t="19.5" hidden="1" thickBot="1" x14ac:dyDescent="0.3">
      <c r="A4948" s="828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830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831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38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832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39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t="19.5" hidden="1" thickBot="1" x14ac:dyDescent="0.3">
      <c r="A4954" s="828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830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t="19.5" hidden="1" thickBot="1" x14ac:dyDescent="0.3">
      <c r="A4956" s="831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832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t="19.5" hidden="1" thickBot="1" x14ac:dyDescent="0.3">
      <c r="A4960" s="828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41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830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42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t="19.5" hidden="1" thickBot="1" x14ac:dyDescent="0.3">
      <c r="A4964" s="831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832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t="19.5" hidden="1" thickBot="1" x14ac:dyDescent="0.3">
      <c r="A4966" s="828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t="19.5" hidden="1" thickBot="1" x14ac:dyDescent="0.3">
      <c r="A4967" s="829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830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t="19.5" hidden="1" thickBot="1" x14ac:dyDescent="0.3">
      <c r="A4969" s="831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832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t="19.5" hidden="1" thickBot="1" x14ac:dyDescent="0.3">
      <c r="A4971" s="828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t="19.5" hidden="1" thickBot="1" x14ac:dyDescent="0.3">
      <c r="A4972" s="829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830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t="19.5" hidden="1" thickBot="1" x14ac:dyDescent="0.3">
      <c r="A4977" s="828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41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830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42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t="19.5" hidden="1" thickBot="1" x14ac:dyDescent="0.3">
      <c r="A4979" s="831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t="19.5" hidden="1" thickBot="1" x14ac:dyDescent="0.3">
      <c r="A4980" s="836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t="19.5" hidden="1" thickBot="1" x14ac:dyDescent="0.3">
      <c r="A4983" s="828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t="19.5" hidden="1" thickBot="1" x14ac:dyDescent="0.3">
      <c r="A4984" s="829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t="19.5" hidden="1" thickBot="1" x14ac:dyDescent="0.3">
      <c r="A4985" s="829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t="19.5" hidden="1" thickBot="1" x14ac:dyDescent="0.3">
      <c r="A4986" s="831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832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t="19.5" hidden="1" thickBot="1" x14ac:dyDescent="0.3">
      <c r="A4989" s="831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t="19.5" hidden="1" thickBot="1" x14ac:dyDescent="0.3">
      <c r="A4990" s="836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832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t="19.5" hidden="1" thickBot="1" x14ac:dyDescent="0.3">
      <c r="A4992" s="828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t="19.5" hidden="1" thickBot="1" x14ac:dyDescent="0.3">
      <c r="A4993" s="829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830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828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41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830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42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t="19.5" hidden="1" thickBot="1" x14ac:dyDescent="0.3">
      <c r="A4999" s="828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41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830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42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t="19.5" hidden="1" thickBot="1" x14ac:dyDescent="0.3">
      <c r="A5001" s="831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t="19.5" hidden="1" thickBot="1" x14ac:dyDescent="0.3">
      <c r="A5002" s="836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t="19.5" hidden="1" thickBot="1" x14ac:dyDescent="0.3">
      <c r="A5006" s="831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t="19.5" hidden="1" thickBot="1" x14ac:dyDescent="0.3">
      <c r="A5007" s="836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832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t="19.5" hidden="1" thickBot="1" x14ac:dyDescent="0.3">
      <c r="A5009" s="828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t="19.5" hidden="1" thickBot="1" x14ac:dyDescent="0.3">
      <c r="A5010" s="829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830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t="19.5" hidden="1" thickBot="1" x14ac:dyDescent="0.3">
      <c r="A5012" s="831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832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t="19.5" hidden="1" thickBot="1" x14ac:dyDescent="0.3">
      <c r="A5014" s="828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830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828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41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830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42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t="19.5" hidden="1" thickBot="1" x14ac:dyDescent="0.3">
      <c r="A5026" s="828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t="19.5" hidden="1" thickBot="1" x14ac:dyDescent="0.3">
      <c r="A5027" s="829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t="19.5" hidden="1" thickBot="1" x14ac:dyDescent="0.3">
      <c r="A5028" s="829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t="19.5" hidden="1" thickBot="1" x14ac:dyDescent="0.3">
      <c r="A5029" s="831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832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828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41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830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42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t="19.5" hidden="1" thickBot="1" x14ac:dyDescent="0.3">
      <c r="A5037" s="831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832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t="19.5" hidden="1" thickBot="1" x14ac:dyDescent="0.3">
      <c r="A5039" s="828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t="19.5" hidden="1" thickBot="1" x14ac:dyDescent="0.3">
      <c r="A5040" s="829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830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t="19.5" hidden="1" thickBot="1" x14ac:dyDescent="0.3">
      <c r="A5042" s="831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38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t="19.5" hidden="1" thickBot="1" x14ac:dyDescent="0.3">
      <c r="A5043" s="836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40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t="19.5" hidden="1" thickBot="1" x14ac:dyDescent="0.3">
      <c r="A5044" s="836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40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t="19.5" hidden="1" thickBot="1" x14ac:dyDescent="0.3">
      <c r="A5047" s="828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41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830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42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t="19.5" hidden="1" thickBot="1" x14ac:dyDescent="0.3">
      <c r="A5049" s="836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t="19.5" hidden="1" thickBot="1" x14ac:dyDescent="0.3">
      <c r="A5050" s="836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t="19.5" hidden="1" thickBot="1" x14ac:dyDescent="0.3">
      <c r="A5051" s="836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t="19.5" hidden="1" thickBot="1" x14ac:dyDescent="0.3">
      <c r="A5052" s="836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t="19.5" hidden="1" thickBot="1" x14ac:dyDescent="0.3">
      <c r="A5054" s="836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t="19.5" hidden="1" thickBot="1" x14ac:dyDescent="0.3">
      <c r="A5055" s="836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t="19.5" hidden="1" thickBot="1" x14ac:dyDescent="0.3">
      <c r="A5059" s="831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t="19.5" hidden="1" thickBot="1" x14ac:dyDescent="0.3">
      <c r="A5060" s="836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t="19.5" hidden="1" thickBot="1" x14ac:dyDescent="0.3">
      <c r="A5063" s="828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830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t="19.5" hidden="1" thickBot="1" x14ac:dyDescent="0.3">
      <c r="A5065" s="831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38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t="19.5" hidden="1" thickBot="1" x14ac:dyDescent="0.3">
      <c r="A5066" s="836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85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t="19.5" hidden="1" thickBot="1" x14ac:dyDescent="0.3">
      <c r="A5067" s="836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t="19.5" hidden="1" thickBot="1" x14ac:dyDescent="0.3">
      <c r="A5068" s="836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t="19.5" hidden="1" thickBot="1" x14ac:dyDescent="0.3">
      <c r="A5069" s="836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8.25" hidden="1" thickBot="1" x14ac:dyDescent="0.3">
      <c r="A5070" s="828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830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t="19.5" hidden="1" thickBot="1" x14ac:dyDescent="0.3">
      <c r="A5074" s="831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t="19.5" hidden="1" thickBot="1" x14ac:dyDescent="0.3">
      <c r="A5075" s="836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832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t="19.5" hidden="1" thickBot="1" x14ac:dyDescent="0.3">
      <c r="A5077" s="828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830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t="19.5" hidden="1" thickBot="1" x14ac:dyDescent="0.3">
      <c r="A5079" s="831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832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7" hidden="1" thickBot="1" x14ac:dyDescent="0.3">
      <c r="A5082" s="831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832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t="19.5" hidden="1" thickBot="1" x14ac:dyDescent="0.3">
      <c r="A5084" s="828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41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t="19.5" hidden="1" thickBot="1" x14ac:dyDescent="0.3">
      <c r="A5085" s="829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81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830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42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t="19.5" hidden="1" thickBot="1" x14ac:dyDescent="0.3">
      <c r="A5087" s="831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836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t="19.5" hidden="1" thickBot="1" x14ac:dyDescent="0.3">
      <c r="A5091" s="828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41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830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42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t="19.5" hidden="1" thickBot="1" x14ac:dyDescent="0.3">
      <c r="A5094" s="828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t="19.5" hidden="1" thickBot="1" x14ac:dyDescent="0.3">
      <c r="A5095" s="829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t="19.5" hidden="1" thickBot="1" x14ac:dyDescent="0.3">
      <c r="A5096" s="829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830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t="19.5" hidden="1" thickBot="1" x14ac:dyDescent="0.3">
      <c r="A5099" s="828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t="19.5" hidden="1" thickBot="1" x14ac:dyDescent="0.3">
      <c r="A5100" s="829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830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t="19.5" hidden="1" thickBot="1" x14ac:dyDescent="0.3">
      <c r="A5102" s="831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t="19.5" hidden="1" thickBot="1" x14ac:dyDescent="0.3">
      <c r="A5103" s="836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832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8.2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t="19.5" hidden="1" thickBot="1" x14ac:dyDescent="0.3">
      <c r="A5110" s="831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38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t="19.5" hidden="1" thickBot="1" x14ac:dyDescent="0.3">
      <c r="A5111" s="836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40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t="19.5" hidden="1" thickBot="1" x14ac:dyDescent="0.3">
      <c r="A5112" s="836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40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t="19.5" hidden="1" thickBot="1" x14ac:dyDescent="0.3">
      <c r="A5113" s="836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40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t="19.5" hidden="1" thickBot="1" x14ac:dyDescent="0.3">
      <c r="A5114" s="828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830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t="19.5" hidden="1" thickBot="1" x14ac:dyDescent="0.3">
      <c r="A5116" s="831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38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832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39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t="19.5" hidden="1" thickBot="1" x14ac:dyDescent="0.3">
      <c r="A5121" s="831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832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t="19.5" hidden="1" thickBot="1" x14ac:dyDescent="0.3">
      <c r="A5123" s="828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t="19.5" hidden="1" thickBot="1" x14ac:dyDescent="0.3">
      <c r="A5124" s="829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830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t="19.5" hidden="1" thickBot="1" x14ac:dyDescent="0.3">
      <c r="A5126" s="831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38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832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39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t="19.5" hidden="1" thickBot="1" x14ac:dyDescent="0.3">
      <c r="A5128" s="828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t="19.5" hidden="1" thickBot="1" x14ac:dyDescent="0.3">
      <c r="A5129" s="829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t="19.5" hidden="1" thickBot="1" x14ac:dyDescent="0.3">
      <c r="A5134" s="831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t="19.5" hidden="1" thickBot="1" x14ac:dyDescent="0.3">
      <c r="A5135" s="836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t="19.5" hidden="1" thickBot="1" x14ac:dyDescent="0.3">
      <c r="A5136" s="836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832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t="19.5" hidden="1" thickBot="1" x14ac:dyDescent="0.3">
      <c r="A5138" s="828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830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831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38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832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39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t="19.5" hidden="1" thickBot="1" x14ac:dyDescent="0.3">
      <c r="A5142" s="828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t="19.5" hidden="1" thickBot="1" x14ac:dyDescent="0.3">
      <c r="A5143" s="829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830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t="19.5" hidden="1" thickBot="1" x14ac:dyDescent="0.3">
      <c r="A5146" s="828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t="19.5" hidden="1" thickBot="1" x14ac:dyDescent="0.3">
      <c r="A5147" s="829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t="19.5" hidden="1" thickBot="1" x14ac:dyDescent="0.3">
      <c r="A5150" s="831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t="19.5" hidden="1" thickBot="1" x14ac:dyDescent="0.3">
      <c r="A5151" s="836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t="19.5" hidden="1" thickBot="1" x14ac:dyDescent="0.3">
      <c r="A5152" s="836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t="19.5" hidden="1" thickBot="1" x14ac:dyDescent="0.3">
      <c r="A5153" s="828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830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t="19.5" hidden="1" thickBot="1" x14ac:dyDescent="0.3">
      <c r="A5156" s="828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t="19.5" hidden="1" thickBot="1" x14ac:dyDescent="0.3">
      <c r="A5157" s="829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t="19.5" hidden="1" thickBot="1" x14ac:dyDescent="0.3">
      <c r="A5158" s="829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830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t="19.5" hidden="1" thickBot="1" x14ac:dyDescent="0.3">
      <c r="A5161" s="828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830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t="19.5" hidden="1" thickBot="1" x14ac:dyDescent="0.3">
      <c r="A5164" s="828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t="19.5" hidden="1" thickBot="1" x14ac:dyDescent="0.3">
      <c r="A5165" s="829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t="19.5" hidden="1" thickBot="1" x14ac:dyDescent="0.3">
      <c r="A5172" s="831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t="19.5" hidden="1" thickBot="1" x14ac:dyDescent="0.3">
      <c r="A5173" s="836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7" hidden="1" thickBot="1" x14ac:dyDescent="0.3">
      <c r="A5174" s="836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832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t="19.5" hidden="1" thickBot="1" x14ac:dyDescent="0.3">
      <c r="A5176" s="828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t="19.5" hidden="1" thickBot="1" x14ac:dyDescent="0.3">
      <c r="A5177" s="829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830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t="19.5" hidden="1" thickBot="1" x14ac:dyDescent="0.3">
      <c r="A5179" s="831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832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t="19.5" hidden="1" thickBot="1" x14ac:dyDescent="0.3">
      <c r="A5181" s="828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830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t="19.5" hidden="1" thickBot="1" x14ac:dyDescent="0.3">
      <c r="A5183" s="831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832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t="19.5" hidden="1" thickBot="1" x14ac:dyDescent="0.3">
      <c r="A5188" s="831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38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836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40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t="19.5" hidden="1" thickBot="1" x14ac:dyDescent="0.3">
      <c r="A5192" s="828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t="19.5" hidden="1" thickBot="1" x14ac:dyDescent="0.3">
      <c r="A5193" s="829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t="19.5" hidden="1" thickBot="1" x14ac:dyDescent="0.3">
      <c r="A5194" s="829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830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t="19.5" hidden="1" thickBot="1" x14ac:dyDescent="0.3">
      <c r="A5196" s="831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38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832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39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t="19.5" hidden="1" thickBot="1" x14ac:dyDescent="0.3">
      <c r="A5199" s="831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832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831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38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832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39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t="19.5" hidden="1" thickBot="1" x14ac:dyDescent="0.3">
      <c r="A5205" s="831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t="19.5" hidden="1" thickBot="1" x14ac:dyDescent="0.3">
      <c r="A5206" s="836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832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t="19.5" hidden="1" thickBot="1" x14ac:dyDescent="0.3">
      <c r="A5210" s="828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830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t="19.5" hidden="1" thickBot="1" x14ac:dyDescent="0.3">
      <c r="A5212" s="831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832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t="19.5" hidden="1" thickBot="1" x14ac:dyDescent="0.3">
      <c r="A5216" s="828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41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830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42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t="19.5" hidden="1" thickBot="1" x14ac:dyDescent="0.3">
      <c r="A5219" s="828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t="19.5" hidden="1" thickBot="1" x14ac:dyDescent="0.3">
      <c r="A5220" s="829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830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t="19.5" hidden="1" thickBot="1" x14ac:dyDescent="0.3">
      <c r="A5222" s="831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t="19.5" hidden="1" thickBot="1" x14ac:dyDescent="0.3">
      <c r="A5223" s="836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t="19.5" hidden="1" thickBot="1" x14ac:dyDescent="0.3">
      <c r="A5224" s="836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832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t="19.5" hidden="1" thickBot="1" x14ac:dyDescent="0.3">
      <c r="A5226" s="828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t="19.5" hidden="1" thickBot="1" x14ac:dyDescent="0.3">
      <c r="A5227" s="829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830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t="19.5" hidden="1" thickBot="1" x14ac:dyDescent="0.3">
      <c r="A5229" s="831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t="19.5" hidden="1" thickBot="1" x14ac:dyDescent="0.3">
      <c r="A5230" s="836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t="19.5" hidden="1" thickBot="1" x14ac:dyDescent="0.3">
      <c r="A5232" s="831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38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832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39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t="19.5" hidden="1" thickBot="1" x14ac:dyDescent="0.3">
      <c r="A5234" s="828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t="19.5" hidden="1" thickBot="1" x14ac:dyDescent="0.3">
      <c r="A5235" s="829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t="19.5" hidden="1" thickBot="1" x14ac:dyDescent="0.3">
      <c r="A5240" s="831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t="19.5" hidden="1" thickBot="1" x14ac:dyDescent="0.3">
      <c r="A5241" s="836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t="19.5" hidden="1" thickBot="1" x14ac:dyDescent="0.3">
      <c r="A5242" s="836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t="19.5" hidden="1" thickBot="1" x14ac:dyDescent="0.3">
      <c r="A5243" s="828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830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t="19.5" hidden="1" thickBot="1" x14ac:dyDescent="0.3">
      <c r="A5247" s="831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t="19.5" hidden="1" thickBot="1" x14ac:dyDescent="0.3">
      <c r="A5248" s="836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832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t="19.5" hidden="1" thickBot="1" x14ac:dyDescent="0.3">
      <c r="A5250" s="828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830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t="19.5" hidden="1" thickBot="1" x14ac:dyDescent="0.3">
      <c r="A5254" s="831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832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t="19.5" hidden="1" thickBot="1" x14ac:dyDescent="0.3">
      <c r="A5260" s="828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830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t="19.5" hidden="1" thickBot="1" x14ac:dyDescent="0.3">
      <c r="A5262" s="831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832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t="19.5" hidden="1" thickBot="1" x14ac:dyDescent="0.3">
      <c r="A5265" s="831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832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t="19.5" hidden="1" thickBot="1" x14ac:dyDescent="0.3">
      <c r="A5267" s="828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t="19.5" hidden="1" thickBot="1" x14ac:dyDescent="0.3">
      <c r="A5268" s="829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830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t="19.5" hidden="1" thickBot="1" x14ac:dyDescent="0.3">
      <c r="A5270" s="831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832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t="19.5" hidden="1" thickBot="1" x14ac:dyDescent="0.3">
      <c r="A5272" s="828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830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t="19.5" hidden="1" thickBot="1" x14ac:dyDescent="0.3">
      <c r="A5275" s="828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41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t="19.5" hidden="1" thickBot="1" x14ac:dyDescent="0.3">
      <c r="A5276" s="829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81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t="19.5" hidden="1" thickBot="1" x14ac:dyDescent="0.3">
      <c r="A5279" s="831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t="19.5" hidden="1" thickBot="1" x14ac:dyDescent="0.3">
      <c r="A5280" s="836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t="19.5" hidden="1" thickBot="1" x14ac:dyDescent="0.3">
      <c r="A5281" s="836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t="19.5" hidden="1" thickBot="1" x14ac:dyDescent="0.3">
      <c r="A5282" s="828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830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t="19.5" hidden="1" thickBot="1" x14ac:dyDescent="0.3">
      <c r="A5286" s="831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t="19.5" hidden="1" thickBot="1" x14ac:dyDescent="0.3">
      <c r="A5287" s="836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t="19.5" hidden="1" thickBot="1" x14ac:dyDescent="0.3">
      <c r="A5288" s="836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832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t="19.5" hidden="1" thickBot="1" x14ac:dyDescent="0.3">
      <c r="A5290" s="828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t="19.5" hidden="1" thickBot="1" x14ac:dyDescent="0.3">
      <c r="A5291" s="829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830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t="19.5" hidden="1" thickBot="1" x14ac:dyDescent="0.3">
      <c r="A5296" s="828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t="19.5" hidden="1" thickBot="1" x14ac:dyDescent="0.3">
      <c r="A5297" s="829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t="19.5" hidden="1" thickBot="1" x14ac:dyDescent="0.3">
      <c r="A5298" s="831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832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t="19.5" hidden="1" thickBot="1" x14ac:dyDescent="0.3">
      <c r="A5302" s="828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t="19.5" hidden="1" thickBot="1" x14ac:dyDescent="0.3">
      <c r="A5303" s="829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830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t="19.5" hidden="1" thickBot="1" x14ac:dyDescent="0.3">
      <c r="A5305" s="831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t="19.5" hidden="1" thickBot="1" x14ac:dyDescent="0.3">
      <c r="A5306" s="836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t="19.5" hidden="1" thickBot="1" x14ac:dyDescent="0.3">
      <c r="A5307" s="836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832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t="19.5" hidden="1" thickBot="1" x14ac:dyDescent="0.3">
      <c r="A5309" s="828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830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t="19.5" hidden="1" thickBot="1" x14ac:dyDescent="0.3">
      <c r="A5311" s="831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832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t="19.5" hidden="1" thickBot="1" x14ac:dyDescent="0.3">
      <c r="A5316" s="831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t="19.5" hidden="1" thickBot="1" x14ac:dyDescent="0.3">
      <c r="A5317" s="836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t="19.5" hidden="1" thickBot="1" x14ac:dyDescent="0.3">
      <c r="A5321" s="831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38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t="19.5" hidden="1" thickBot="1" x14ac:dyDescent="0.3">
      <c r="A5322" s="836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40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t="19.5" hidden="1" thickBot="1" x14ac:dyDescent="0.3">
      <c r="A5323" s="836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40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t="19.5" hidden="1" thickBot="1" x14ac:dyDescent="0.3">
      <c r="A5324" s="836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40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t="19.5" hidden="1" thickBot="1" x14ac:dyDescent="0.3">
      <c r="A5325" s="836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40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t="19.5" hidden="1" thickBot="1" x14ac:dyDescent="0.3">
      <c r="A5326" s="828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830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t="19.5" hidden="1" thickBot="1" x14ac:dyDescent="0.3">
      <c r="A5331" s="828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t="19.5" hidden="1" thickBot="1" x14ac:dyDescent="0.3">
      <c r="A5332" s="829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t="19.5" hidden="1" thickBot="1" x14ac:dyDescent="0.3">
      <c r="A5333" s="829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830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t="19.5" hidden="1" thickBot="1" x14ac:dyDescent="0.3">
      <c r="A5338" s="828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7" hidden="1" thickBot="1" x14ac:dyDescent="0.3">
      <c r="A5339" s="829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t="19.5" hidden="1" thickBot="1" x14ac:dyDescent="0.3">
      <c r="A5340" s="829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830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t="19.5" hidden="1" thickBot="1" x14ac:dyDescent="0.3">
      <c r="A5342" s="831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832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t="19.5" hidden="1" thickBot="1" x14ac:dyDescent="0.3">
      <c r="A5348" s="828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t="19.5" hidden="1" thickBot="1" x14ac:dyDescent="0.3">
      <c r="A5349" s="829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830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t="19.5" hidden="1" thickBot="1" x14ac:dyDescent="0.3">
      <c r="A5351" s="831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t="19.5" hidden="1" thickBot="1" x14ac:dyDescent="0.3">
      <c r="A5352" s="836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832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t="19.5" hidden="1" thickBot="1" x14ac:dyDescent="0.3">
      <c r="A5355" s="831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t="19.5" hidden="1" thickBot="1" x14ac:dyDescent="0.3">
      <c r="A5356" s="836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832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t="19.5" hidden="1" thickBot="1" x14ac:dyDescent="0.3">
      <c r="A5358" s="828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830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t="19.5" hidden="1" thickBot="1" x14ac:dyDescent="0.3">
      <c r="A5363" s="828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41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830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42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t="19.5" hidden="1" thickBot="1" x14ac:dyDescent="0.3">
      <c r="A5370" s="828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41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t="19.5" hidden="1" thickBot="1" x14ac:dyDescent="0.3">
      <c r="A5371" s="829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81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t="19.5" hidden="1" thickBot="1" x14ac:dyDescent="0.3">
      <c r="A5372" s="829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81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t="19.5" hidden="1" thickBot="1" x14ac:dyDescent="0.3">
      <c r="A5373" s="829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81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t="19.5" hidden="1" thickBot="1" x14ac:dyDescent="0.3">
      <c r="A5374" s="831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832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t="19.5" hidden="1" thickBot="1" x14ac:dyDescent="0.3">
      <c r="A5378" s="828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830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t="19.5" hidden="1" thickBot="1" x14ac:dyDescent="0.3">
      <c r="A5380" s="831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832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t="19.5" hidden="1" thickBot="1" x14ac:dyDescent="0.3">
      <c r="A5385" s="831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832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t="19.5" hidden="1" thickBot="1" x14ac:dyDescent="0.3">
      <c r="A5387" s="828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830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t="19.5" hidden="1" thickBot="1" x14ac:dyDescent="0.3">
      <c r="A5394" s="828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t="19.5" hidden="1" thickBot="1" x14ac:dyDescent="0.3">
      <c r="A5395" s="829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t="19.5" hidden="1" thickBot="1" x14ac:dyDescent="0.3">
      <c r="A5396" s="829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830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t="19.5" hidden="1" thickBot="1" x14ac:dyDescent="0.3">
      <c r="A5398" s="836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t="19.5" hidden="1" thickBot="1" x14ac:dyDescent="0.3">
      <c r="A5399" s="836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t="19.5" hidden="1" thickBot="1" x14ac:dyDescent="0.3">
      <c r="A5400" s="828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830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836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40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836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40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t="19.5" hidden="1" thickBot="1" x14ac:dyDescent="0.3">
      <c r="A5406" s="828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t="19.5" hidden="1" thickBot="1" x14ac:dyDescent="0.3">
      <c r="A5407" s="829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t="19.5" hidden="1" thickBot="1" x14ac:dyDescent="0.3">
      <c r="A5408" s="831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38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832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39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t="19.5" hidden="1" thickBot="1" x14ac:dyDescent="0.3">
      <c r="A5412" s="828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t="19.5" hidden="1" thickBot="1" x14ac:dyDescent="0.3">
      <c r="A5413" s="829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t="19.5" hidden="1" thickBot="1" x14ac:dyDescent="0.3">
      <c r="A5416" s="831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38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t="19.5" hidden="1" thickBot="1" x14ac:dyDescent="0.3">
      <c r="A5417" s="836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40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t="19.5" hidden="1" thickBot="1" x14ac:dyDescent="0.3">
      <c r="A5418" s="828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830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t="19.5" hidden="1" thickBot="1" x14ac:dyDescent="0.3">
      <c r="A5420" s="831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832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t="19.5" hidden="1" thickBot="1" x14ac:dyDescent="0.3">
      <c r="A5428" s="828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830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t="19.5" hidden="1" thickBot="1" x14ac:dyDescent="0.3">
      <c r="A5430" s="831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832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t="19.5" hidden="1" thickBot="1" x14ac:dyDescent="0.3">
      <c r="A5432" s="828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830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t="19.5" hidden="1" thickBot="1" x14ac:dyDescent="0.3">
      <c r="A5436" s="831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38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832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39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t="19.5" hidden="1" thickBot="1" x14ac:dyDescent="0.3">
      <c r="A5439" s="831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832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t="19.5" hidden="1" thickBot="1" x14ac:dyDescent="0.3">
      <c r="A5441" s="828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830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t="19.5" hidden="1" thickBot="1" x14ac:dyDescent="0.3">
      <c r="A5443" s="831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832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t="19.5" hidden="1" thickBot="1" x14ac:dyDescent="0.3">
      <c r="A5445" s="828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830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t="19.5" hidden="1" thickBot="1" x14ac:dyDescent="0.3">
      <c r="A5449" s="831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t="19.5" hidden="1" thickBot="1" x14ac:dyDescent="0.3">
      <c r="A5450" s="836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832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t="19.5" hidden="1" thickBot="1" x14ac:dyDescent="0.3">
      <c r="A5452" s="828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830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t="19.5" hidden="1" thickBot="1" x14ac:dyDescent="0.3">
      <c r="A5455" s="828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830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t="19.5" hidden="1" thickBot="1" x14ac:dyDescent="0.3">
      <c r="A5464" s="828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t="19.5" hidden="1" thickBot="1" x14ac:dyDescent="0.3">
      <c r="A5465" s="829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t="19.5" hidden="1" thickBot="1" x14ac:dyDescent="0.3">
      <c r="A5466" s="829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t="19.5" hidden="1" thickBot="1" x14ac:dyDescent="0.3">
      <c r="A5467" s="831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832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t="19.5" hidden="1" thickBot="1" x14ac:dyDescent="0.3">
      <c r="A5470" s="831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832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t="19.5" hidden="1" thickBot="1" x14ac:dyDescent="0.3">
      <c r="A5472" s="828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7" hidden="1" thickBot="1" x14ac:dyDescent="0.3">
      <c r="A5473" s="829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830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t="19.5" hidden="1" thickBot="1" x14ac:dyDescent="0.3">
      <c r="A5476" s="828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t="19.5" hidden="1" thickBot="1" x14ac:dyDescent="0.3">
      <c r="A5477" s="829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830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t="19.5" hidden="1" thickBot="1" x14ac:dyDescent="0.3">
      <c r="A5479" s="831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t="19.5" hidden="1" thickBot="1" x14ac:dyDescent="0.3">
      <c r="A5480" s="836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832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t="19.5" hidden="1" thickBot="1" x14ac:dyDescent="0.3">
      <c r="A5482" s="828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t="19.5" hidden="1" thickBot="1" x14ac:dyDescent="0.3">
      <c r="A5483" s="829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830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t="19.5" hidden="1" thickBot="1" x14ac:dyDescent="0.3">
      <c r="A5485" s="831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t="19.5" hidden="1" thickBot="1" x14ac:dyDescent="0.3">
      <c r="A5486" s="836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t="19.5" hidden="1" thickBot="1" x14ac:dyDescent="0.3">
      <c r="A5489" s="828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41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830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42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t="19.5" hidden="1" thickBot="1" x14ac:dyDescent="0.3">
      <c r="A5493" s="831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t="19.5" hidden="1" thickBot="1" x14ac:dyDescent="0.3">
      <c r="A5494" s="836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832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t="19.5" hidden="1" thickBot="1" x14ac:dyDescent="0.3">
      <c r="A5497" s="831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832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t="19.5" hidden="1" thickBot="1" x14ac:dyDescent="0.3">
      <c r="A5499" s="828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830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t="19.5" hidden="1" thickBot="1" x14ac:dyDescent="0.3">
      <c r="A5501" s="831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832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t="19.5" hidden="1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t="19.5" hidden="1" thickBot="1" x14ac:dyDescent="0.3">
      <c r="A5504" s="831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38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832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39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t="19.5" hidden="1" thickBot="1" x14ac:dyDescent="0.3">
      <c r="A5507" s="831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832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t="19.5" hidden="1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t="19.5" hidden="1" thickBot="1" x14ac:dyDescent="0.3">
      <c r="A5511" s="828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830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t="19.5" hidden="1" thickBot="1" x14ac:dyDescent="0.3">
      <c r="A5513" s="831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832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t="19.5" hidden="1" thickBot="1" x14ac:dyDescent="0.3">
      <c r="A5515" s="828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41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830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42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t="19.5" hidden="1" thickBot="1" x14ac:dyDescent="0.3">
      <c r="A5518" s="828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t="19.5" hidden="1" thickBot="1" x14ac:dyDescent="0.3">
      <c r="A5519" s="829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7" hidden="1" thickBot="1" x14ac:dyDescent="0.3">
      <c r="A5520" s="829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t="19.5" hidden="1" thickBot="1" x14ac:dyDescent="0.3">
      <c r="A5521" s="829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830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t="19.5" hidden="1" thickBot="1" x14ac:dyDescent="0.3">
      <c r="A5523" s="831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t="19.5" hidden="1" thickBot="1" x14ac:dyDescent="0.3">
      <c r="A5524" s="836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832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t="19.5" hidden="1" thickBot="1" x14ac:dyDescent="0.3">
      <c r="A5527" s="831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t="19.5" hidden="1" thickBot="1" x14ac:dyDescent="0.3">
      <c r="A5528" s="836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t="19.5" hidden="1" thickBot="1" x14ac:dyDescent="0.3">
      <c r="A5531" s="828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41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830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42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t="19.5" hidden="1" thickBot="1" x14ac:dyDescent="0.3">
      <c r="A5534" s="828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41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t="19.5" hidden="1" thickBot="1" x14ac:dyDescent="0.3">
      <c r="A5535" s="829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81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t="19.5" hidden="1" thickBot="1" x14ac:dyDescent="0.3">
      <c r="A5536" s="829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81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t="19.5" hidden="1" thickBot="1" x14ac:dyDescent="0.3">
      <c r="A5537" s="829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81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830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42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t="19.5" hidden="1" thickBot="1" x14ac:dyDescent="0.3">
      <c r="A5539" s="831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t="19.5" hidden="1" thickBot="1" x14ac:dyDescent="0.3">
      <c r="A5540" s="836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832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t="19.5" hidden="1" thickBot="1" x14ac:dyDescent="0.3">
      <c r="A5542" s="828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t="19.5" hidden="1" thickBot="1" x14ac:dyDescent="0.3">
      <c r="A5543" s="829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t="19.5" hidden="1" thickBot="1" x14ac:dyDescent="0.3">
      <c r="A5544" s="829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t="19.5" hidden="1" thickBot="1" x14ac:dyDescent="0.3">
      <c r="A5545" s="829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830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831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38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832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39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t="19.5" hidden="1" thickBot="1" x14ac:dyDescent="0.3">
      <c r="A5551" s="828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830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t="19.5" hidden="1" thickBot="1" x14ac:dyDescent="0.3">
      <c r="A5553" s="831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t="19.5" hidden="1" thickBot="1" x14ac:dyDescent="0.3">
      <c r="A5554" s="836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832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8.25" hidden="1" thickBot="1" x14ac:dyDescent="0.3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t="19.5" hidden="1" thickBot="1" x14ac:dyDescent="0.3">
      <c r="A5561" s="831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832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t="19.5" hidden="1" thickBot="1" x14ac:dyDescent="0.3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t="19.5" hidden="1" thickBot="1" x14ac:dyDescent="0.3">
      <c r="A5564" s="831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832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t="19.5" hidden="1" thickBot="1" x14ac:dyDescent="0.3">
      <c r="A5570" s="828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t="19.5" hidden="1" thickBot="1" x14ac:dyDescent="0.3">
      <c r="A5571" s="829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830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t="19.5" hidden="1" thickBot="1" x14ac:dyDescent="0.3">
      <c r="A5573" s="831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832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t="19.5" hidden="1" thickBot="1" x14ac:dyDescent="0.3">
      <c r="A5575" s="828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830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t="19.5" hidden="1" thickBot="1" x14ac:dyDescent="0.3">
      <c r="A5577" s="831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t="19.5" hidden="1" thickBot="1" x14ac:dyDescent="0.3">
      <c r="A5578" s="836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t="19.5" hidden="1" thickBot="1" x14ac:dyDescent="0.3">
      <c r="A5584" s="831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t="19.5" hidden="1" thickBot="1" x14ac:dyDescent="0.3">
      <c r="A5585" s="836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t="19.5" hidden="1" thickBot="1" x14ac:dyDescent="0.3">
      <c r="A5586" s="836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832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t="19.5" hidden="1" thickBot="1" x14ac:dyDescent="0.3">
      <c r="A5588" s="828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830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t="19.5" hidden="1" thickBot="1" x14ac:dyDescent="0.3">
      <c r="A5590" s="831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t="19.5" hidden="1" thickBot="1" x14ac:dyDescent="0.3">
      <c r="A5591" s="836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832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t="19.5" hidden="1" thickBot="1" x14ac:dyDescent="0.3">
      <c r="A5593" s="828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830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t="19.5" hidden="1" thickBot="1" x14ac:dyDescent="0.3">
      <c r="A5595" s="831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832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t="19.5" hidden="1" thickBot="1" x14ac:dyDescent="0.3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t="19.5" hidden="1" thickBot="1" x14ac:dyDescent="0.3">
      <c r="A5599" s="828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41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830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42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t="19.5" hidden="1" thickBot="1" x14ac:dyDescent="0.3">
      <c r="A5602" s="828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t="19.5" hidden="1" thickBot="1" x14ac:dyDescent="0.3">
      <c r="A5603" s="829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t="19.5" hidden="1" thickBot="1" x14ac:dyDescent="0.3">
      <c r="A5606" s="831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832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t="19.5" hidden="1" thickBot="1" x14ac:dyDescent="0.3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t="19.5" hidden="1" thickBot="1" x14ac:dyDescent="0.3">
      <c r="A5609" s="831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832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t="19.5" hidden="1" thickBot="1" x14ac:dyDescent="0.3">
      <c r="A5612" s="831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7" hidden="1" thickBot="1" x14ac:dyDescent="0.3">
      <c r="A5613" s="836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t="19.5" hidden="1" thickBot="1" x14ac:dyDescent="0.3">
      <c r="A5614" s="836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832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t="19.5" hidden="1" thickBot="1" x14ac:dyDescent="0.3">
      <c r="A5617" s="831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832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t="19.5" hidden="1" thickBot="1" x14ac:dyDescent="0.3">
      <c r="A5619" s="828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830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t="19.5" hidden="1" thickBot="1" x14ac:dyDescent="0.3">
      <c r="A5621" s="831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832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828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41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830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42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t="19.5" hidden="1" thickBot="1" x14ac:dyDescent="0.3">
      <c r="A5625" s="831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832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t="19.5" hidden="1" thickBot="1" x14ac:dyDescent="0.3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t="19.5" hidden="1" thickBot="1" x14ac:dyDescent="0.3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t="19.5" hidden="1" thickBot="1" x14ac:dyDescent="0.3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t="19.5" hidden="1" thickBot="1" x14ac:dyDescent="0.3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t="19.5" hidden="1" thickBot="1" x14ac:dyDescent="0.3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t="19.5" hidden="1" thickBot="1" x14ac:dyDescent="0.3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t="19.5" hidden="1" thickBot="1" x14ac:dyDescent="0.3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t="19.5" hidden="1" thickBot="1" x14ac:dyDescent="0.3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t="19.5" hidden="1" thickBot="1" x14ac:dyDescent="0.3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t="19.5" hidden="1" thickBot="1" x14ac:dyDescent="0.3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t="19.5" hidden="1" thickBot="1" x14ac:dyDescent="0.3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t="19.5" hidden="1" thickBot="1" x14ac:dyDescent="0.3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t="19.5" hidden="1" thickBot="1" x14ac:dyDescent="0.3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t="19.5" hidden="1" thickBot="1" x14ac:dyDescent="0.3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t="19.5" hidden="1" thickBot="1" x14ac:dyDescent="0.3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t="19.5" hidden="1" thickBot="1" x14ac:dyDescent="0.3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t="19.5" hidden="1" thickBot="1" x14ac:dyDescent="0.3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t="19.5" hidden="1" thickBot="1" x14ac:dyDescent="0.3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8.25" hidden="1" thickBot="1" x14ac:dyDescent="0.3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t="19.5" hidden="1" thickBot="1" x14ac:dyDescent="0.3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t="19.5" hidden="1" thickBot="1" x14ac:dyDescent="0.3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t="19.5" hidden="1" thickBot="1" x14ac:dyDescent="0.3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t="19.5" hidden="1" thickBot="1" x14ac:dyDescent="0.3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t="19.5" hidden="1" thickBot="1" x14ac:dyDescent="0.3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t="19.5" hidden="1" thickBot="1" x14ac:dyDescent="0.3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t="19.5" hidden="1" thickBot="1" x14ac:dyDescent="0.3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t="19.5" hidden="1" thickBot="1" x14ac:dyDescent="0.3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t="19.5" hidden="1" thickBot="1" x14ac:dyDescent="0.3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t="19.5" hidden="1" thickBot="1" x14ac:dyDescent="0.3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t="19.5" hidden="1" thickBot="1" x14ac:dyDescent="0.3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t="19.5" hidden="1" thickBot="1" x14ac:dyDescent="0.3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t="19.5" hidden="1" thickBot="1" x14ac:dyDescent="0.3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t="19.5" hidden="1" thickBot="1" x14ac:dyDescent="0.3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t="19.5" hidden="1" thickBot="1" x14ac:dyDescent="0.3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4.5" hidden="1" thickBot="1" x14ac:dyDescent="0.3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t="19.5" hidden="1" thickBot="1" x14ac:dyDescent="0.3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t="19.5" hidden="1" thickBot="1" x14ac:dyDescent="0.3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t="19.5" hidden="1" thickBot="1" x14ac:dyDescent="0.3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t="19.5" hidden="1" thickBot="1" x14ac:dyDescent="0.3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7" hidden="1" thickBot="1" x14ac:dyDescent="0.3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t="19.5" hidden="1" thickBot="1" x14ac:dyDescent="0.3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t="19.5" hidden="1" thickBot="1" x14ac:dyDescent="0.3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t="19.5" hidden="1" thickBot="1" x14ac:dyDescent="0.3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t="19.5" hidden="1" thickBot="1" x14ac:dyDescent="0.3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t="19.5" hidden="1" thickBot="1" x14ac:dyDescent="0.3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t="19.5" hidden="1" thickBot="1" x14ac:dyDescent="0.3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t="19.5" hidden="1" thickBot="1" x14ac:dyDescent="0.3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8.25" hidden="1" thickBot="1" x14ac:dyDescent="0.3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t="19.5" hidden="1" thickBot="1" x14ac:dyDescent="0.3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t="19.5" hidden="1" thickBot="1" x14ac:dyDescent="0.3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t="19.5" hidden="1" thickBot="1" x14ac:dyDescent="0.3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t="19.5" hidden="1" thickBot="1" x14ac:dyDescent="0.3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t="19.5" hidden="1" thickBot="1" x14ac:dyDescent="0.3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t="19.5" hidden="1" thickBot="1" x14ac:dyDescent="0.3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t="19.5" hidden="1" thickBot="1" x14ac:dyDescent="0.3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t="19.5" hidden="1" thickBot="1" x14ac:dyDescent="0.3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t="19.5" hidden="1" thickBot="1" x14ac:dyDescent="0.3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t="19.5" hidden="1" thickBot="1" x14ac:dyDescent="0.3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t="19.5" hidden="1" thickBot="1" x14ac:dyDescent="0.3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t="19.5" hidden="1" thickBot="1" x14ac:dyDescent="0.3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t="19.5" hidden="1" thickBot="1" x14ac:dyDescent="0.3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t="19.5" hidden="1" thickBot="1" x14ac:dyDescent="0.3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t="19.5" hidden="1" thickBot="1" x14ac:dyDescent="0.3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t="19.5" hidden="1" thickBot="1" x14ac:dyDescent="0.3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t="19.5" hidden="1" thickBot="1" x14ac:dyDescent="0.3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t="19.5" hidden="1" thickBot="1" x14ac:dyDescent="0.3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t="19.5" hidden="1" thickBot="1" x14ac:dyDescent="0.3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t="19.5" hidden="1" thickBot="1" x14ac:dyDescent="0.3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t="19.5" hidden="1" thickBot="1" x14ac:dyDescent="0.3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t="19.5" hidden="1" thickBot="1" x14ac:dyDescent="0.3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t="19.5" hidden="1" thickBot="1" x14ac:dyDescent="0.3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t="19.5" hidden="1" thickBot="1" x14ac:dyDescent="0.3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t="19.5" hidden="1" thickBot="1" x14ac:dyDescent="0.3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t="19.5" hidden="1" thickBot="1" x14ac:dyDescent="0.3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t="19.5" hidden="1" thickBot="1" x14ac:dyDescent="0.3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t="19.5" hidden="1" thickBot="1" x14ac:dyDescent="0.3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t="19.5" hidden="1" thickBot="1" x14ac:dyDescent="0.3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t="19.5" hidden="1" thickBot="1" x14ac:dyDescent="0.3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7" hidden="1" thickBot="1" x14ac:dyDescent="0.3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t="19.5" hidden="1" thickBot="1" x14ac:dyDescent="0.3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t="19.5" hidden="1" thickBot="1" x14ac:dyDescent="0.3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t="19.5" hidden="1" thickBot="1" x14ac:dyDescent="0.3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t="19.5" hidden="1" thickBot="1" x14ac:dyDescent="0.3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t="19.5" hidden="1" thickBot="1" x14ac:dyDescent="0.3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t="19.5" hidden="1" thickBot="1" x14ac:dyDescent="0.3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8.25" hidden="1" thickBot="1" x14ac:dyDescent="0.3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t="19.5" hidden="1" thickBot="1" x14ac:dyDescent="0.3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t="19.5" hidden="1" thickBot="1" x14ac:dyDescent="0.3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t="19.5" hidden="1" thickBot="1" x14ac:dyDescent="0.3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t="19.5" hidden="1" thickBot="1" x14ac:dyDescent="0.3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t="19.5" hidden="1" thickBot="1" x14ac:dyDescent="0.3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t="19.5" hidden="1" thickBot="1" x14ac:dyDescent="0.3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t="19.5" hidden="1" thickBot="1" x14ac:dyDescent="0.3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t="19.5" hidden="1" thickBot="1" x14ac:dyDescent="0.3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t="19.5" hidden="1" thickBot="1" x14ac:dyDescent="0.3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t="19.5" hidden="1" thickBot="1" x14ac:dyDescent="0.3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t="19.5" hidden="1" thickBot="1" x14ac:dyDescent="0.3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t="19.5" hidden="1" thickBot="1" x14ac:dyDescent="0.3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t="19.5" hidden="1" thickBot="1" x14ac:dyDescent="0.3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t="19.5" hidden="1" thickBot="1" x14ac:dyDescent="0.3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t="19.5" hidden="1" thickBot="1" x14ac:dyDescent="0.3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t="19.5" hidden="1" thickBot="1" x14ac:dyDescent="0.3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t="19.5" hidden="1" thickBot="1" x14ac:dyDescent="0.3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t="19.5" hidden="1" thickBot="1" x14ac:dyDescent="0.3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t="19.5" hidden="1" thickBot="1" x14ac:dyDescent="0.3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t="19.5" hidden="1" thickBot="1" x14ac:dyDescent="0.3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t="19.5" hidden="1" thickBot="1" x14ac:dyDescent="0.3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t="19.5" hidden="1" thickBot="1" x14ac:dyDescent="0.3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t="19.5" hidden="1" thickBot="1" x14ac:dyDescent="0.3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t="19.5" hidden="1" thickBot="1" x14ac:dyDescent="0.3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t="19.5" hidden="1" thickBot="1" x14ac:dyDescent="0.3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t="19.5" hidden="1" thickBot="1" x14ac:dyDescent="0.3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t="19.5" hidden="1" thickBot="1" x14ac:dyDescent="0.3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t="19.5" hidden="1" thickBot="1" x14ac:dyDescent="0.3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t="19.5" hidden="1" thickBot="1" x14ac:dyDescent="0.3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7" hidden="1" thickBot="1" x14ac:dyDescent="0.3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t="19.5" hidden="1" thickBot="1" x14ac:dyDescent="0.3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t="19.5" hidden="1" thickBot="1" x14ac:dyDescent="0.3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t="19.5" hidden="1" thickBot="1" x14ac:dyDescent="0.3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t="19.5" hidden="1" thickBot="1" x14ac:dyDescent="0.3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t="19.5" hidden="1" thickBot="1" x14ac:dyDescent="0.3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t="19.5" hidden="1" thickBot="1" x14ac:dyDescent="0.3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t="19.5" hidden="1" thickBot="1" x14ac:dyDescent="0.3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t="19.5" hidden="1" thickBot="1" x14ac:dyDescent="0.3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t="19.5" hidden="1" thickBot="1" x14ac:dyDescent="0.3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t="19.5" hidden="1" thickBot="1" x14ac:dyDescent="0.3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t="19.5" hidden="1" thickBot="1" x14ac:dyDescent="0.3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8.25" hidden="1" thickBot="1" x14ac:dyDescent="0.3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t="19.5" hidden="1" thickBot="1" x14ac:dyDescent="0.3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t="19.5" hidden="1" thickBot="1" x14ac:dyDescent="0.3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t="19.5" hidden="1" thickBot="1" x14ac:dyDescent="0.3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t="19.5" hidden="1" thickBot="1" x14ac:dyDescent="0.3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t="19.5" hidden="1" thickBot="1" x14ac:dyDescent="0.3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t="19.5" hidden="1" thickBot="1" x14ac:dyDescent="0.3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t="19.5" hidden="1" thickBot="1" x14ac:dyDescent="0.3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t="19.5" hidden="1" thickBot="1" x14ac:dyDescent="0.3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t="19.5" hidden="1" thickBot="1" x14ac:dyDescent="0.3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t="19.5" hidden="1" thickBot="1" x14ac:dyDescent="0.3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8.25" hidden="1" thickBot="1" x14ac:dyDescent="0.3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t="19.5" hidden="1" thickBot="1" x14ac:dyDescent="0.3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t="19.5" hidden="1" thickBot="1" x14ac:dyDescent="0.3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t="19.5" hidden="1" thickBot="1" x14ac:dyDescent="0.3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t="19.5" hidden="1" thickBot="1" x14ac:dyDescent="0.3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t="19.5" hidden="1" thickBot="1" x14ac:dyDescent="0.3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t="19.5" hidden="1" thickBot="1" x14ac:dyDescent="0.3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t="19.5" hidden="1" thickBot="1" x14ac:dyDescent="0.3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t="19.5" hidden="1" thickBot="1" x14ac:dyDescent="0.3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t="19.5" hidden="1" thickBot="1" x14ac:dyDescent="0.3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t="19.5" hidden="1" thickBot="1" x14ac:dyDescent="0.3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t="19.5" hidden="1" thickBot="1" x14ac:dyDescent="0.3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t="19.5" hidden="1" thickBot="1" x14ac:dyDescent="0.3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t="19.5" hidden="1" thickBot="1" x14ac:dyDescent="0.3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t="19.5" hidden="1" thickBot="1" x14ac:dyDescent="0.3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t="19.5" hidden="1" thickBot="1" x14ac:dyDescent="0.3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t="19.5" hidden="1" thickBot="1" x14ac:dyDescent="0.3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t="19.5" hidden="1" thickBot="1" x14ac:dyDescent="0.3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8.25" hidden="1" thickBot="1" x14ac:dyDescent="0.3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t="19.5" hidden="1" thickBot="1" x14ac:dyDescent="0.3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t="19.5" hidden="1" thickBot="1" x14ac:dyDescent="0.3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t="19.5" hidden="1" thickBot="1" x14ac:dyDescent="0.3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t="19.5" hidden="1" thickBot="1" x14ac:dyDescent="0.3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t="19.5" hidden="1" thickBot="1" x14ac:dyDescent="0.3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t="19.5" hidden="1" thickBot="1" x14ac:dyDescent="0.3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t="19.5" hidden="1" thickBot="1" x14ac:dyDescent="0.3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t="19.5" hidden="1" thickBot="1" x14ac:dyDescent="0.3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t="19.5" hidden="1" thickBot="1" x14ac:dyDescent="0.3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t="19.5" hidden="1" thickBot="1" x14ac:dyDescent="0.3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t="19.5" hidden="1" thickBot="1" x14ac:dyDescent="0.3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t="19.5" hidden="1" thickBot="1" x14ac:dyDescent="0.3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t="19.5" hidden="1" thickBot="1" x14ac:dyDescent="0.3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t="19.5" hidden="1" thickBot="1" x14ac:dyDescent="0.3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t="19.5" hidden="1" thickBot="1" x14ac:dyDescent="0.3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t="19.5" hidden="1" thickBot="1" x14ac:dyDescent="0.3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8.25" hidden="1" thickBot="1" x14ac:dyDescent="0.3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t="19.5" hidden="1" thickBot="1" x14ac:dyDescent="0.3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t="19.5" hidden="1" thickBot="1" x14ac:dyDescent="0.3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t="19.5" hidden="1" thickBot="1" x14ac:dyDescent="0.3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t="19.5" hidden="1" thickBot="1" x14ac:dyDescent="0.3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t="19.5" hidden="1" thickBot="1" x14ac:dyDescent="0.3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t="19.5" hidden="1" thickBot="1" x14ac:dyDescent="0.3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t="19.5" hidden="1" thickBot="1" x14ac:dyDescent="0.3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t="19.5" hidden="1" thickBot="1" x14ac:dyDescent="0.3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t="19.5" hidden="1" thickBot="1" x14ac:dyDescent="0.3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t="19.5" hidden="1" thickBot="1" x14ac:dyDescent="0.3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t="19.5" hidden="1" thickBot="1" x14ac:dyDescent="0.3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t="19.5" hidden="1" thickBot="1" x14ac:dyDescent="0.3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t="19.5" hidden="1" thickBot="1" x14ac:dyDescent="0.3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t="19.5" hidden="1" thickBot="1" x14ac:dyDescent="0.3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t="19.5" hidden="1" thickBot="1" x14ac:dyDescent="0.3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t="19.5" hidden="1" thickBot="1" x14ac:dyDescent="0.3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t="19.5" hidden="1" thickBot="1" x14ac:dyDescent="0.3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t="19.5" hidden="1" thickBot="1" x14ac:dyDescent="0.3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t="19.5" hidden="1" thickBot="1" x14ac:dyDescent="0.3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t="19.5" hidden="1" thickBot="1" x14ac:dyDescent="0.3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t="19.5" hidden="1" thickBot="1" x14ac:dyDescent="0.3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8.25" hidden="1" thickBot="1" x14ac:dyDescent="0.3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t="19.5" hidden="1" thickBot="1" x14ac:dyDescent="0.3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t="19.5" hidden="1" thickBot="1" x14ac:dyDescent="0.3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t="19.5" hidden="1" thickBot="1" x14ac:dyDescent="0.3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t="19.5" hidden="1" thickBot="1" x14ac:dyDescent="0.3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t="19.5" hidden="1" thickBot="1" x14ac:dyDescent="0.3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t="19.5" hidden="1" thickBot="1" x14ac:dyDescent="0.3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t="19.5" hidden="1" thickBot="1" x14ac:dyDescent="0.3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t="19.5" hidden="1" thickBot="1" x14ac:dyDescent="0.3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t="19.5" hidden="1" thickBot="1" x14ac:dyDescent="0.3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t="19.5" hidden="1" thickBot="1" x14ac:dyDescent="0.3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t="19.5" hidden="1" thickBot="1" x14ac:dyDescent="0.3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t="19.5" hidden="1" thickBot="1" x14ac:dyDescent="0.3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7" hidden="1" thickBot="1" x14ac:dyDescent="0.3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t="19.5" hidden="1" thickBot="1" x14ac:dyDescent="0.3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8.25" hidden="1" thickBot="1" x14ac:dyDescent="0.3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t="19.5" hidden="1" thickBot="1" x14ac:dyDescent="0.3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t="19.5" hidden="1" thickBot="1" x14ac:dyDescent="0.3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t="19.5" hidden="1" thickBot="1" x14ac:dyDescent="0.3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t="19.5" hidden="1" thickBot="1" x14ac:dyDescent="0.3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t="19.5" hidden="1" thickBot="1" x14ac:dyDescent="0.3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t="19.5" hidden="1" thickBot="1" x14ac:dyDescent="0.3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t="19.5" hidden="1" thickBot="1" x14ac:dyDescent="0.3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t="19.5" hidden="1" thickBot="1" x14ac:dyDescent="0.3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t="19.5" hidden="1" thickBot="1" x14ac:dyDescent="0.3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t="19.5" hidden="1" thickBot="1" x14ac:dyDescent="0.3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t="19.5" hidden="1" thickBot="1" x14ac:dyDescent="0.3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t="19.5" hidden="1" thickBot="1" x14ac:dyDescent="0.3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t="19.5" hidden="1" thickBot="1" x14ac:dyDescent="0.3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t="19.5" hidden="1" thickBot="1" x14ac:dyDescent="0.3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t="19.5" hidden="1" thickBot="1" x14ac:dyDescent="0.3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t="19.5" hidden="1" thickBot="1" x14ac:dyDescent="0.3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t="19.5" hidden="1" thickBot="1" x14ac:dyDescent="0.3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t="19.5" hidden="1" thickBot="1" x14ac:dyDescent="0.3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t="19.5" hidden="1" thickBot="1" x14ac:dyDescent="0.3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t="19.5" hidden="1" thickBot="1" x14ac:dyDescent="0.3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t="19.5" hidden="1" thickBot="1" x14ac:dyDescent="0.3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t="19.5" hidden="1" thickBot="1" x14ac:dyDescent="0.3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t="19.5" hidden="1" thickBot="1" x14ac:dyDescent="0.3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t="19.5" hidden="1" thickBot="1" x14ac:dyDescent="0.3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t="19.5" hidden="1" thickBot="1" x14ac:dyDescent="0.3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t="19.5" hidden="1" thickBot="1" x14ac:dyDescent="0.3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t="19.5" hidden="1" thickBot="1" x14ac:dyDescent="0.3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t="19.5" hidden="1" thickBot="1" x14ac:dyDescent="0.3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t="19.5" hidden="1" thickBot="1" x14ac:dyDescent="0.3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t="19.5" hidden="1" thickBot="1" x14ac:dyDescent="0.3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t="19.5" hidden="1" thickBot="1" x14ac:dyDescent="0.3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t="19.5" hidden="1" thickBot="1" x14ac:dyDescent="0.3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t="19.5" hidden="1" thickBot="1" x14ac:dyDescent="0.3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t="19.5" hidden="1" thickBot="1" x14ac:dyDescent="0.3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7" hidden="1" thickBot="1" x14ac:dyDescent="0.3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t="19.5" hidden="1" thickBot="1" x14ac:dyDescent="0.3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t="19.5" hidden="1" thickBot="1" x14ac:dyDescent="0.3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t="19.5" hidden="1" thickBot="1" x14ac:dyDescent="0.3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t="19.5" hidden="1" thickBot="1" x14ac:dyDescent="0.3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t="19.5" hidden="1" thickBot="1" x14ac:dyDescent="0.3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.75" hidden="1" thickBot="1" x14ac:dyDescent="0.3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t="19.5" hidden="1" thickBot="1" x14ac:dyDescent="0.3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t="19.5" hidden="1" thickBot="1" x14ac:dyDescent="0.3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t="19.5" hidden="1" thickBot="1" x14ac:dyDescent="0.3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t="19.5" hidden="1" thickBot="1" x14ac:dyDescent="0.3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t="19.5" hidden="1" thickBot="1" x14ac:dyDescent="0.3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t="19.5" hidden="1" thickBot="1" x14ac:dyDescent="0.3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t="19.5" hidden="1" thickBot="1" x14ac:dyDescent="0.3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t="19.5" hidden="1" thickBot="1" x14ac:dyDescent="0.3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t="19.5" hidden="1" thickBot="1" x14ac:dyDescent="0.3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t="19.5" hidden="1" thickBot="1" x14ac:dyDescent="0.3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t="19.5" hidden="1" thickBot="1" x14ac:dyDescent="0.3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t="19.5" hidden="1" thickBot="1" x14ac:dyDescent="0.3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t="19.5" hidden="1" thickBot="1" x14ac:dyDescent="0.3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t="19.5" hidden="1" thickBot="1" x14ac:dyDescent="0.3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t="19.5" hidden="1" thickBot="1" x14ac:dyDescent="0.3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t="19.5" hidden="1" thickBot="1" x14ac:dyDescent="0.3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t="19.5" hidden="1" thickBot="1" x14ac:dyDescent="0.3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t="19.5" hidden="1" thickBot="1" x14ac:dyDescent="0.3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t="19.5" hidden="1" thickBot="1" x14ac:dyDescent="0.3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t="19.5" hidden="1" thickBot="1" x14ac:dyDescent="0.3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t="19.5" hidden="1" thickBot="1" x14ac:dyDescent="0.3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t="19.5" hidden="1" thickBot="1" x14ac:dyDescent="0.3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t="19.5" hidden="1" thickBot="1" x14ac:dyDescent="0.3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t="19.5" hidden="1" thickBot="1" x14ac:dyDescent="0.3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t="19.5" hidden="1" thickBot="1" x14ac:dyDescent="0.3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t="19.5" hidden="1" thickBot="1" x14ac:dyDescent="0.3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t="19.5" hidden="1" thickBot="1" x14ac:dyDescent="0.3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t="19.5" hidden="1" thickBot="1" x14ac:dyDescent="0.3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t="19.5" hidden="1" thickBot="1" x14ac:dyDescent="0.3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t="19.5" hidden="1" thickBot="1" x14ac:dyDescent="0.3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t="19.5" hidden="1" thickBot="1" x14ac:dyDescent="0.3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8.25" hidden="1" thickBot="1" x14ac:dyDescent="0.3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.75" hidden="1" thickBot="1" x14ac:dyDescent="0.3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t="19.5" hidden="1" thickBot="1" x14ac:dyDescent="0.3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t="19.5" hidden="1" thickBot="1" x14ac:dyDescent="0.3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t="19.5" hidden="1" thickBot="1" x14ac:dyDescent="0.3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t="19.5" hidden="1" thickBot="1" x14ac:dyDescent="0.3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t="19.5" hidden="1" thickBot="1" x14ac:dyDescent="0.3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t="19.5" hidden="1" thickBot="1" x14ac:dyDescent="0.3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t="19.5" hidden="1" thickBot="1" x14ac:dyDescent="0.3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t="19.5" hidden="1" thickBot="1" x14ac:dyDescent="0.3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t="19.5" hidden="1" thickBot="1" x14ac:dyDescent="0.3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t="19.5" hidden="1" thickBot="1" x14ac:dyDescent="0.3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t="19.5" hidden="1" thickBot="1" x14ac:dyDescent="0.3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t="19.5" hidden="1" thickBot="1" x14ac:dyDescent="0.3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t="19.5" hidden="1" thickBot="1" x14ac:dyDescent="0.3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t="19.5" hidden="1" thickBot="1" x14ac:dyDescent="0.3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t="19.5" hidden="1" thickBot="1" x14ac:dyDescent="0.3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t="19.5" hidden="1" thickBot="1" x14ac:dyDescent="0.3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t="19.5" hidden="1" thickBot="1" x14ac:dyDescent="0.3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t="19.5" hidden="1" thickBot="1" x14ac:dyDescent="0.3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t="19.5" hidden="1" thickBot="1" x14ac:dyDescent="0.3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t="19.5" hidden="1" thickBot="1" x14ac:dyDescent="0.3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t="19.5" hidden="1" thickBot="1" x14ac:dyDescent="0.3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t="19.5" hidden="1" thickBot="1" x14ac:dyDescent="0.3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t="19.5" hidden="1" thickBot="1" x14ac:dyDescent="0.3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t="19.5" hidden="1" thickBot="1" x14ac:dyDescent="0.3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t="19.5" hidden="1" thickBot="1" x14ac:dyDescent="0.3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t="19.5" hidden="1" thickBot="1" x14ac:dyDescent="0.3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t="19.5" hidden="1" thickBot="1" x14ac:dyDescent="0.3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t="19.5" hidden="1" thickBot="1" x14ac:dyDescent="0.3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t="19.5" hidden="1" thickBot="1" x14ac:dyDescent="0.3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t="19.5" hidden="1" thickBot="1" x14ac:dyDescent="0.3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t="19.5" hidden="1" thickBot="1" x14ac:dyDescent="0.3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t="19.5" hidden="1" thickBot="1" x14ac:dyDescent="0.3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t="19.5" hidden="1" thickBot="1" x14ac:dyDescent="0.3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t="19.5" hidden="1" thickBot="1" x14ac:dyDescent="0.3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7" hidden="1" thickBot="1" x14ac:dyDescent="0.3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t="19.5" hidden="1" thickBot="1" x14ac:dyDescent="0.3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t="19.5" hidden="1" thickBot="1" x14ac:dyDescent="0.3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t="19.5" hidden="1" thickBot="1" x14ac:dyDescent="0.3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t="19.5" hidden="1" thickBot="1" x14ac:dyDescent="0.3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t="19.5" hidden="1" thickBot="1" x14ac:dyDescent="0.3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t="19.5" hidden="1" thickBot="1" x14ac:dyDescent="0.3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t="19.5" hidden="1" thickBot="1" x14ac:dyDescent="0.3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t="19.5" hidden="1" thickBot="1" x14ac:dyDescent="0.3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t="19.5" hidden="1" thickBot="1" x14ac:dyDescent="0.3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t="19.5" hidden="1" thickBot="1" x14ac:dyDescent="0.3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t="19.5" hidden="1" thickBot="1" x14ac:dyDescent="0.3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8.25" hidden="1" thickBot="1" x14ac:dyDescent="0.3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t="19.5" hidden="1" thickBot="1" x14ac:dyDescent="0.3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t="19.5" hidden="1" thickBot="1" x14ac:dyDescent="0.3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t="19.5" hidden="1" thickBot="1" x14ac:dyDescent="0.3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t="19.5" hidden="1" thickBot="1" x14ac:dyDescent="0.3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t="19.5" hidden="1" thickBot="1" x14ac:dyDescent="0.3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t="19.5" hidden="1" thickBot="1" x14ac:dyDescent="0.3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t="19.5" hidden="1" thickBot="1" x14ac:dyDescent="0.3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t="19.5" hidden="1" thickBot="1" x14ac:dyDescent="0.3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t="19.5" hidden="1" thickBot="1" x14ac:dyDescent="0.3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t="19.5" hidden="1" thickBot="1" x14ac:dyDescent="0.3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t="19.5" hidden="1" thickBot="1" x14ac:dyDescent="0.3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t="19.5" hidden="1" thickBot="1" x14ac:dyDescent="0.3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t="19.5" hidden="1" thickBot="1" x14ac:dyDescent="0.3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t="19.5" hidden="1" thickBot="1" x14ac:dyDescent="0.3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t="19.5" hidden="1" thickBot="1" x14ac:dyDescent="0.3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t="19.5" hidden="1" thickBot="1" x14ac:dyDescent="0.3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t="19.5" hidden="1" thickBot="1" x14ac:dyDescent="0.3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t="19.5" hidden="1" thickBot="1" x14ac:dyDescent="0.3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t="19.5" hidden="1" thickBot="1" x14ac:dyDescent="0.3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t="19.5" hidden="1" thickBot="1" x14ac:dyDescent="0.3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t="19.5" hidden="1" thickBot="1" x14ac:dyDescent="0.3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t="19.5" hidden="1" thickBot="1" x14ac:dyDescent="0.3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t="19.5" hidden="1" thickBot="1" x14ac:dyDescent="0.3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t="19.5" hidden="1" thickBot="1" x14ac:dyDescent="0.3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t="19.5" hidden="1" thickBot="1" x14ac:dyDescent="0.3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t="19.5" hidden="1" thickBot="1" x14ac:dyDescent="0.3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t="19.5" hidden="1" thickBot="1" x14ac:dyDescent="0.3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t="19.5" hidden="1" thickBot="1" x14ac:dyDescent="0.3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t="19.5" hidden="1" thickBot="1" x14ac:dyDescent="0.3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t="19.5" hidden="1" thickBot="1" x14ac:dyDescent="0.3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7" hidden="1" thickBot="1" x14ac:dyDescent="0.3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t="19.5" hidden="1" thickBot="1" x14ac:dyDescent="0.3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t="19.5" hidden="1" thickBot="1" x14ac:dyDescent="0.3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t="19.5" hidden="1" thickBot="1" x14ac:dyDescent="0.3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t="19.5" hidden="1" thickBot="1" x14ac:dyDescent="0.3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8.25" hidden="1" thickBot="1" x14ac:dyDescent="0.3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t="19.5" hidden="1" thickBot="1" x14ac:dyDescent="0.3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t="19.5" hidden="1" thickBot="1" x14ac:dyDescent="0.3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t="19.5" hidden="1" thickBot="1" x14ac:dyDescent="0.3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t="19.5" hidden="1" thickBot="1" x14ac:dyDescent="0.3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t="19.5" hidden="1" thickBot="1" x14ac:dyDescent="0.3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t="19.5" hidden="1" thickBot="1" x14ac:dyDescent="0.3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t="19.5" hidden="1" thickBot="1" x14ac:dyDescent="0.3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.75" hidden="1" thickBot="1" x14ac:dyDescent="0.3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t="19.5" hidden="1" thickBot="1" x14ac:dyDescent="0.3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t="19.5" hidden="1" thickBot="1" x14ac:dyDescent="0.3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t="19.5" hidden="1" thickBot="1" x14ac:dyDescent="0.3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t="19.5" hidden="1" thickBot="1" x14ac:dyDescent="0.3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t="19.5" hidden="1" thickBot="1" x14ac:dyDescent="0.3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t="19.5" hidden="1" thickBot="1" x14ac:dyDescent="0.3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t="19.5" hidden="1" thickBot="1" x14ac:dyDescent="0.3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t="19.5" hidden="1" thickBot="1" x14ac:dyDescent="0.3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t="19.5" hidden="1" thickBot="1" x14ac:dyDescent="0.3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t="19.5" hidden="1" thickBot="1" x14ac:dyDescent="0.3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t="19.5" hidden="1" thickBot="1" x14ac:dyDescent="0.3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t="19.5" hidden="1" thickBot="1" x14ac:dyDescent="0.3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t="19.5" hidden="1" thickBot="1" x14ac:dyDescent="0.3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t="19.5" hidden="1" thickBot="1" x14ac:dyDescent="0.3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t="19.5" hidden="1" thickBot="1" x14ac:dyDescent="0.3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t="19.5" hidden="1" thickBot="1" x14ac:dyDescent="0.3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t="19.5" hidden="1" thickBot="1" x14ac:dyDescent="0.3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t="19.5" hidden="1" thickBot="1" x14ac:dyDescent="0.3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t="19.5" hidden="1" thickBot="1" x14ac:dyDescent="0.3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t="19.5" hidden="1" thickBot="1" x14ac:dyDescent="0.3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t="19.5" hidden="1" thickBot="1" x14ac:dyDescent="0.3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t="19.5" hidden="1" thickBot="1" x14ac:dyDescent="0.3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t="19.5" hidden="1" thickBot="1" x14ac:dyDescent="0.3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t="19.5" hidden="1" thickBot="1" x14ac:dyDescent="0.3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t="19.5" hidden="1" thickBot="1" x14ac:dyDescent="0.3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t="19.5" hidden="1" thickBot="1" x14ac:dyDescent="0.3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t="19.5" hidden="1" thickBot="1" x14ac:dyDescent="0.3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t="19.5" hidden="1" thickBot="1" x14ac:dyDescent="0.3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t="19.5" hidden="1" thickBot="1" x14ac:dyDescent="0.3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t="19.5" hidden="1" thickBot="1" x14ac:dyDescent="0.3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7" hidden="1" thickBot="1" x14ac:dyDescent="0.3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t="19.5" hidden="1" thickBot="1" x14ac:dyDescent="0.3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t="19.5" hidden="1" thickBot="1" x14ac:dyDescent="0.3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t="19.5" hidden="1" thickBot="1" x14ac:dyDescent="0.3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t="19.5" hidden="1" thickBot="1" x14ac:dyDescent="0.3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t="19.5" hidden="1" thickBot="1" x14ac:dyDescent="0.3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t="19.5" hidden="1" thickBot="1" x14ac:dyDescent="0.3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t="19.5" hidden="1" thickBot="1" x14ac:dyDescent="0.3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t="19.5" hidden="1" thickBot="1" x14ac:dyDescent="0.3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t="19.5" hidden="1" thickBot="1" x14ac:dyDescent="0.3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t="19.5" hidden="1" thickBot="1" x14ac:dyDescent="0.3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t="19.5" hidden="1" thickBot="1" x14ac:dyDescent="0.3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t="19.5" hidden="1" thickBot="1" x14ac:dyDescent="0.3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t="19.5" hidden="1" thickBot="1" x14ac:dyDescent="0.3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t="19.5" hidden="1" thickBot="1" x14ac:dyDescent="0.3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t="19.5" hidden="1" thickBot="1" x14ac:dyDescent="0.3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t="19.5" hidden="1" thickBot="1" x14ac:dyDescent="0.3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t="19.5" hidden="1" thickBot="1" x14ac:dyDescent="0.3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t="19.5" hidden="1" thickBot="1" x14ac:dyDescent="0.3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t="19.5" hidden="1" thickBot="1" x14ac:dyDescent="0.3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t="19.5" hidden="1" thickBot="1" x14ac:dyDescent="0.3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t="19.5" hidden="1" thickBot="1" x14ac:dyDescent="0.3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t="19.5" hidden="1" thickBot="1" x14ac:dyDescent="0.3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t="19.5" hidden="1" thickBot="1" x14ac:dyDescent="0.3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t="19.5" hidden="1" thickBot="1" x14ac:dyDescent="0.3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t="19.5" hidden="1" thickBot="1" x14ac:dyDescent="0.3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t="19.5" hidden="1" thickBot="1" x14ac:dyDescent="0.3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t="19.5" hidden="1" thickBot="1" x14ac:dyDescent="0.3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t="19.5" hidden="1" thickBot="1" x14ac:dyDescent="0.3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t="19.5" hidden="1" thickBot="1" x14ac:dyDescent="0.3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t="19.5" hidden="1" thickBot="1" x14ac:dyDescent="0.3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t="19.5" hidden="1" thickBot="1" x14ac:dyDescent="0.3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t="19.5" hidden="1" thickBot="1" x14ac:dyDescent="0.3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7" hidden="1" thickBot="1" x14ac:dyDescent="0.3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t="19.5" hidden="1" thickBot="1" x14ac:dyDescent="0.3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t="19.5" hidden="1" thickBot="1" x14ac:dyDescent="0.3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t="19.5" hidden="1" thickBot="1" x14ac:dyDescent="0.3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t="19.5" hidden="1" thickBot="1" x14ac:dyDescent="0.3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t="19.5" hidden="1" thickBot="1" x14ac:dyDescent="0.3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t="19.5" hidden="1" thickBot="1" x14ac:dyDescent="0.3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t="19.5" hidden="1" thickBot="1" x14ac:dyDescent="0.3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t="19.5" hidden="1" thickBot="1" x14ac:dyDescent="0.3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t="19.5" hidden="1" thickBot="1" x14ac:dyDescent="0.3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t="19.5" hidden="1" thickBot="1" x14ac:dyDescent="0.3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t="19.5" hidden="1" thickBot="1" x14ac:dyDescent="0.3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t="19.5" hidden="1" thickBot="1" x14ac:dyDescent="0.3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86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t="19.5" hidden="1" thickBot="1" x14ac:dyDescent="0.3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87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t="19.5" hidden="1" thickBot="1" x14ac:dyDescent="0.3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t="19.5" hidden="1" thickBot="1" x14ac:dyDescent="0.3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t="19.5" hidden="1" thickBot="1" x14ac:dyDescent="0.3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t="19.5" hidden="1" thickBot="1" x14ac:dyDescent="0.3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t="19.5" hidden="1" thickBot="1" x14ac:dyDescent="0.3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t="19.5" hidden="1" thickBot="1" x14ac:dyDescent="0.3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t="19.5" hidden="1" thickBot="1" x14ac:dyDescent="0.3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t="19.5" hidden="1" thickBot="1" x14ac:dyDescent="0.3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t="19.5" hidden="1" thickBot="1" x14ac:dyDescent="0.3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t="19.5" hidden="1" thickBot="1" x14ac:dyDescent="0.3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t="19.5" hidden="1" thickBot="1" x14ac:dyDescent="0.3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t="19.5" hidden="1" thickBot="1" x14ac:dyDescent="0.3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t="19.5" hidden="1" thickBot="1" x14ac:dyDescent="0.3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t="19.5" hidden="1" thickBot="1" x14ac:dyDescent="0.3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t="19.5" hidden="1" thickBot="1" x14ac:dyDescent="0.3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t="19.5" hidden="1" thickBot="1" x14ac:dyDescent="0.3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t="19.5" hidden="1" thickBot="1" x14ac:dyDescent="0.3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t="19.5" hidden="1" thickBot="1" x14ac:dyDescent="0.3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t="19.5" hidden="1" thickBot="1" x14ac:dyDescent="0.3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t="19.5" hidden="1" thickBot="1" x14ac:dyDescent="0.3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t="19.5" hidden="1" thickBot="1" x14ac:dyDescent="0.3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t="19.5" hidden="1" thickBot="1" x14ac:dyDescent="0.3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t="19.5" hidden="1" thickBot="1" x14ac:dyDescent="0.3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7" hidden="1" thickBot="1" x14ac:dyDescent="0.3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t="19.5" hidden="1" thickBot="1" x14ac:dyDescent="0.3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t="19.5" hidden="1" thickBot="1" x14ac:dyDescent="0.3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t="19.5" hidden="1" thickBot="1" x14ac:dyDescent="0.3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t="19.5" hidden="1" thickBot="1" x14ac:dyDescent="0.3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t="19.5" hidden="1" thickBot="1" x14ac:dyDescent="0.3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t="19.5" hidden="1" thickBot="1" x14ac:dyDescent="0.3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t="19.5" hidden="1" thickBot="1" x14ac:dyDescent="0.3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t="19.5" hidden="1" thickBot="1" x14ac:dyDescent="0.3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t="19.5" hidden="1" thickBot="1" x14ac:dyDescent="0.3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t="19.5" hidden="1" thickBot="1" x14ac:dyDescent="0.3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t="19.5" hidden="1" thickBot="1" x14ac:dyDescent="0.3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t="19.5" hidden="1" thickBot="1" x14ac:dyDescent="0.3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t="19.5" hidden="1" thickBot="1" x14ac:dyDescent="0.3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t="19.5" hidden="1" thickBot="1" x14ac:dyDescent="0.3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.75" hidden="1" thickBot="1" x14ac:dyDescent="0.3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t="19.5" hidden="1" thickBot="1" x14ac:dyDescent="0.3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t="19.5" hidden="1" thickBot="1" x14ac:dyDescent="0.3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t="19.5" hidden="1" thickBot="1" x14ac:dyDescent="0.3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t="19.5" hidden="1" thickBot="1" x14ac:dyDescent="0.3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t="19.5" hidden="1" thickBot="1" x14ac:dyDescent="0.3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t="19.5" hidden="1" thickBot="1" x14ac:dyDescent="0.3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t="19.5" hidden="1" thickBot="1" x14ac:dyDescent="0.3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t="19.5" hidden="1" thickBot="1" x14ac:dyDescent="0.3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t="19.5" hidden="1" thickBot="1" x14ac:dyDescent="0.3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t="19.5" hidden="1" thickBot="1" x14ac:dyDescent="0.3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t="19.5" hidden="1" thickBot="1" x14ac:dyDescent="0.3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t="19.5" hidden="1" thickBot="1" x14ac:dyDescent="0.3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t="19.5" hidden="1" thickBot="1" x14ac:dyDescent="0.3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t="19.5" hidden="1" thickBot="1" x14ac:dyDescent="0.3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t="19.5" hidden="1" thickBot="1" x14ac:dyDescent="0.3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t="19.5" hidden="1" thickBot="1" x14ac:dyDescent="0.3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t="19.5" hidden="1" thickBot="1" x14ac:dyDescent="0.3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t="19.5" hidden="1" thickBot="1" x14ac:dyDescent="0.3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t="19.5" hidden="1" thickBot="1" x14ac:dyDescent="0.3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t="19.5" hidden="1" thickBot="1" x14ac:dyDescent="0.3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t="19.5" hidden="1" thickBot="1" x14ac:dyDescent="0.3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t="19.5" hidden="1" thickBot="1" x14ac:dyDescent="0.3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t="19.5" hidden="1" thickBot="1" x14ac:dyDescent="0.3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t="19.5" hidden="1" thickBot="1" x14ac:dyDescent="0.3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t="19.5" hidden="1" thickBot="1" x14ac:dyDescent="0.3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t="19.5" hidden="1" thickBot="1" x14ac:dyDescent="0.3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t="19.5" hidden="1" thickBot="1" x14ac:dyDescent="0.3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t="19.5" hidden="1" thickBot="1" x14ac:dyDescent="0.3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7" hidden="1" thickBot="1" x14ac:dyDescent="0.3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t="19.5" hidden="1" thickBot="1" x14ac:dyDescent="0.3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t="19.5" hidden="1" thickBot="1" x14ac:dyDescent="0.3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t="19.5" hidden="1" thickBot="1" x14ac:dyDescent="0.3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t="19.5" hidden="1" thickBot="1" x14ac:dyDescent="0.3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t="19.5" hidden="1" thickBot="1" x14ac:dyDescent="0.3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t="19.5" hidden="1" thickBot="1" x14ac:dyDescent="0.3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t="19.5" hidden="1" thickBot="1" x14ac:dyDescent="0.3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t="19.5" hidden="1" thickBot="1" x14ac:dyDescent="0.3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t="19.5" hidden="1" thickBot="1" x14ac:dyDescent="0.3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t="19.5" hidden="1" thickBot="1" x14ac:dyDescent="0.3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t="19.5" hidden="1" thickBot="1" x14ac:dyDescent="0.3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t="19.5" hidden="1" thickBot="1" x14ac:dyDescent="0.3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.75" hidden="1" thickBot="1" x14ac:dyDescent="0.3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t="19.5" hidden="1" thickBot="1" x14ac:dyDescent="0.3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t="19.5" hidden="1" thickBot="1" x14ac:dyDescent="0.3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t="19.5" hidden="1" thickBot="1" x14ac:dyDescent="0.3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t="19.5" hidden="1" thickBot="1" x14ac:dyDescent="0.3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t="19.5" hidden="1" thickBot="1" x14ac:dyDescent="0.3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t="19.5" hidden="1" thickBot="1" x14ac:dyDescent="0.3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t="19.5" hidden="1" thickBot="1" x14ac:dyDescent="0.3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t="19.5" hidden="1" thickBot="1" x14ac:dyDescent="0.3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t="19.5" hidden="1" thickBot="1" x14ac:dyDescent="0.3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t="19.5" hidden="1" thickBot="1" x14ac:dyDescent="0.3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t="19.5" hidden="1" thickBot="1" x14ac:dyDescent="0.3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t="19.5" hidden="1" thickBot="1" x14ac:dyDescent="0.3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t="19.5" hidden="1" thickBot="1" x14ac:dyDescent="0.3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t="19.5" hidden="1" thickBot="1" x14ac:dyDescent="0.3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t="19.5" hidden="1" thickBot="1" x14ac:dyDescent="0.3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t="19.5" hidden="1" thickBot="1" x14ac:dyDescent="0.3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t="19.5" hidden="1" thickBot="1" x14ac:dyDescent="0.3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t="19.5" hidden="1" thickBot="1" x14ac:dyDescent="0.3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t="19.5" hidden="1" thickBot="1" x14ac:dyDescent="0.3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t="19.5" hidden="1" thickBot="1" x14ac:dyDescent="0.3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t="19.5" hidden="1" thickBot="1" x14ac:dyDescent="0.3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t="19.5" hidden="1" thickBot="1" x14ac:dyDescent="0.3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t="19.5" hidden="1" thickBot="1" x14ac:dyDescent="0.3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t="19.5" hidden="1" thickBot="1" x14ac:dyDescent="0.3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t="19.5" hidden="1" thickBot="1" x14ac:dyDescent="0.3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t="19.5" hidden="1" thickBot="1" x14ac:dyDescent="0.3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t="19.5" hidden="1" thickBot="1" x14ac:dyDescent="0.3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t="19.5" hidden="1" thickBot="1" x14ac:dyDescent="0.3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t="19.5" hidden="1" thickBot="1" x14ac:dyDescent="0.3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t="19.5" hidden="1" thickBot="1" x14ac:dyDescent="0.3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7" hidden="1" thickBot="1" x14ac:dyDescent="0.3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t="19.5" hidden="1" thickBot="1" x14ac:dyDescent="0.3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t="19.5" hidden="1" thickBot="1" x14ac:dyDescent="0.3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t="19.5" hidden="1" thickBot="1" x14ac:dyDescent="0.3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t="19.5" hidden="1" thickBot="1" x14ac:dyDescent="0.3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t="19.5" hidden="1" thickBot="1" x14ac:dyDescent="0.3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t="19.5" hidden="1" thickBot="1" x14ac:dyDescent="0.3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t="19.5" hidden="1" thickBot="1" x14ac:dyDescent="0.3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t="19.5" hidden="1" thickBot="1" x14ac:dyDescent="0.3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.75" hidden="1" thickBot="1" x14ac:dyDescent="0.3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t="19.5" hidden="1" thickBot="1" x14ac:dyDescent="0.3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t="19.5" hidden="1" thickBot="1" x14ac:dyDescent="0.3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t="19.5" hidden="1" thickBot="1" x14ac:dyDescent="0.3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t="19.5" hidden="1" thickBot="1" x14ac:dyDescent="0.3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t="19.5" hidden="1" thickBot="1" x14ac:dyDescent="0.3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t="19.5" hidden="1" thickBot="1" x14ac:dyDescent="0.3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t="19.5" hidden="1" thickBot="1" x14ac:dyDescent="0.3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t="19.5" hidden="1" thickBot="1" x14ac:dyDescent="0.3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t="19.5" hidden="1" thickBot="1" x14ac:dyDescent="0.3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t="19.5" hidden="1" thickBot="1" x14ac:dyDescent="0.3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t="19.5" hidden="1" thickBot="1" x14ac:dyDescent="0.3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t="19.5" hidden="1" thickBot="1" x14ac:dyDescent="0.3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t="19.5" hidden="1" thickBot="1" x14ac:dyDescent="0.3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t="19.5" hidden="1" thickBot="1" x14ac:dyDescent="0.3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t="19.5" hidden="1" thickBot="1" x14ac:dyDescent="0.3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t="19.5" hidden="1" thickBot="1" x14ac:dyDescent="0.3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t="19.5" hidden="1" thickBot="1" x14ac:dyDescent="0.3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t="19.5" hidden="1" thickBot="1" x14ac:dyDescent="0.3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t="19.5" hidden="1" thickBot="1" x14ac:dyDescent="0.3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t="19.5" hidden="1" thickBot="1" x14ac:dyDescent="0.3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t="19.5" hidden="1" thickBot="1" x14ac:dyDescent="0.3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t="19.5" hidden="1" thickBot="1" x14ac:dyDescent="0.3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t="19.5" hidden="1" thickBot="1" x14ac:dyDescent="0.3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t="19.5" hidden="1" thickBot="1" x14ac:dyDescent="0.3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t="19.5" hidden="1" thickBot="1" x14ac:dyDescent="0.3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t="19.5" hidden="1" thickBot="1" x14ac:dyDescent="0.3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t="19.5" hidden="1" thickBot="1" x14ac:dyDescent="0.3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t="19.5" hidden="1" thickBot="1" x14ac:dyDescent="0.3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t="19.5" hidden="1" thickBot="1" x14ac:dyDescent="0.3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t="19.5" hidden="1" thickBot="1" x14ac:dyDescent="0.3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t="19.5" hidden="1" thickBot="1" x14ac:dyDescent="0.3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t="19.5" hidden="1" thickBot="1" x14ac:dyDescent="0.3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t="19.5" hidden="1" thickBot="1" x14ac:dyDescent="0.3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t="19.5" hidden="1" thickBot="1" x14ac:dyDescent="0.3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t="19.5" hidden="1" thickBot="1" x14ac:dyDescent="0.3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t="19.5" hidden="1" thickBot="1" x14ac:dyDescent="0.3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t="19.5" hidden="1" thickBot="1" x14ac:dyDescent="0.3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t="19.5" hidden="1" thickBot="1" x14ac:dyDescent="0.3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t="19.5" hidden="1" thickBot="1" x14ac:dyDescent="0.3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.75" hidden="1" thickBot="1" x14ac:dyDescent="0.3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t="19.5" hidden="1" thickBot="1" x14ac:dyDescent="0.3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t="19.5" hidden="1" thickBot="1" x14ac:dyDescent="0.3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t="19.5" hidden="1" thickBot="1" x14ac:dyDescent="0.3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t="19.5" hidden="1" thickBot="1" x14ac:dyDescent="0.3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t="19.5" hidden="1" thickBot="1" x14ac:dyDescent="0.3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t="19.5" hidden="1" thickBot="1" x14ac:dyDescent="0.3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t="19.5" hidden="1" thickBot="1" x14ac:dyDescent="0.3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t="19.5" hidden="1" thickBot="1" x14ac:dyDescent="0.3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t="19.5" hidden="1" thickBot="1" x14ac:dyDescent="0.3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t="19.5" hidden="1" thickBot="1" x14ac:dyDescent="0.3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t="19.5" hidden="1" thickBot="1" x14ac:dyDescent="0.3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t="19.5" hidden="1" thickBot="1" x14ac:dyDescent="0.3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t="19.5" hidden="1" thickBot="1" x14ac:dyDescent="0.3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t="19.5" hidden="1" thickBot="1" x14ac:dyDescent="0.3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t="19.5" hidden="1" thickBot="1" x14ac:dyDescent="0.3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t="19.5" hidden="1" thickBot="1" x14ac:dyDescent="0.3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t="19.5" hidden="1" thickBot="1" x14ac:dyDescent="0.3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t="19.5" hidden="1" thickBot="1" x14ac:dyDescent="0.3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t="19.5" hidden="1" thickBot="1" x14ac:dyDescent="0.3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t="19.5" hidden="1" thickBot="1" x14ac:dyDescent="0.3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t="19.5" hidden="1" thickBot="1" x14ac:dyDescent="0.3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t="19.5" hidden="1" thickBot="1" x14ac:dyDescent="0.3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t="19.5" hidden="1" thickBot="1" x14ac:dyDescent="0.3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t="19.5" hidden="1" thickBot="1" x14ac:dyDescent="0.3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t="19.5" hidden="1" thickBot="1" x14ac:dyDescent="0.3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t="19.5" hidden="1" thickBot="1" x14ac:dyDescent="0.3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t="19.5" hidden="1" thickBot="1" x14ac:dyDescent="0.3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t="19.5" hidden="1" thickBot="1" x14ac:dyDescent="0.3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t="19.5" hidden="1" thickBot="1" x14ac:dyDescent="0.3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t="19.5" hidden="1" thickBot="1" x14ac:dyDescent="0.3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t="19.5" hidden="1" thickBot="1" x14ac:dyDescent="0.3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t="19.5" hidden="1" thickBot="1" x14ac:dyDescent="0.3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t="19.5" hidden="1" thickBot="1" x14ac:dyDescent="0.3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t="19.5" hidden="1" thickBot="1" x14ac:dyDescent="0.3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7" hidden="1" thickBot="1" x14ac:dyDescent="0.3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t="19.5" hidden="1" thickBot="1" x14ac:dyDescent="0.3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t="19.5" hidden="1" thickBot="1" x14ac:dyDescent="0.3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t="19.5" hidden="1" thickBot="1" x14ac:dyDescent="0.3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t="19.5" hidden="1" thickBot="1" x14ac:dyDescent="0.3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t="19.5" hidden="1" thickBot="1" x14ac:dyDescent="0.3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t="19.5" hidden="1" thickBot="1" x14ac:dyDescent="0.3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t="19.5" hidden="1" thickBot="1" x14ac:dyDescent="0.3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t="19.5" hidden="1" thickBot="1" x14ac:dyDescent="0.3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t="19.5" hidden="1" thickBot="1" x14ac:dyDescent="0.3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8.25" hidden="1" thickBot="1" x14ac:dyDescent="0.3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t="19.5" hidden="1" thickBot="1" x14ac:dyDescent="0.3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t="19.5" hidden="1" thickBot="1" x14ac:dyDescent="0.3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t="19.5" hidden="1" thickBot="1" x14ac:dyDescent="0.3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t="19.5" hidden="1" thickBot="1" x14ac:dyDescent="0.3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t="19.5" hidden="1" thickBot="1" x14ac:dyDescent="0.3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t="19.5" hidden="1" thickBot="1" x14ac:dyDescent="0.3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t="19.5" hidden="1" thickBot="1" x14ac:dyDescent="0.3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t="19.5" hidden="1" thickBot="1" x14ac:dyDescent="0.3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t="19.5" hidden="1" thickBot="1" x14ac:dyDescent="0.3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t="19.5" hidden="1" thickBot="1" x14ac:dyDescent="0.3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t="19.5" hidden="1" thickBot="1" x14ac:dyDescent="0.3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t="19.5" hidden="1" thickBot="1" x14ac:dyDescent="0.3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t="19.5" hidden="1" thickBot="1" x14ac:dyDescent="0.3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t="19.5" hidden="1" thickBot="1" x14ac:dyDescent="0.3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t="19.5" hidden="1" thickBot="1" x14ac:dyDescent="0.3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t="19.5" hidden="1" thickBot="1" x14ac:dyDescent="0.3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t="19.5" hidden="1" thickBot="1" x14ac:dyDescent="0.3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t="19.5" hidden="1" thickBot="1" x14ac:dyDescent="0.3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t="19.5" hidden="1" thickBot="1" x14ac:dyDescent="0.3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t="19.5" hidden="1" thickBot="1" x14ac:dyDescent="0.3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t="19.5" hidden="1" thickBot="1" x14ac:dyDescent="0.3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t="19.5" hidden="1" thickBot="1" x14ac:dyDescent="0.3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t="19.5" hidden="1" thickBot="1" x14ac:dyDescent="0.3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t="19.5" hidden="1" thickBot="1" x14ac:dyDescent="0.3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t="19.5" hidden="1" thickBot="1" x14ac:dyDescent="0.3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t="19.5" hidden="1" thickBot="1" x14ac:dyDescent="0.3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t="19.5" hidden="1" thickBot="1" x14ac:dyDescent="0.3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t="19.5" hidden="1" thickBot="1" x14ac:dyDescent="0.3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t="19.5" hidden="1" thickBot="1" x14ac:dyDescent="0.3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t="19.5" hidden="1" thickBot="1" x14ac:dyDescent="0.3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t="19.5" hidden="1" thickBot="1" x14ac:dyDescent="0.3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t="19.5" hidden="1" thickBot="1" x14ac:dyDescent="0.3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t="19.5" hidden="1" thickBot="1" x14ac:dyDescent="0.3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t="19.5" hidden="1" thickBot="1" x14ac:dyDescent="0.3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7" hidden="1" thickBot="1" x14ac:dyDescent="0.3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t="19.5" hidden="1" thickBot="1" x14ac:dyDescent="0.3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t="19.5" hidden="1" thickBot="1" x14ac:dyDescent="0.3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t="19.5" hidden="1" thickBot="1" x14ac:dyDescent="0.3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t="19.5" hidden="1" thickBot="1" x14ac:dyDescent="0.3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t="19.5" hidden="1" thickBot="1" x14ac:dyDescent="0.3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t="19.5" hidden="1" thickBot="1" x14ac:dyDescent="0.3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t="19.5" hidden="1" thickBot="1" x14ac:dyDescent="0.3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t="19.5" hidden="1" thickBot="1" x14ac:dyDescent="0.3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t="19.5" hidden="1" thickBot="1" x14ac:dyDescent="0.3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t="19.5" hidden="1" thickBot="1" x14ac:dyDescent="0.3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8.25" hidden="1" thickBot="1" x14ac:dyDescent="0.3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t="19.5" hidden="1" thickBot="1" x14ac:dyDescent="0.3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t="19.5" hidden="1" thickBot="1" x14ac:dyDescent="0.3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t="19.5" hidden="1" thickBot="1" x14ac:dyDescent="0.3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t="19.5" hidden="1" thickBot="1" x14ac:dyDescent="0.3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t="19.5" hidden="1" thickBot="1" x14ac:dyDescent="0.3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t="19.5" hidden="1" thickBot="1" x14ac:dyDescent="0.3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t="19.5" hidden="1" thickBot="1" x14ac:dyDescent="0.3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t="19.5" hidden="1" thickBot="1" x14ac:dyDescent="0.3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t="19.5" hidden="1" thickBot="1" x14ac:dyDescent="0.3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t="19.5" hidden="1" thickBot="1" x14ac:dyDescent="0.3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t="19.5" hidden="1" thickBot="1" x14ac:dyDescent="0.3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t="19.5" hidden="1" thickBot="1" x14ac:dyDescent="0.3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t="19.5" hidden="1" thickBot="1" x14ac:dyDescent="0.3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t="19.5" hidden="1" thickBot="1" x14ac:dyDescent="0.3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t="19.5" hidden="1" thickBot="1" x14ac:dyDescent="0.3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t="19.5" hidden="1" thickBot="1" x14ac:dyDescent="0.3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t="19.5" hidden="1" thickBot="1" x14ac:dyDescent="0.3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t="19.5" hidden="1" thickBot="1" x14ac:dyDescent="0.3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t="19.5" hidden="1" thickBot="1" x14ac:dyDescent="0.3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t="19.5" hidden="1" thickBot="1" x14ac:dyDescent="0.3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t="19.5" hidden="1" thickBot="1" x14ac:dyDescent="0.3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t="19.5" hidden="1" thickBot="1" x14ac:dyDescent="0.3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t="19.5" hidden="1" thickBot="1" x14ac:dyDescent="0.3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t="19.5" hidden="1" thickBot="1" x14ac:dyDescent="0.3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t="19.5" hidden="1" thickBot="1" x14ac:dyDescent="0.3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t="19.5" hidden="1" thickBot="1" x14ac:dyDescent="0.3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t="19.5" hidden="1" thickBot="1" x14ac:dyDescent="0.3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t="19.5" hidden="1" thickBot="1" x14ac:dyDescent="0.3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t="19.5" hidden="1" thickBot="1" x14ac:dyDescent="0.3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t="19.5" hidden="1" thickBot="1" x14ac:dyDescent="0.3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t="19.5" hidden="1" thickBot="1" x14ac:dyDescent="0.3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7" hidden="1" thickBot="1" x14ac:dyDescent="0.3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t="19.5" hidden="1" thickBot="1" x14ac:dyDescent="0.3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t="19.5" hidden="1" thickBot="1" x14ac:dyDescent="0.3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t="19.5" hidden="1" thickBot="1" x14ac:dyDescent="0.3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t="19.5" hidden="1" thickBot="1" x14ac:dyDescent="0.3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t="19.5" hidden="1" thickBot="1" x14ac:dyDescent="0.3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t="19.5" hidden="1" thickBot="1" x14ac:dyDescent="0.3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t="19.5" hidden="1" thickBot="1" x14ac:dyDescent="0.3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t="19.5" hidden="1" thickBot="1" x14ac:dyDescent="0.3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t="19.5" hidden="1" thickBot="1" x14ac:dyDescent="0.3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t="19.5" hidden="1" thickBot="1" x14ac:dyDescent="0.3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t="19.5" hidden="1" thickBot="1" x14ac:dyDescent="0.3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t="19.5" hidden="1" thickBot="1" x14ac:dyDescent="0.3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8.25" hidden="1" thickBot="1" x14ac:dyDescent="0.3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8.25" hidden="1" thickBot="1" x14ac:dyDescent="0.3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7" hidden="1" thickBot="1" x14ac:dyDescent="0.3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t="19.5" hidden="1" thickBot="1" x14ac:dyDescent="0.3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t="19.5" hidden="1" thickBot="1" x14ac:dyDescent="0.3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t="19.5" hidden="1" thickBot="1" x14ac:dyDescent="0.3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t="19.5" hidden="1" thickBot="1" x14ac:dyDescent="0.3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t="19.5" hidden="1" thickBot="1" x14ac:dyDescent="0.3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t="19.5" hidden="1" thickBot="1" x14ac:dyDescent="0.3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t="19.5" hidden="1" thickBot="1" x14ac:dyDescent="0.3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t="19.5" hidden="1" thickBot="1" x14ac:dyDescent="0.3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t="19.5" hidden="1" thickBot="1" x14ac:dyDescent="0.3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t="19.5" hidden="1" thickBot="1" x14ac:dyDescent="0.3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t="19.5" hidden="1" thickBot="1" x14ac:dyDescent="0.3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t="19.5" hidden="1" thickBot="1" x14ac:dyDescent="0.3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t="19.5" hidden="1" thickBot="1" x14ac:dyDescent="0.3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t="19.5" hidden="1" thickBot="1" x14ac:dyDescent="0.3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t="19.5" hidden="1" thickBot="1" x14ac:dyDescent="0.3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t="19.5" hidden="1" thickBot="1" x14ac:dyDescent="0.3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t="19.5" hidden="1" thickBot="1" x14ac:dyDescent="0.3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t="19.5" hidden="1" thickBot="1" x14ac:dyDescent="0.3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t="19.5" hidden="1" thickBot="1" x14ac:dyDescent="0.3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t="19.5" hidden="1" thickBot="1" x14ac:dyDescent="0.3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t="19.5" hidden="1" thickBot="1" x14ac:dyDescent="0.3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t="19.5" hidden="1" thickBot="1" x14ac:dyDescent="0.3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8.25" hidden="1" thickBot="1" x14ac:dyDescent="0.3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8.25" hidden="1" thickBot="1" x14ac:dyDescent="0.3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t="19.5" hidden="1" thickBot="1" x14ac:dyDescent="0.3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t="19.5" hidden="1" thickBot="1" x14ac:dyDescent="0.3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t="19.5" hidden="1" thickBot="1" x14ac:dyDescent="0.3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t="19.5" hidden="1" thickBot="1" x14ac:dyDescent="0.3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t="19.5" hidden="1" thickBot="1" x14ac:dyDescent="0.3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t="19.5" hidden="1" thickBot="1" x14ac:dyDescent="0.3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t="19.5" hidden="1" thickBot="1" x14ac:dyDescent="0.3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t="19.5" hidden="1" thickBot="1" x14ac:dyDescent="0.3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t="19.5" hidden="1" thickBot="1" x14ac:dyDescent="0.3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t="19.5" hidden="1" thickBot="1" x14ac:dyDescent="0.3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t="19.5" hidden="1" thickBot="1" x14ac:dyDescent="0.3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t="19.5" hidden="1" thickBot="1" x14ac:dyDescent="0.3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t="19.5" hidden="1" thickBot="1" x14ac:dyDescent="0.3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t="19.5" hidden="1" thickBot="1" x14ac:dyDescent="0.3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t="19.5" hidden="1" thickBot="1" x14ac:dyDescent="0.3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t="19.5" hidden="1" thickBot="1" x14ac:dyDescent="0.3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t="19.5" hidden="1" thickBot="1" x14ac:dyDescent="0.3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t="19.5" hidden="1" thickBot="1" x14ac:dyDescent="0.3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t="19.5" hidden="1" thickBot="1" x14ac:dyDescent="0.3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t="19.5" hidden="1" thickBot="1" x14ac:dyDescent="0.3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t="19.5" hidden="1" thickBot="1" x14ac:dyDescent="0.3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t="19.5" hidden="1" thickBot="1" x14ac:dyDescent="0.3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7" hidden="1" thickBot="1" x14ac:dyDescent="0.3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t="19.5" hidden="1" thickBot="1" x14ac:dyDescent="0.3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t="19.5" hidden="1" thickBot="1" x14ac:dyDescent="0.3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t="19.5" hidden="1" thickBot="1" x14ac:dyDescent="0.3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t="19.5" hidden="1" thickBot="1" x14ac:dyDescent="0.3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t="19.5" hidden="1" thickBot="1" x14ac:dyDescent="0.3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t="19.5" hidden="1" thickBot="1" x14ac:dyDescent="0.3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t="19.5" hidden="1" thickBot="1" x14ac:dyDescent="0.3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8.25" hidden="1" thickBot="1" x14ac:dyDescent="0.3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t="19.5" hidden="1" thickBot="1" x14ac:dyDescent="0.3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t="19.5" hidden="1" thickBot="1" x14ac:dyDescent="0.3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t="19.5" hidden="1" thickBot="1" x14ac:dyDescent="0.3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t="19.5" hidden="1" thickBot="1" x14ac:dyDescent="0.3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t="19.5" hidden="1" thickBot="1" x14ac:dyDescent="0.3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8.25" hidden="1" thickBot="1" x14ac:dyDescent="0.3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t="19.5" hidden="1" thickBot="1" x14ac:dyDescent="0.3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t="19.5" hidden="1" thickBot="1" x14ac:dyDescent="0.3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t="19.5" hidden="1" thickBot="1" x14ac:dyDescent="0.3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8.25" hidden="1" thickBot="1" x14ac:dyDescent="0.3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t="19.5" hidden="1" thickBot="1" x14ac:dyDescent="0.3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t="19.5" hidden="1" thickBot="1" x14ac:dyDescent="0.3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t="19.5" hidden="1" thickBot="1" x14ac:dyDescent="0.3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t="19.5" hidden="1" thickBot="1" x14ac:dyDescent="0.3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t="19.5" hidden="1" thickBot="1" x14ac:dyDescent="0.3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t="19.5" hidden="1" thickBot="1" x14ac:dyDescent="0.3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t="19.5" hidden="1" thickBot="1" x14ac:dyDescent="0.3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t="19.5" hidden="1" thickBot="1" x14ac:dyDescent="0.3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t="19.5" hidden="1" thickBot="1" x14ac:dyDescent="0.3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t="19.5" hidden="1" thickBot="1" x14ac:dyDescent="0.3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t="19.5" hidden="1" thickBot="1" x14ac:dyDescent="0.3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t="19.5" hidden="1" thickBot="1" x14ac:dyDescent="0.3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t="19.5" hidden="1" thickBot="1" x14ac:dyDescent="0.3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t="19.5" hidden="1" thickBot="1" x14ac:dyDescent="0.3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t="19.5" hidden="1" thickBot="1" x14ac:dyDescent="0.3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t="19.5" hidden="1" thickBot="1" x14ac:dyDescent="0.3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t="19.5" hidden="1" thickBot="1" x14ac:dyDescent="0.3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t="19.5" hidden="1" thickBot="1" x14ac:dyDescent="0.3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8.25" hidden="1" thickBot="1" x14ac:dyDescent="0.3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t="19.5" hidden="1" thickBot="1" x14ac:dyDescent="0.3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t="19.5" hidden="1" thickBot="1" x14ac:dyDescent="0.3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t="19.5" hidden="1" thickBot="1" x14ac:dyDescent="0.3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t="19.5" hidden="1" thickBot="1" x14ac:dyDescent="0.3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t="19.5" hidden="1" thickBot="1" x14ac:dyDescent="0.3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t="19.5" hidden="1" thickBot="1" x14ac:dyDescent="0.3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t="19.5" hidden="1" thickBot="1" x14ac:dyDescent="0.3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t="19.5" hidden="1" thickBot="1" x14ac:dyDescent="0.3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t="19.5" hidden="1" thickBot="1" x14ac:dyDescent="0.3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t="19.5" hidden="1" thickBot="1" x14ac:dyDescent="0.3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t="19.5" hidden="1" thickBot="1" x14ac:dyDescent="0.3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t="19.5" hidden="1" thickBot="1" x14ac:dyDescent="0.3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t="19.5" hidden="1" thickBot="1" x14ac:dyDescent="0.3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t="19.5" hidden="1" thickBot="1" x14ac:dyDescent="0.3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t="19.5" hidden="1" thickBot="1" x14ac:dyDescent="0.3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t="19.5" hidden="1" thickBot="1" x14ac:dyDescent="0.3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t="19.5" hidden="1" thickBot="1" x14ac:dyDescent="0.3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7" hidden="1" thickBot="1" x14ac:dyDescent="0.3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t="19.5" hidden="1" thickBot="1" x14ac:dyDescent="0.3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t="19.5" hidden="1" thickBot="1" x14ac:dyDescent="0.3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t="19.5" hidden="1" thickBot="1" x14ac:dyDescent="0.3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t="19.5" hidden="1" thickBot="1" x14ac:dyDescent="0.3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t="19.5" hidden="1" thickBot="1" x14ac:dyDescent="0.3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t="19.5" hidden="1" thickBot="1" x14ac:dyDescent="0.3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t="19.5" hidden="1" thickBot="1" x14ac:dyDescent="0.3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t="19.5" hidden="1" thickBot="1" x14ac:dyDescent="0.3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t="19.5" hidden="1" thickBot="1" x14ac:dyDescent="0.3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t="19.5" hidden="1" thickBot="1" x14ac:dyDescent="0.3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t="19.5" hidden="1" thickBot="1" x14ac:dyDescent="0.3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t="19.5" hidden="1" thickBot="1" x14ac:dyDescent="0.3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t="19.5" hidden="1" thickBot="1" x14ac:dyDescent="0.3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t="19.5" hidden="1" thickBot="1" x14ac:dyDescent="0.3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t="19.5" hidden="1" thickBot="1" x14ac:dyDescent="0.3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t="19.5" hidden="1" thickBot="1" x14ac:dyDescent="0.3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t="19.5" hidden="1" thickBot="1" x14ac:dyDescent="0.3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t="19.5" hidden="1" thickBot="1" x14ac:dyDescent="0.3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t="19.5" hidden="1" thickBot="1" x14ac:dyDescent="0.3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t="19.5" hidden="1" thickBot="1" x14ac:dyDescent="0.3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t="19.5" hidden="1" thickBot="1" x14ac:dyDescent="0.3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t="19.5" hidden="1" thickBot="1" x14ac:dyDescent="0.3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7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8.25" hidden="1" thickBot="1" x14ac:dyDescent="0.3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8.25" hidden="1" thickBot="1" x14ac:dyDescent="0.3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t="19.5" hidden="1" thickBot="1" x14ac:dyDescent="0.3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t="19.5" hidden="1" thickBot="1" x14ac:dyDescent="0.3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t="19.5" hidden="1" thickBot="1" x14ac:dyDescent="0.3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t="19.5" hidden="1" thickBot="1" x14ac:dyDescent="0.3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t="19.5" hidden="1" thickBot="1" x14ac:dyDescent="0.3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t="19.5" hidden="1" thickBot="1" x14ac:dyDescent="0.3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ht="19.5" hidden="1" thickBot="1" x14ac:dyDescent="0.3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ht="19.5" hidden="1" thickBot="1" x14ac:dyDescent="0.3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ht="19.5" hidden="1" thickBot="1" x14ac:dyDescent="0.3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ht="19.5" hidden="1" thickBot="1" x14ac:dyDescent="0.3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ht="19.5" hidden="1" thickBot="1" x14ac:dyDescent="0.3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ht="19.5" hidden="1" thickBot="1" x14ac:dyDescent="0.3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ht="19.5" hidden="1" thickBot="1" x14ac:dyDescent="0.3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ht="19.5" hidden="1" thickBot="1" x14ac:dyDescent="0.3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ht="19.5" hidden="1" thickBot="1" x14ac:dyDescent="0.3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</row>
    <row r="6526" spans="1:16" ht="19.5" hidden="1" thickBot="1" x14ac:dyDescent="0.3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ht="19.5" hidden="1" thickBot="1" x14ac:dyDescent="0.3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ht="19.5" hidden="1" thickBot="1" x14ac:dyDescent="0.3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2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</row>
    <row r="6529" spans="1:15" ht="18" hidden="1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2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</row>
    <row r="6530" spans="1:15" ht="19.5" hidden="1" thickBot="1" x14ac:dyDescent="0.3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2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</row>
    <row r="6531" spans="1:15" ht="19.5" hidden="1" thickBot="1" x14ac:dyDescent="0.3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2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</row>
    <row r="6532" spans="1:15" ht="19.5" hidden="1" thickBot="1" x14ac:dyDescent="0.3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2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</row>
    <row r="6533" spans="1:15" ht="19.5" hidden="1" thickBot="1" x14ac:dyDescent="0.3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2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</row>
    <row r="6534" spans="1:15" ht="19.5" hidden="1" thickBot="1" x14ac:dyDescent="0.3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2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</row>
    <row r="6535" spans="1:15" ht="19.5" hidden="1" thickBot="1" x14ac:dyDescent="0.3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2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</row>
    <row r="6536" spans="1:15" ht="19.5" hidden="1" thickBot="1" x14ac:dyDescent="0.3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2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</row>
    <row r="6537" spans="1:15" ht="19.5" hidden="1" thickBot="1" x14ac:dyDescent="0.3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2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</row>
    <row r="6538" spans="1:15" ht="19.5" hidden="1" thickBot="1" x14ac:dyDescent="0.3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2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</row>
    <row r="6539" spans="1:15" ht="19.5" hidden="1" thickBot="1" x14ac:dyDescent="0.3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2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</row>
    <row r="6540" spans="1:15" ht="19.5" hidden="1" thickBot="1" x14ac:dyDescent="0.3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2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</row>
    <row r="6541" spans="1:15" ht="19.5" hidden="1" thickBot="1" x14ac:dyDescent="0.3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5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</row>
    <row r="6542" spans="1:15" ht="19.5" hidden="1" thickBot="1" x14ac:dyDescent="0.3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5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</row>
    <row r="6543" spans="1:15" ht="19.5" hidden="1" thickBot="1" x14ac:dyDescent="0.3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5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</row>
    <row r="6544" spans="1:15" ht="57" hidden="1" thickBot="1" x14ac:dyDescent="0.3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5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</row>
    <row r="6545" spans="1:15" ht="19.5" hidden="1" thickBot="1" x14ac:dyDescent="0.3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5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</row>
    <row r="6546" spans="1:15" ht="19.5" hidden="1" thickBot="1" x14ac:dyDescent="0.3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5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</row>
    <row r="6547" spans="1:15" ht="19.5" hidden="1" thickBot="1" x14ac:dyDescent="0.3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5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</row>
    <row r="6548" spans="1:15" ht="19.5" hidden="1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5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</row>
    <row r="6549" spans="1:15" ht="19.5" hidden="1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5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</row>
    <row r="6550" spans="1:15" ht="19.5" hidden="1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5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</row>
    <row r="6551" spans="1:15" ht="19.5" hidden="1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5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</row>
    <row r="6552" spans="1:15" ht="19.5" hidden="1" thickBot="1" x14ac:dyDescent="0.3">
      <c r="A6552" s="890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5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</row>
    <row r="6553" spans="1:15" ht="19.5" hidden="1" thickBot="1" x14ac:dyDescent="0.3">
      <c r="A6553" s="891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5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</row>
    <row r="6554" spans="1:15" ht="19.5" hidden="1" thickBot="1" x14ac:dyDescent="0.3">
      <c r="A6554" s="892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5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</row>
    <row r="6555" spans="1:15" ht="19.5" hidden="1" thickBot="1" x14ac:dyDescent="0.3">
      <c r="A6555" s="828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5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</row>
    <row r="6556" spans="1:15" ht="19.5" hidden="1" thickBot="1" x14ac:dyDescent="0.3">
      <c r="A6556" s="830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5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</row>
    <row r="6557" spans="1:15" ht="38.25" hidden="1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</row>
    <row r="6558" spans="1:15" ht="19.5" hidden="1" thickBot="1" x14ac:dyDescent="0.3">
      <c r="A6558" s="503">
        <f t="shared" ref="A6558:A6622" si="196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5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</row>
    <row r="6559" spans="1:15" ht="38.25" hidden="1" thickBot="1" x14ac:dyDescent="0.3">
      <c r="A6559" s="890">
        <f t="shared" si="196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</row>
    <row r="6560" spans="1:15" ht="57.75" hidden="1" customHeight="1" x14ac:dyDescent="0.25">
      <c r="A6560" s="891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888" t="s">
        <v>1454</v>
      </c>
      <c r="H6560" s="678" t="s">
        <v>1450</v>
      </c>
      <c r="I6560" s="683" t="s">
        <v>1489</v>
      </c>
      <c r="J6560" s="738"/>
      <c r="K6560" s="678" t="str">
        <f t="shared" si="195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</row>
    <row r="6561" spans="1:15" ht="57.75" hidden="1" customHeight="1" thickBot="1" x14ac:dyDescent="0.3">
      <c r="A6561" s="892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889"/>
      <c r="H6561" s="744" t="s">
        <v>1451</v>
      </c>
      <c r="I6561" s="746" t="s">
        <v>1489</v>
      </c>
      <c r="J6561" s="747"/>
      <c r="K6561" s="744" t="str">
        <f t="shared" si="195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</row>
    <row r="6562" spans="1:15" ht="19.5" hidden="1" thickBot="1" x14ac:dyDescent="0.3">
      <c r="A6562" s="749">
        <f t="shared" ref="A6562:A6567" si="197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5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</row>
    <row r="6563" spans="1:15" ht="38.25" hidden="1" thickBot="1" x14ac:dyDescent="0.3">
      <c r="A6563" s="718">
        <f t="shared" si="197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5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</row>
    <row r="6564" spans="1:15" ht="19.5" hidden="1" thickBot="1" x14ac:dyDescent="0.3">
      <c r="A6564" s="503">
        <f t="shared" si="197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5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</row>
    <row r="6565" spans="1:15" ht="38.25" hidden="1" thickBot="1" x14ac:dyDescent="0.3">
      <c r="A6565" s="718">
        <f t="shared" si="197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5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</row>
    <row r="6566" spans="1:15" ht="57" hidden="1" thickBot="1" x14ac:dyDescent="0.3">
      <c r="A6566" s="503">
        <f t="shared" si="197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5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</row>
    <row r="6567" spans="1:15" ht="19.5" hidden="1" thickBot="1" x14ac:dyDescent="0.3">
      <c r="A6567" s="890">
        <f t="shared" si="197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5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</row>
    <row r="6568" spans="1:15" ht="19.5" hidden="1" thickBot="1" x14ac:dyDescent="0.3">
      <c r="A6568" s="892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5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</row>
    <row r="6569" spans="1:15" ht="19.5" hidden="1" thickBot="1" x14ac:dyDescent="0.3">
      <c r="A6569" s="503">
        <f t="shared" ref="A6569:A6574" si="198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5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</row>
    <row r="6570" spans="1:15" ht="19.5" hidden="1" thickBot="1" x14ac:dyDescent="0.3">
      <c r="A6570" s="718">
        <f t="shared" si="198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5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</row>
    <row r="6571" spans="1:15" ht="19.5" hidden="1" thickBot="1" x14ac:dyDescent="0.3">
      <c r="A6571" s="828">
        <f t="shared" si="198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5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</row>
    <row r="6572" spans="1:15" ht="19.5" hidden="1" thickBot="1" x14ac:dyDescent="0.3">
      <c r="A6572" s="829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5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</row>
    <row r="6573" spans="1:15" ht="19.5" hidden="1" thickBot="1" x14ac:dyDescent="0.3">
      <c r="A6573" s="513">
        <f t="shared" si="198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5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</row>
    <row r="6574" spans="1:15" ht="19.5" hidden="1" thickBot="1" x14ac:dyDescent="0.3">
      <c r="A6574" s="503">
        <f t="shared" si="198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5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</row>
    <row r="6575" spans="1:15" ht="19.5" hidden="1" thickBot="1" x14ac:dyDescent="0.3">
      <c r="A6575" s="513">
        <f t="shared" si="196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5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</row>
    <row r="6576" spans="1:15" ht="19.5" hidden="1" thickBot="1" x14ac:dyDescent="0.3">
      <c r="A6576" s="503">
        <f t="shared" si="196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5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</row>
    <row r="6577" spans="1:15" ht="19.5" hidden="1" thickBot="1" x14ac:dyDescent="0.3">
      <c r="A6577" s="572">
        <f t="shared" si="196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5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</row>
    <row r="6578" spans="1:15" ht="19.5" hidden="1" thickBot="1" x14ac:dyDescent="0.3">
      <c r="A6578" s="882">
        <f t="shared" si="196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5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</row>
    <row r="6579" spans="1:15" ht="19.5" hidden="1" thickBot="1" x14ac:dyDescent="0.3">
      <c r="A6579" s="829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5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</row>
    <row r="6580" spans="1:15" ht="19.5" hidden="1" thickBot="1" x14ac:dyDescent="0.3">
      <c r="A6580" s="893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5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</row>
    <row r="6581" spans="1:15" ht="19.5" hidden="1" thickBot="1" x14ac:dyDescent="0.3">
      <c r="A6581" s="896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5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</row>
    <row r="6582" spans="1:15" ht="19.5" hidden="1" thickBot="1" x14ac:dyDescent="0.3">
      <c r="A6582" s="837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5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</row>
    <row r="6583" spans="1:15" ht="19.5" hidden="1" thickBot="1" x14ac:dyDescent="0.3">
      <c r="A6583" s="897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5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</row>
    <row r="6584" spans="1:15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5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</row>
    <row r="6585" spans="1:15" ht="19.5" hidden="1" thickBot="1" x14ac:dyDescent="0.3">
      <c r="A6585" s="898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5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</row>
    <row r="6586" spans="1:15" ht="19.5" hidden="1" thickBot="1" x14ac:dyDescent="0.3">
      <c r="A6586" s="899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5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</row>
    <row r="6587" spans="1:15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5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</row>
    <row r="6588" spans="1:15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5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</row>
    <row r="6589" spans="1:15" ht="19.5" hidden="1" thickBot="1" x14ac:dyDescent="0.3">
      <c r="A6589" s="882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5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</row>
    <row r="6590" spans="1:15" ht="19.5" hidden="1" thickBot="1" x14ac:dyDescent="0.3">
      <c r="A6590" s="893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5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</row>
    <row r="6591" spans="1:15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5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</row>
    <row r="6592" spans="1:15" ht="19.5" hidden="1" thickBot="1" x14ac:dyDescent="0.3">
      <c r="A6592" s="828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5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</row>
    <row r="6593" spans="1:15" ht="19.5" hidden="1" thickBot="1" x14ac:dyDescent="0.3">
      <c r="A6593" s="830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5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</row>
    <row r="6594" spans="1:15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5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</row>
    <row r="6595" spans="1:15" ht="19.5" hidden="1" thickBot="1" x14ac:dyDescent="0.3">
      <c r="A6595" s="828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5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</row>
    <row r="6596" spans="1:15" ht="19.5" hidden="1" thickBot="1" x14ac:dyDescent="0.3">
      <c r="A6596" s="829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5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</row>
    <row r="6597" spans="1:15" ht="19.5" hidden="1" thickBot="1" x14ac:dyDescent="0.3">
      <c r="A6597" s="829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5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</row>
    <row r="6598" spans="1:15" ht="19.5" hidden="1" thickBot="1" x14ac:dyDescent="0.3">
      <c r="A6598" s="829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5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</row>
    <row r="6599" spans="1:15" ht="19.5" hidden="1" thickBot="1" x14ac:dyDescent="0.3">
      <c r="A6599" s="829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5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</row>
    <row r="6600" spans="1:15" ht="19.5" hidden="1" thickBot="1" x14ac:dyDescent="0.3">
      <c r="A6600" s="513">
        <f t="shared" si="196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5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</row>
    <row r="6601" spans="1:15" ht="19.5" hidden="1" thickBot="1" x14ac:dyDescent="0.3">
      <c r="A6601" s="828">
        <f t="shared" si="196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5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</row>
    <row r="6602" spans="1:15" ht="19.5" hidden="1" thickBot="1" x14ac:dyDescent="0.3">
      <c r="A6602" s="830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5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</row>
    <row r="6603" spans="1:15" ht="19.5" hidden="1" thickBot="1" x14ac:dyDescent="0.3">
      <c r="A6603" s="513">
        <f t="shared" si="196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5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</row>
    <row r="6604" spans="1:15" ht="19.5" hidden="1" thickBot="1" x14ac:dyDescent="0.3">
      <c r="A6604" s="828">
        <f t="shared" si="196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894" t="s">
        <v>1508</v>
      </c>
      <c r="H6604" s="535" t="s">
        <v>1505</v>
      </c>
      <c r="I6604" s="537" t="s">
        <v>1505</v>
      </c>
      <c r="J6604" s="538"/>
      <c r="K6604" s="535" t="str">
        <f t="shared" si="195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</row>
    <row r="6605" spans="1:15" ht="19.5" hidden="1" thickBot="1" x14ac:dyDescent="0.3">
      <c r="A6605" s="830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895"/>
      <c r="H6605" s="640" t="s">
        <v>1505</v>
      </c>
      <c r="I6605" s="642" t="s">
        <v>1505</v>
      </c>
      <c r="J6605" s="643"/>
      <c r="K6605" s="640" t="str">
        <f t="shared" ref="K6605:K6664" si="199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</row>
    <row r="6606" spans="1:15" ht="38.25" hidden="1" thickBot="1" x14ac:dyDescent="0.3">
      <c r="A6606" s="513">
        <f t="shared" si="196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199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</row>
    <row r="6607" spans="1:15" ht="38.25" hidden="1" thickBot="1" x14ac:dyDescent="0.3">
      <c r="A6607" s="503">
        <f t="shared" si="196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199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</row>
    <row r="6608" spans="1:15" ht="19.5" hidden="1" thickBot="1" x14ac:dyDescent="0.3">
      <c r="A6608" s="831">
        <f t="shared" si="196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199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</row>
    <row r="6609" spans="1:15" ht="19.5" hidden="1" thickBot="1" x14ac:dyDescent="0.3">
      <c r="A6609" s="832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199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</row>
    <row r="6610" spans="1:15" ht="57" hidden="1" thickBot="1" x14ac:dyDescent="0.3">
      <c r="A6610" s="503">
        <f t="shared" si="196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199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</row>
    <row r="6611" spans="1:15" ht="19.5" hidden="1" thickBot="1" x14ac:dyDescent="0.3">
      <c r="A6611" s="831">
        <f t="shared" si="196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199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</row>
    <row r="6612" spans="1:15" ht="19.5" hidden="1" thickBot="1" x14ac:dyDescent="0.3">
      <c r="A6612" s="832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199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</row>
    <row r="6613" spans="1:15" ht="19.5" hidden="1" thickBot="1" x14ac:dyDescent="0.3">
      <c r="A6613" s="503">
        <f t="shared" si="196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199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</row>
    <row r="6614" spans="1:15" ht="19.5" hidden="1" thickBot="1" x14ac:dyDescent="0.3">
      <c r="A6614" s="831">
        <f t="shared" si="196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199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</row>
    <row r="6615" spans="1:15" ht="19.5" hidden="1" thickBot="1" x14ac:dyDescent="0.3">
      <c r="A6615" s="836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199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</row>
    <row r="6616" spans="1:15" ht="19.5" hidden="1" thickBot="1" x14ac:dyDescent="0.3">
      <c r="A6616" s="832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199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</row>
    <row r="6617" spans="1:15" ht="19.5" hidden="1" thickBot="1" x14ac:dyDescent="0.3">
      <c r="A6617" s="828">
        <f t="shared" si="196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199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</row>
    <row r="6618" spans="1:15" ht="19.5" hidden="1" thickBot="1" x14ac:dyDescent="0.3">
      <c r="A6618" s="830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199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</row>
    <row r="6619" spans="1:15" ht="19.5" hidden="1" thickBot="1" x14ac:dyDescent="0.3">
      <c r="A6619" s="513">
        <f t="shared" si="196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199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</row>
    <row r="6620" spans="1:15" ht="19.5" hidden="1" thickBot="1" x14ac:dyDescent="0.3">
      <c r="A6620" s="551">
        <f t="shared" si="196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199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</row>
    <row r="6621" spans="1:15" ht="19.5" hidden="1" thickBot="1" x14ac:dyDescent="0.3">
      <c r="A6621" s="513">
        <f t="shared" si="196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199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</row>
    <row r="6622" spans="1:15" ht="19.5" hidden="1" thickBot="1" x14ac:dyDescent="0.3">
      <c r="A6622" s="503">
        <f t="shared" si="196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199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</row>
    <row r="6623" spans="1:15" ht="19.5" hidden="1" thickBot="1" x14ac:dyDescent="0.3">
      <c r="A6623" s="572">
        <f t="shared" ref="A6623:A6668" si="200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199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</row>
    <row r="6624" spans="1:15" ht="19.5" hidden="1" thickBot="1" x14ac:dyDescent="0.3">
      <c r="A6624" s="828">
        <f t="shared" si="200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199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</row>
    <row r="6625" spans="1:15" ht="19.5" hidden="1" thickBot="1" x14ac:dyDescent="0.3">
      <c r="A6625" s="830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199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</row>
    <row r="6626" spans="1:15" ht="19.5" hidden="1" thickBot="1" x14ac:dyDescent="0.3">
      <c r="A6626" s="513">
        <f t="shared" si="200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199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</row>
    <row r="6627" spans="1:15" ht="19.5" hidden="1" thickBot="1" x14ac:dyDescent="0.3">
      <c r="A6627" s="503">
        <f t="shared" si="200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199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</row>
    <row r="6628" spans="1:15" ht="19.5" hidden="1" thickBot="1" x14ac:dyDescent="0.3">
      <c r="A6628" s="513">
        <f t="shared" si="200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199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</row>
    <row r="6629" spans="1:15" ht="19.5" hidden="1" thickBot="1" x14ac:dyDescent="0.3">
      <c r="A6629" s="828">
        <f t="shared" si="200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199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</row>
    <row r="6630" spans="1:15" ht="19.5" hidden="1" thickBot="1" x14ac:dyDescent="0.3">
      <c r="A6630" s="829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199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</row>
    <row r="6631" spans="1:15" ht="19.5" hidden="1" thickBot="1" x14ac:dyDescent="0.3">
      <c r="A6631" s="830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199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</row>
    <row r="6632" spans="1:15" ht="19.5" hidden="1" thickBot="1" x14ac:dyDescent="0.3">
      <c r="A6632" s="831">
        <f t="shared" si="200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199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</row>
    <row r="6633" spans="1:15" ht="57" hidden="1" thickBot="1" x14ac:dyDescent="0.3">
      <c r="A6633" s="836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199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</row>
    <row r="6634" spans="1:15" ht="19.5" hidden="1" thickBot="1" x14ac:dyDescent="0.3">
      <c r="A6634" s="832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199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</row>
    <row r="6635" spans="1:15" ht="19.5" hidden="1" thickBot="1" x14ac:dyDescent="0.3">
      <c r="A6635" s="828">
        <f t="shared" si="200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199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</row>
    <row r="6636" spans="1:15" ht="19.5" hidden="1" thickBot="1" x14ac:dyDescent="0.3">
      <c r="A6636" s="829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199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</row>
    <row r="6637" spans="1:15" ht="19.5" hidden="1" thickBot="1" x14ac:dyDescent="0.3">
      <c r="A6637" s="829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199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</row>
    <row r="6638" spans="1:15" ht="19.5" hidden="1" thickBot="1" x14ac:dyDescent="0.3">
      <c r="A6638" s="831">
        <f t="shared" si="200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199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</row>
    <row r="6639" spans="1:15" ht="19.5" hidden="1" thickBot="1" x14ac:dyDescent="0.3">
      <c r="A6639" s="832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199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</row>
    <row r="6640" spans="1:15" ht="19.5" hidden="1" thickBot="1" x14ac:dyDescent="0.3">
      <c r="A6640" s="828">
        <f t="shared" si="200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199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</row>
    <row r="6641" spans="1:15" ht="19.5" hidden="1" thickBot="1" x14ac:dyDescent="0.3">
      <c r="A6641" s="829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199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</row>
    <row r="6642" spans="1:15" ht="19.5" hidden="1" thickBot="1" x14ac:dyDescent="0.3">
      <c r="A6642" s="830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199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</row>
    <row r="6643" spans="1:15" ht="38.25" hidden="1" thickBot="1" x14ac:dyDescent="0.3">
      <c r="A6643" s="572">
        <f t="shared" si="200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199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</row>
    <row r="6644" spans="1:15" ht="19.5" hidden="1" thickBot="1" x14ac:dyDescent="0.3">
      <c r="A6644" s="828">
        <f t="shared" si="200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199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</row>
    <row r="6645" spans="1:15" ht="19.5" hidden="1" thickBot="1" x14ac:dyDescent="0.3">
      <c r="A6645" s="829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199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</row>
    <row r="6646" spans="1:15" ht="19.5" hidden="1" thickBot="1" x14ac:dyDescent="0.3">
      <c r="A6646" s="829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199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</row>
    <row r="6647" spans="1:15" ht="19.5" hidden="1" thickBot="1" x14ac:dyDescent="0.3">
      <c r="A6647" s="830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199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</row>
    <row r="6648" spans="1:15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199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</row>
    <row r="6649" spans="1:15" ht="19.5" hidden="1" thickBot="1" x14ac:dyDescent="0.3">
      <c r="A6649" s="828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199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</row>
    <row r="6650" spans="1:15" ht="19.5" hidden="1" thickBot="1" x14ac:dyDescent="0.3">
      <c r="A6650" s="829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199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</row>
    <row r="6651" spans="1:15" ht="19.5" hidden="1" thickBot="1" x14ac:dyDescent="0.3">
      <c r="A6651" s="830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199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</row>
    <row r="6652" spans="1:15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199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</row>
    <row r="6653" spans="1:15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199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</row>
    <row r="6654" spans="1:15" ht="19.5" hidden="1" thickBot="1" x14ac:dyDescent="0.3">
      <c r="A6654" s="831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199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</row>
    <row r="6655" spans="1:15" ht="19.5" hidden="1" thickBot="1" x14ac:dyDescent="0.3">
      <c r="A6655" s="832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199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</row>
    <row r="6656" spans="1:15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199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</row>
    <row r="6657" spans="1:15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199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</row>
    <row r="6658" spans="1:15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199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</row>
    <row r="6659" spans="1:15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199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</row>
    <row r="6660" spans="1:15" ht="19.5" hidden="1" thickBot="1" x14ac:dyDescent="0.3">
      <c r="A6660" s="828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841" t="s">
        <v>1575</v>
      </c>
      <c r="H6660" s="535" t="s">
        <v>1574</v>
      </c>
      <c r="I6660" s="537" t="s">
        <v>1574</v>
      </c>
      <c r="J6660" s="538"/>
      <c r="K6660" s="535" t="str">
        <f t="shared" si="199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</row>
    <row r="6661" spans="1:15" ht="19.5" hidden="1" thickBot="1" x14ac:dyDescent="0.3">
      <c r="A6661" s="830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842"/>
      <c r="H6661" s="640" t="s">
        <v>1574</v>
      </c>
      <c r="I6661" s="642" t="s">
        <v>1574</v>
      </c>
      <c r="J6661" s="643"/>
      <c r="K6661" s="640" t="str">
        <f t="shared" si="199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</row>
    <row r="6662" spans="1:15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199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</row>
    <row r="6663" spans="1:15" ht="19.5" hidden="1" thickBot="1" x14ac:dyDescent="0.3">
      <c r="A6663" s="828">
        <f t="shared" si="200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199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</row>
    <row r="6664" spans="1:15" ht="19.5" hidden="1" thickBot="1" x14ac:dyDescent="0.3">
      <c r="A6664" s="829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199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</row>
    <row r="6665" spans="1:15" ht="19.5" thickBot="1" x14ac:dyDescent="0.3">
      <c r="A6665" s="513">
        <f t="shared" si="200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4"/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</row>
    <row r="6666" spans="1:15" ht="19.5" thickBot="1" x14ac:dyDescent="0.3">
      <c r="A6666" s="503">
        <f t="shared" si="200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4"/>
      <c r="L6666" s="508" t="s">
        <v>266</v>
      </c>
      <c r="M6666" s="508">
        <v>18153.7</v>
      </c>
      <c r="N6666" s="512">
        <v>0.45833333333333331</v>
      </c>
      <c r="O6666" s="758" t="s">
        <v>1621</v>
      </c>
    </row>
    <row r="6667" spans="1:15" ht="19.5" thickBot="1" x14ac:dyDescent="0.3">
      <c r="A6667" s="572">
        <f t="shared" si="200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3"/>
      <c r="L6667" s="577" t="s">
        <v>266</v>
      </c>
      <c r="M6667" s="577">
        <v>18022.2</v>
      </c>
      <c r="N6667" s="581">
        <v>0.5</v>
      </c>
      <c r="O6667" s="758" t="s">
        <v>1623</v>
      </c>
    </row>
    <row r="6668" spans="1:15" x14ac:dyDescent="0.25">
      <c r="A6668" s="882">
        <f t="shared" si="200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1"/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</row>
    <row r="6669" spans="1:15" ht="19.5" thickBot="1" x14ac:dyDescent="0.3">
      <c r="A6669" s="893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91"/>
      <c r="L6669" s="788" t="s">
        <v>266</v>
      </c>
      <c r="M6669" s="788">
        <v>2100</v>
      </c>
      <c r="N6669" s="784">
        <v>0.54166666666666663</v>
      </c>
      <c r="O6669" s="758" t="s">
        <v>1630</v>
      </c>
    </row>
    <row r="6670" spans="1:15" x14ac:dyDescent="0.25">
      <c r="A6670" s="837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79"/>
      <c r="L6670" s="483" t="s">
        <v>265</v>
      </c>
      <c r="M6670" s="483">
        <v>15769.920000000002</v>
      </c>
      <c r="N6670" s="486">
        <v>0.375</v>
      </c>
      <c r="O6670" s="758" t="s">
        <v>1624</v>
      </c>
    </row>
    <row r="6671" spans="1:15" x14ac:dyDescent="0.25">
      <c r="A6671" s="837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92"/>
      <c r="L6671" s="763" t="s">
        <v>265</v>
      </c>
      <c r="M6671" s="763">
        <v>1882.2</v>
      </c>
      <c r="N6671" s="770">
        <v>0.375</v>
      </c>
      <c r="O6671" s="758" t="s">
        <v>1625</v>
      </c>
    </row>
    <row r="6672" spans="1:15" ht="19.5" thickBot="1" x14ac:dyDescent="0.3">
      <c r="A6672" s="827"/>
      <c r="B6672" s="793" t="s">
        <v>1601</v>
      </c>
      <c r="C6672" s="794" t="s">
        <v>26</v>
      </c>
      <c r="D6672" s="795">
        <v>1.9</v>
      </c>
      <c r="E6672" s="795">
        <v>1.9059999999999999</v>
      </c>
      <c r="F6672" s="796" t="s">
        <v>16</v>
      </c>
      <c r="G6672" s="797" t="s">
        <v>76</v>
      </c>
      <c r="H6672" s="796" t="s">
        <v>1614</v>
      </c>
      <c r="I6672" s="796" t="s">
        <v>1614</v>
      </c>
      <c r="J6672" s="798"/>
      <c r="K6672" s="799"/>
      <c r="L6672" s="796" t="s">
        <v>265</v>
      </c>
      <c r="M6672" s="796">
        <v>1905</v>
      </c>
      <c r="N6672" s="502">
        <v>0.375</v>
      </c>
      <c r="O6672" s="758" t="s">
        <v>1626</v>
      </c>
    </row>
    <row r="6673" spans="1:15" x14ac:dyDescent="0.25">
      <c r="A6673" s="824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1"/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</row>
    <row r="6674" spans="1:15" ht="18.75" customHeight="1" thickBot="1" x14ac:dyDescent="0.3">
      <c r="A6674" s="825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91"/>
      <c r="L6674" s="788" t="s">
        <v>265</v>
      </c>
      <c r="M6674" s="788">
        <v>1905</v>
      </c>
      <c r="N6674" s="784">
        <v>0.41666666666666669</v>
      </c>
      <c r="O6674" s="758" t="s">
        <v>1628</v>
      </c>
    </row>
    <row r="6675" spans="1:15" x14ac:dyDescent="0.25">
      <c r="A6675" s="831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/>
      <c r="F6675" s="527" t="s">
        <v>16</v>
      </c>
      <c r="G6675" s="561"/>
      <c r="H6675" s="527" t="s">
        <v>1614</v>
      </c>
      <c r="I6675" s="528"/>
      <c r="J6675" s="529"/>
      <c r="K6675" s="523"/>
      <c r="L6675" s="527" t="s">
        <v>266</v>
      </c>
      <c r="M6675" s="527">
        <v>7856.2</v>
      </c>
      <c r="N6675" s="530">
        <v>0.45833333333333331</v>
      </c>
    </row>
    <row r="6676" spans="1:15" ht="19.5" thickBot="1" x14ac:dyDescent="0.3">
      <c r="A6676" s="832"/>
      <c r="B6676" s="645" t="s">
        <v>1595</v>
      </c>
      <c r="C6676" s="646" t="s">
        <v>32</v>
      </c>
      <c r="D6676" s="647">
        <v>7.1859999999999999</v>
      </c>
      <c r="E6676" s="648"/>
      <c r="F6676" s="649" t="s">
        <v>16</v>
      </c>
      <c r="G6676" s="650"/>
      <c r="H6676" s="649" t="s">
        <v>1614</v>
      </c>
      <c r="I6676" s="651"/>
      <c r="J6676" s="652"/>
      <c r="K6676" s="645"/>
      <c r="L6676" s="649" t="s">
        <v>266</v>
      </c>
      <c r="M6676" s="649">
        <v>7186.8</v>
      </c>
      <c r="N6676" s="653">
        <v>0.45833333333333331</v>
      </c>
    </row>
    <row r="6677" spans="1:15" ht="19.5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4"/>
      <c r="L6677" s="508" t="s">
        <v>265</v>
      </c>
      <c r="M6677" s="508">
        <v>11907.16</v>
      </c>
      <c r="N6677" s="512">
        <v>0.375</v>
      </c>
      <c r="O6677" s="758" t="s">
        <v>1622</v>
      </c>
    </row>
    <row r="6678" spans="1:15" x14ac:dyDescent="0.25">
      <c r="A6678" s="831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/>
      <c r="F6678" s="483" t="s">
        <v>30</v>
      </c>
      <c r="G6678" s="549"/>
      <c r="H6678" s="483" t="s">
        <v>1614</v>
      </c>
      <c r="I6678" s="484"/>
      <c r="J6678" s="485"/>
      <c r="K6678" s="479"/>
      <c r="L6678" s="483" t="s">
        <v>28</v>
      </c>
      <c r="M6678" s="483">
        <v>10987.8</v>
      </c>
      <c r="N6678" s="486">
        <v>0.41666666666666669</v>
      </c>
    </row>
    <row r="6679" spans="1:15" ht="19.5" thickBot="1" x14ac:dyDescent="0.3">
      <c r="A6679" s="836"/>
      <c r="B6679" s="495" t="s">
        <v>1595</v>
      </c>
      <c r="C6679" s="496" t="s">
        <v>24</v>
      </c>
      <c r="D6679" s="497">
        <v>1.536</v>
      </c>
      <c r="E6679" s="498"/>
      <c r="F6679" s="499" t="s">
        <v>30</v>
      </c>
      <c r="G6679" s="562"/>
      <c r="H6679" s="499" t="s">
        <v>1614</v>
      </c>
      <c r="I6679" s="500"/>
      <c r="J6679" s="501"/>
      <c r="K6679" s="495"/>
      <c r="L6679" s="499" t="s">
        <v>28</v>
      </c>
      <c r="M6679" s="499">
        <v>1536.12</v>
      </c>
      <c r="N6679" s="502">
        <v>0.41666666666666669</v>
      </c>
    </row>
    <row r="6680" spans="1:15" x14ac:dyDescent="0.25">
      <c r="A6680" s="824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/>
      <c r="F6680" s="535" t="s">
        <v>16</v>
      </c>
      <c r="G6680" s="536"/>
      <c r="H6680" s="535" t="s">
        <v>1615</v>
      </c>
      <c r="I6680" s="537"/>
      <c r="J6680" s="538"/>
      <c r="K6680" s="531"/>
      <c r="L6680" s="535" t="s">
        <v>265</v>
      </c>
      <c r="M6680" s="535">
        <v>17741.740000000002</v>
      </c>
      <c r="N6680" s="539">
        <v>0.375</v>
      </c>
    </row>
    <row r="6681" spans="1:15" ht="18.75" customHeight="1" thickBot="1" x14ac:dyDescent="0.3">
      <c r="A6681" s="825"/>
      <c r="B6681" s="800" t="s">
        <v>1614</v>
      </c>
      <c r="C6681" s="801" t="s">
        <v>26</v>
      </c>
      <c r="D6681" s="802">
        <v>1.8</v>
      </c>
      <c r="E6681" s="802"/>
      <c r="F6681" s="803" t="s">
        <v>16</v>
      </c>
      <c r="G6681" s="804" t="s">
        <v>76</v>
      </c>
      <c r="H6681" s="803" t="s">
        <v>1615</v>
      </c>
      <c r="I6681" s="803"/>
      <c r="J6681" s="805"/>
      <c r="K6681" s="806"/>
      <c r="L6681" s="803" t="s">
        <v>265</v>
      </c>
      <c r="M6681" s="803">
        <v>1800</v>
      </c>
      <c r="N6681" s="807">
        <v>0.375</v>
      </c>
    </row>
    <row r="6682" spans="1:15" x14ac:dyDescent="0.25">
      <c r="A6682" s="826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/>
      <c r="F6682" s="483" t="s">
        <v>16</v>
      </c>
      <c r="G6682" s="549"/>
      <c r="H6682" s="483" t="s">
        <v>1615</v>
      </c>
      <c r="I6682" s="484"/>
      <c r="J6682" s="485"/>
      <c r="K6682" s="479"/>
      <c r="L6682" s="483" t="s">
        <v>265</v>
      </c>
      <c r="M6682" s="483">
        <v>17666.54</v>
      </c>
      <c r="N6682" s="486">
        <v>0.41666666666666669</v>
      </c>
    </row>
    <row r="6683" spans="1:15" ht="18.75" customHeight="1" thickBot="1" x14ac:dyDescent="0.3">
      <c r="A6683" s="827"/>
      <c r="B6683" s="808" t="s">
        <v>1614</v>
      </c>
      <c r="C6683" s="809" t="s">
        <v>26</v>
      </c>
      <c r="D6683" s="810">
        <v>1.8</v>
      </c>
      <c r="E6683" s="810"/>
      <c r="F6683" s="811" t="s">
        <v>16</v>
      </c>
      <c r="G6683" s="812" t="s">
        <v>76</v>
      </c>
      <c r="H6683" s="811" t="s">
        <v>1615</v>
      </c>
      <c r="I6683" s="811"/>
      <c r="J6683" s="814"/>
      <c r="K6683" s="813"/>
      <c r="L6683" s="811" t="s">
        <v>265</v>
      </c>
      <c r="M6683" s="811">
        <v>1800</v>
      </c>
      <c r="N6683" s="778">
        <v>0.41666666666666669</v>
      </c>
    </row>
    <row r="6684" spans="1:15" x14ac:dyDescent="0.25">
      <c r="A6684" s="828">
        <f>MAX(A6665:A6683)+1</f>
        <v>4203</v>
      </c>
      <c r="B6684" s="563" t="s">
        <v>1595</v>
      </c>
      <c r="C6684" s="564" t="s">
        <v>15</v>
      </c>
      <c r="D6684" s="565">
        <v>5.984</v>
      </c>
      <c r="E6684" s="566"/>
      <c r="F6684" s="567" t="s">
        <v>16</v>
      </c>
      <c r="G6684" s="568"/>
      <c r="H6684" s="567" t="s">
        <v>1615</v>
      </c>
      <c r="I6684" s="569"/>
      <c r="J6684" s="570"/>
      <c r="K6684" s="563"/>
      <c r="L6684" s="567" t="s">
        <v>28</v>
      </c>
      <c r="M6684" s="567">
        <v>6110.8199999999988</v>
      </c>
      <c r="N6684" s="571">
        <v>0.45833333333333331</v>
      </c>
    </row>
    <row r="6685" spans="1:15" ht="19.5" thickBot="1" x14ac:dyDescent="0.3">
      <c r="A6685" s="830"/>
      <c r="B6685" s="636" t="s">
        <v>1595</v>
      </c>
      <c r="C6685" s="637" t="s">
        <v>24</v>
      </c>
      <c r="D6685" s="638">
        <v>11.436999999999999</v>
      </c>
      <c r="E6685" s="639"/>
      <c r="F6685" s="640" t="s">
        <v>16</v>
      </c>
      <c r="G6685" s="641"/>
      <c r="H6685" s="640" t="s">
        <v>1615</v>
      </c>
      <c r="I6685" s="642"/>
      <c r="J6685" s="643"/>
      <c r="K6685" s="636"/>
      <c r="L6685" s="640" t="s">
        <v>28</v>
      </c>
      <c r="M6685" s="640">
        <v>11590.22</v>
      </c>
      <c r="N6685" s="644">
        <v>0.45833333333333331</v>
      </c>
    </row>
    <row r="6686" spans="1:15" x14ac:dyDescent="0.25">
      <c r="A6686" s="831">
        <f>MAX(A6667:A6685)+1</f>
        <v>4204</v>
      </c>
      <c r="B6686" s="479" t="s">
        <v>1595</v>
      </c>
      <c r="C6686" s="480" t="s">
        <v>47</v>
      </c>
      <c r="D6686" s="481">
        <v>12.212</v>
      </c>
      <c r="E6686" s="482"/>
      <c r="F6686" s="483" t="s">
        <v>16</v>
      </c>
      <c r="G6686" s="549"/>
      <c r="H6686" s="483" t="s">
        <v>1615</v>
      </c>
      <c r="I6686" s="484"/>
      <c r="J6686" s="485"/>
      <c r="K6686" s="479"/>
      <c r="L6686" s="483" t="s">
        <v>28</v>
      </c>
      <c r="M6686" s="483">
        <v>12306.62</v>
      </c>
      <c r="N6686" s="486">
        <v>0.5</v>
      </c>
    </row>
    <row r="6687" spans="1:15" ht="19.5" thickBot="1" x14ac:dyDescent="0.3">
      <c r="A6687" s="832"/>
      <c r="B6687" s="645" t="s">
        <v>1595</v>
      </c>
      <c r="C6687" s="646" t="s">
        <v>41</v>
      </c>
      <c r="D6687" s="647">
        <v>4.92</v>
      </c>
      <c r="E6687" s="648"/>
      <c r="F6687" s="649" t="s">
        <v>16</v>
      </c>
      <c r="G6687" s="650"/>
      <c r="H6687" s="649" t="s">
        <v>1615</v>
      </c>
      <c r="I6687" s="651"/>
      <c r="J6687" s="652"/>
      <c r="K6687" s="645"/>
      <c r="L6687" s="649" t="s">
        <v>266</v>
      </c>
      <c r="M6687" s="649">
        <v>4962.6000000000004</v>
      </c>
      <c r="N6687" s="653">
        <v>0.5</v>
      </c>
    </row>
    <row r="6688" spans="1:15" ht="19.5" thickBot="1" x14ac:dyDescent="0.3">
      <c r="A6688" s="503">
        <f>MAX(A6670:A6687)+1</f>
        <v>4205</v>
      </c>
      <c r="B6688" s="504" t="s">
        <v>1595</v>
      </c>
      <c r="C6688" s="505" t="s">
        <v>23</v>
      </c>
      <c r="D6688" s="506">
        <v>17.202000000000002</v>
      </c>
      <c r="E6688" s="507"/>
      <c r="F6688" s="508" t="s">
        <v>16</v>
      </c>
      <c r="G6688" s="509"/>
      <c r="H6688" s="508" t="s">
        <v>1615</v>
      </c>
      <c r="I6688" s="510"/>
      <c r="J6688" s="511"/>
      <c r="K6688" s="504"/>
      <c r="L6688" s="508" t="s">
        <v>28</v>
      </c>
      <c r="M6688" s="508">
        <v>17353.440000000002</v>
      </c>
      <c r="N6688" s="512">
        <v>0.54166666666666663</v>
      </c>
    </row>
    <row r="6689" spans="1:14" ht="19.5" thickBot="1" x14ac:dyDescent="0.3">
      <c r="A6689" s="572">
        <f>MAX(A6672:A6688)+1</f>
        <v>4206</v>
      </c>
      <c r="B6689" s="573" t="s">
        <v>1595</v>
      </c>
      <c r="C6689" s="574" t="s">
        <v>47</v>
      </c>
      <c r="D6689" s="575">
        <v>17.206</v>
      </c>
      <c r="E6689" s="576"/>
      <c r="F6689" s="577" t="s">
        <v>16</v>
      </c>
      <c r="G6689" s="578"/>
      <c r="H6689" s="577" t="s">
        <v>1615</v>
      </c>
      <c r="I6689" s="579"/>
      <c r="J6689" s="580"/>
      <c r="K6689" s="573"/>
      <c r="L6689" s="577" t="s">
        <v>28</v>
      </c>
      <c r="M6689" s="577">
        <v>17455.91</v>
      </c>
      <c r="N6689" s="581">
        <v>0.58333333333333337</v>
      </c>
    </row>
    <row r="6690" spans="1:14" x14ac:dyDescent="0.25">
      <c r="A6690" s="824">
        <f>MAX(A6673:A6689)+1</f>
        <v>4207</v>
      </c>
      <c r="B6690" s="759" t="s">
        <v>1601</v>
      </c>
      <c r="C6690" s="532" t="s">
        <v>26</v>
      </c>
      <c r="D6690" s="533">
        <v>16.431000000000001</v>
      </c>
      <c r="E6690" s="534"/>
      <c r="F6690" s="535" t="s">
        <v>16</v>
      </c>
      <c r="G6690" s="536"/>
      <c r="H6690" s="535" t="s">
        <v>1620</v>
      </c>
      <c r="I6690" s="537"/>
      <c r="J6690" s="538"/>
      <c r="K6690" s="531"/>
      <c r="L6690" s="535" t="s">
        <v>265</v>
      </c>
      <c r="M6690" s="535">
        <v>16592.62</v>
      </c>
      <c r="N6690" s="539">
        <v>0.375</v>
      </c>
    </row>
    <row r="6691" spans="1:14" x14ac:dyDescent="0.25">
      <c r="A6691" s="835"/>
      <c r="B6691" s="817" t="s">
        <v>1614</v>
      </c>
      <c r="C6691" s="818" t="s">
        <v>26</v>
      </c>
      <c r="D6691" s="819">
        <v>3.5</v>
      </c>
      <c r="E6691" s="819"/>
      <c r="F6691" s="820" t="s">
        <v>16</v>
      </c>
      <c r="G6691" s="821" t="s">
        <v>76</v>
      </c>
      <c r="H6691" s="820" t="s">
        <v>1620</v>
      </c>
      <c r="I6691" s="820"/>
      <c r="J6691" s="822"/>
      <c r="K6691" s="823"/>
      <c r="L6691" s="820" t="s">
        <v>265</v>
      </c>
      <c r="M6691" s="820">
        <v>3510</v>
      </c>
      <c r="N6691" s="815">
        <v>0.375</v>
      </c>
    </row>
    <row r="6692" spans="1:14" ht="19.5" thickBot="1" x14ac:dyDescent="0.3">
      <c r="A6692" s="825"/>
      <c r="B6692" s="816" t="s">
        <v>1601</v>
      </c>
      <c r="C6692" s="637" t="s">
        <v>952</v>
      </c>
      <c r="D6692" s="638">
        <v>1.1100000000000001</v>
      </c>
      <c r="E6692" s="639"/>
      <c r="F6692" s="640" t="s">
        <v>16</v>
      </c>
      <c r="G6692" s="641"/>
      <c r="H6692" s="640" t="s">
        <v>1620</v>
      </c>
      <c r="I6692" s="642"/>
      <c r="J6692" s="643"/>
      <c r="K6692" s="636"/>
      <c r="L6692" s="640" t="s">
        <v>265</v>
      </c>
      <c r="M6692" s="640">
        <v>1164.54</v>
      </c>
      <c r="N6692" s="644">
        <v>0.375</v>
      </c>
    </row>
    <row r="6693" spans="1:14" x14ac:dyDescent="0.25">
      <c r="A6693" s="826">
        <f>MAX(A6676:A6692)+1</f>
        <v>4208</v>
      </c>
      <c r="B6693" s="610" t="s">
        <v>1601</v>
      </c>
      <c r="C6693" s="480" t="s">
        <v>26</v>
      </c>
      <c r="D6693" s="481">
        <v>17.666</v>
      </c>
      <c r="E6693" s="482"/>
      <c r="F6693" s="483" t="s">
        <v>16</v>
      </c>
      <c r="G6693" s="549"/>
      <c r="H6693" s="483" t="s">
        <v>1620</v>
      </c>
      <c r="I6693" s="484"/>
      <c r="J6693" s="485"/>
      <c r="K6693" s="479"/>
      <c r="L6693" s="483" t="s">
        <v>265</v>
      </c>
      <c r="M6693" s="483">
        <v>17862.260000000002</v>
      </c>
      <c r="N6693" s="486">
        <v>0.41666666666666669</v>
      </c>
    </row>
    <row r="6694" spans="1:14" ht="18.75" customHeight="1" thickBot="1" x14ac:dyDescent="0.3">
      <c r="A6694" s="827"/>
      <c r="B6694" s="808" t="s">
        <v>1614</v>
      </c>
      <c r="C6694" s="809" t="s">
        <v>26</v>
      </c>
      <c r="D6694" s="810">
        <v>4.3</v>
      </c>
      <c r="E6694" s="810"/>
      <c r="F6694" s="811" t="s">
        <v>16</v>
      </c>
      <c r="G6694" s="812"/>
      <c r="H6694" s="811" t="s">
        <v>1620</v>
      </c>
      <c r="I6694" s="811"/>
      <c r="J6694" s="814"/>
      <c r="K6694" s="813"/>
      <c r="L6694" s="811" t="s">
        <v>265</v>
      </c>
      <c r="M6694" s="811">
        <v>4305</v>
      </c>
      <c r="N6694" s="778">
        <v>0.41666666666666669</v>
      </c>
    </row>
    <row r="6695" spans="1:14" x14ac:dyDescent="0.25">
      <c r="A6695" s="824">
        <f>MAX(A6677:A6694)+1</f>
        <v>4209</v>
      </c>
      <c r="B6695" s="759" t="s">
        <v>1601</v>
      </c>
      <c r="C6695" s="532" t="s">
        <v>913</v>
      </c>
      <c r="D6695" s="533">
        <v>3.4249999999999998</v>
      </c>
      <c r="E6695" s="534"/>
      <c r="F6695" s="535" t="s">
        <v>16</v>
      </c>
      <c r="G6695" s="536"/>
      <c r="H6695" s="535" t="s">
        <v>1620</v>
      </c>
      <c r="I6695" s="537"/>
      <c r="J6695" s="538"/>
      <c r="K6695" s="531"/>
      <c r="L6695" s="535" t="s">
        <v>266</v>
      </c>
      <c r="M6695" s="535">
        <v>3459.63</v>
      </c>
      <c r="N6695" s="539">
        <v>0.45833333333333331</v>
      </c>
    </row>
    <row r="6696" spans="1:14" x14ac:dyDescent="0.25">
      <c r="A6696" s="835"/>
      <c r="B6696" s="817" t="s">
        <v>1614</v>
      </c>
      <c r="C6696" s="818" t="s">
        <v>23</v>
      </c>
      <c r="D6696" s="819">
        <v>4</v>
      </c>
      <c r="E6696" s="819"/>
      <c r="F6696" s="820" t="s">
        <v>16</v>
      </c>
      <c r="G6696" s="821"/>
      <c r="H6696" s="820" t="s">
        <v>1620</v>
      </c>
      <c r="I6696" s="820"/>
      <c r="J6696" s="822"/>
      <c r="K6696" s="823"/>
      <c r="L6696" s="820" t="s">
        <v>28</v>
      </c>
      <c r="M6696" s="820">
        <v>4022.4</v>
      </c>
      <c r="N6696" s="815">
        <v>0.45833333333333331</v>
      </c>
    </row>
    <row r="6697" spans="1:14" ht="19.5" thickBot="1" x14ac:dyDescent="0.3">
      <c r="A6697" s="825"/>
      <c r="B6697" s="816" t="s">
        <v>1601</v>
      </c>
      <c r="C6697" s="637" t="s">
        <v>23</v>
      </c>
      <c r="D6697" s="638">
        <v>13.865</v>
      </c>
      <c r="E6697" s="639"/>
      <c r="F6697" s="640" t="s">
        <v>16</v>
      </c>
      <c r="G6697" s="641"/>
      <c r="H6697" s="640" t="s">
        <v>1620</v>
      </c>
      <c r="I6697" s="642"/>
      <c r="J6697" s="643"/>
      <c r="K6697" s="636"/>
      <c r="L6697" s="640" t="s">
        <v>28</v>
      </c>
      <c r="M6697" s="640">
        <v>13946.94</v>
      </c>
      <c r="N6697" s="644">
        <v>0.45833333333333331</v>
      </c>
    </row>
    <row r="6698" spans="1:14" ht="56.25" x14ac:dyDescent="0.25">
      <c r="A6698" s="831">
        <f>MAX(A6679:A6697)+1</f>
        <v>4210</v>
      </c>
      <c r="B6698" s="479" t="s">
        <v>1601</v>
      </c>
      <c r="C6698" s="480" t="s">
        <v>587</v>
      </c>
      <c r="D6698" s="481">
        <v>0.51700000000000002</v>
      </c>
      <c r="E6698" s="482"/>
      <c r="F6698" s="483" t="s">
        <v>16</v>
      </c>
      <c r="G6698" s="549" t="s">
        <v>794</v>
      </c>
      <c r="H6698" s="483" t="s">
        <v>1620</v>
      </c>
      <c r="I6698" s="484"/>
      <c r="J6698" s="485"/>
      <c r="K6698" s="479"/>
      <c r="L6698" s="483" t="s">
        <v>28</v>
      </c>
      <c r="M6698" s="483">
        <v>517.44000000000005</v>
      </c>
      <c r="N6698" s="486">
        <v>0.5</v>
      </c>
    </row>
    <row r="6699" spans="1:14" x14ac:dyDescent="0.25">
      <c r="A6699" s="836"/>
      <c r="B6699" s="523" t="s">
        <v>1601</v>
      </c>
      <c r="C6699" s="524" t="s">
        <v>587</v>
      </c>
      <c r="D6699" s="525">
        <v>8.2680000000000007</v>
      </c>
      <c r="E6699" s="526"/>
      <c r="F6699" s="527" t="s">
        <v>16</v>
      </c>
      <c r="G6699" s="561" t="s">
        <v>47</v>
      </c>
      <c r="H6699" s="527" t="s">
        <v>1620</v>
      </c>
      <c r="I6699" s="528"/>
      <c r="J6699" s="529"/>
      <c r="K6699" s="523"/>
      <c r="L6699" s="527" t="s">
        <v>28</v>
      </c>
      <c r="M6699" s="527">
        <v>8268.52</v>
      </c>
      <c r="N6699" s="530">
        <v>0.5</v>
      </c>
    </row>
    <row r="6700" spans="1:14" ht="19.5" thickBot="1" x14ac:dyDescent="0.3">
      <c r="A6700" s="836"/>
      <c r="B6700" s="495" t="s">
        <v>1601</v>
      </c>
      <c r="C6700" s="496" t="s">
        <v>47</v>
      </c>
      <c r="D6700" s="497">
        <v>8.4</v>
      </c>
      <c r="E6700" s="498"/>
      <c r="F6700" s="499" t="s">
        <v>16</v>
      </c>
      <c r="G6700" s="562"/>
      <c r="H6700" s="499" t="s">
        <v>1620</v>
      </c>
      <c r="I6700" s="500"/>
      <c r="J6700" s="501"/>
      <c r="K6700" s="495"/>
      <c r="L6700" s="499" t="s">
        <v>28</v>
      </c>
      <c r="M6700" s="499">
        <v>8438.4</v>
      </c>
      <c r="N6700" s="502">
        <v>0.5</v>
      </c>
    </row>
    <row r="6701" spans="1:14" ht="19.5" thickBot="1" x14ac:dyDescent="0.3">
      <c r="A6701" s="503">
        <f>MAX(A6684:A6700)+1</f>
        <v>4211</v>
      </c>
      <c r="B6701" s="504" t="s">
        <v>1614</v>
      </c>
      <c r="C6701" s="505" t="s">
        <v>32</v>
      </c>
      <c r="D6701" s="506">
        <v>17.959</v>
      </c>
      <c r="E6701" s="507"/>
      <c r="F6701" s="508" t="s">
        <v>16</v>
      </c>
      <c r="G6701" s="509"/>
      <c r="H6701" s="508" t="s">
        <v>1620</v>
      </c>
      <c r="I6701" s="510"/>
      <c r="J6701" s="511"/>
      <c r="K6701" s="504"/>
      <c r="L6701" s="508" t="s">
        <v>266</v>
      </c>
      <c r="M6701" s="508">
        <v>18025.18</v>
      </c>
      <c r="N6701" s="512">
        <v>0.54166666666666663</v>
      </c>
    </row>
    <row r="6702" spans="1:14" ht="19.5" thickBot="1" x14ac:dyDescent="0.3">
      <c r="A6702" s="513">
        <f>MAX(A6685:A6701)+1</f>
        <v>4212</v>
      </c>
      <c r="B6702" s="514" t="s">
        <v>1614</v>
      </c>
      <c r="C6702" s="515" t="s">
        <v>26</v>
      </c>
      <c r="D6702" s="516">
        <v>12.032999999999999</v>
      </c>
      <c r="E6702" s="517"/>
      <c r="F6702" s="518" t="s">
        <v>30</v>
      </c>
      <c r="G6702" s="519"/>
      <c r="H6702" s="518" t="s">
        <v>1620</v>
      </c>
      <c r="I6702" s="520"/>
      <c r="J6702" s="521"/>
      <c r="K6702" s="514"/>
      <c r="L6702" s="518" t="s">
        <v>265</v>
      </c>
      <c r="M6702" s="518">
        <v>12033.279999999999</v>
      </c>
      <c r="N6702" s="522">
        <v>0.375</v>
      </c>
    </row>
    <row r="6703" spans="1:14" x14ac:dyDescent="0.25">
      <c r="A6703" s="828">
        <f>MAX(A6686:A6702)+1</f>
        <v>4213</v>
      </c>
      <c r="B6703" s="531" t="s">
        <v>1614</v>
      </c>
      <c r="C6703" s="532" t="s">
        <v>26</v>
      </c>
      <c r="D6703" s="533">
        <v>12.714</v>
      </c>
      <c r="E6703" s="534"/>
      <c r="F6703" s="535" t="s">
        <v>16</v>
      </c>
      <c r="G6703" s="536"/>
      <c r="H6703" s="535" t="s">
        <v>1631</v>
      </c>
      <c r="I6703" s="537"/>
      <c r="J6703" s="538"/>
      <c r="K6703" s="531"/>
      <c r="L6703" s="535" t="s">
        <v>265</v>
      </c>
      <c r="M6703" s="535">
        <v>12827.199999999999</v>
      </c>
      <c r="N6703" s="539">
        <v>0.375</v>
      </c>
    </row>
    <row r="6704" spans="1:14" x14ac:dyDescent="0.25">
      <c r="A6704" s="829"/>
      <c r="B6704" s="563" t="s">
        <v>1614</v>
      </c>
      <c r="C6704" s="564" t="s">
        <v>1358</v>
      </c>
      <c r="D6704" s="565">
        <v>2.7949999999999999</v>
      </c>
      <c r="E6704" s="566"/>
      <c r="F6704" s="567" t="s">
        <v>16</v>
      </c>
      <c r="G6704" s="568" t="s">
        <v>844</v>
      </c>
      <c r="H6704" s="567" t="s">
        <v>1631</v>
      </c>
      <c r="I6704" s="569"/>
      <c r="J6704" s="570"/>
      <c r="K6704" s="563"/>
      <c r="L6704" s="567" t="s">
        <v>265</v>
      </c>
      <c r="M6704" s="567">
        <v>2894.42</v>
      </c>
      <c r="N6704" s="571">
        <v>0.375</v>
      </c>
    </row>
    <row r="6705" spans="1:14" ht="19.5" thickBot="1" x14ac:dyDescent="0.3">
      <c r="A6705" s="830"/>
      <c r="B6705" s="636" t="s">
        <v>1614</v>
      </c>
      <c r="C6705" s="637" t="s">
        <v>1358</v>
      </c>
      <c r="D6705" s="638">
        <v>1.8149999999999999</v>
      </c>
      <c r="E6705" s="639"/>
      <c r="F6705" s="640" t="s">
        <v>16</v>
      </c>
      <c r="G6705" s="641" t="s">
        <v>845</v>
      </c>
      <c r="H6705" s="640" t="s">
        <v>1631</v>
      </c>
      <c r="I6705" s="642"/>
      <c r="J6705" s="643"/>
      <c r="K6705" s="636"/>
      <c r="L6705" s="640" t="s">
        <v>265</v>
      </c>
      <c r="M6705" s="640">
        <v>1925.24</v>
      </c>
      <c r="N6705" s="644">
        <v>0.375</v>
      </c>
    </row>
    <row r="6706" spans="1:14" ht="19.5" thickBot="1" x14ac:dyDescent="0.3">
      <c r="A6706" s="513">
        <f>MAX(A6689:A6705)+1</f>
        <v>4214</v>
      </c>
      <c r="B6706" s="514" t="s">
        <v>1614</v>
      </c>
      <c r="C6706" s="515" t="s">
        <v>26</v>
      </c>
      <c r="D6706" s="516">
        <v>17.507000000000001</v>
      </c>
      <c r="E6706" s="517"/>
      <c r="F6706" s="518" t="s">
        <v>16</v>
      </c>
      <c r="G6706" s="519"/>
      <c r="H6706" s="518" t="s">
        <v>1631</v>
      </c>
      <c r="I6706" s="520"/>
      <c r="J6706" s="521"/>
      <c r="K6706" s="514"/>
      <c r="L6706" s="518" t="s">
        <v>265</v>
      </c>
      <c r="M6706" s="518">
        <v>17672.740000000002</v>
      </c>
      <c r="N6706" s="522">
        <v>0.41666666666666669</v>
      </c>
    </row>
    <row r="6707" spans="1:14" ht="19.5" thickBot="1" x14ac:dyDescent="0.3">
      <c r="A6707" s="503">
        <f>MAX(A6690:A6706)+1</f>
        <v>4215</v>
      </c>
      <c r="B6707" s="504" t="s">
        <v>1614</v>
      </c>
      <c r="C6707" s="505" t="s">
        <v>23</v>
      </c>
      <c r="D6707" s="506">
        <v>11.225</v>
      </c>
      <c r="E6707" s="507"/>
      <c r="F6707" s="508" t="s">
        <v>30</v>
      </c>
      <c r="G6707" s="509"/>
      <c r="H6707" s="508" t="s">
        <v>1631</v>
      </c>
      <c r="I6707" s="510"/>
      <c r="J6707" s="511"/>
      <c r="K6707" s="504"/>
      <c r="L6707" s="508" t="s">
        <v>28</v>
      </c>
      <c r="M6707" s="508">
        <v>11225.12</v>
      </c>
      <c r="N6707" s="512">
        <v>0.41666666666666669</v>
      </c>
    </row>
    <row r="6708" spans="1:14" ht="57" thickBot="1" x14ac:dyDescent="0.3">
      <c r="A6708" s="513">
        <f>MAX(A6692:A6707)+1</f>
        <v>4216</v>
      </c>
      <c r="B6708" s="514" t="s">
        <v>1614</v>
      </c>
      <c r="C6708" s="515" t="s">
        <v>587</v>
      </c>
      <c r="D6708" s="516">
        <v>11.345000000000001</v>
      </c>
      <c r="E6708" s="517"/>
      <c r="F6708" s="518" t="s">
        <v>30</v>
      </c>
      <c r="G6708" s="519" t="s">
        <v>1632</v>
      </c>
      <c r="H6708" s="518" t="s">
        <v>1631</v>
      </c>
      <c r="I6708" s="520"/>
      <c r="J6708" s="521"/>
      <c r="K6708" s="514"/>
      <c r="L6708" s="518" t="s">
        <v>28</v>
      </c>
      <c r="M6708" s="518">
        <v>11345.68</v>
      </c>
      <c r="N6708" s="522">
        <v>0.45833333333333331</v>
      </c>
    </row>
    <row r="6709" spans="1:14" ht="19.5" thickBot="1" x14ac:dyDescent="0.3">
      <c r="A6709" s="503">
        <f>MAX(A6693:A6708)+1</f>
        <v>4217</v>
      </c>
      <c r="B6709" s="504" t="s">
        <v>1614</v>
      </c>
      <c r="C6709" s="505" t="s">
        <v>47</v>
      </c>
      <c r="D6709" s="506">
        <v>11.48</v>
      </c>
      <c r="E6709" s="507"/>
      <c r="F6709" s="508" t="s">
        <v>30</v>
      </c>
      <c r="G6709" s="509"/>
      <c r="H6709" s="508" t="s">
        <v>1631</v>
      </c>
      <c r="I6709" s="510"/>
      <c r="J6709" s="511"/>
      <c r="K6709" s="504"/>
      <c r="L6709" s="508" t="s">
        <v>28</v>
      </c>
      <c r="M6709" s="508">
        <v>11480.960000000001</v>
      </c>
      <c r="N6709" s="512">
        <v>0.5</v>
      </c>
    </row>
    <row r="6710" spans="1:14" x14ac:dyDescent="0.25">
      <c r="A6710" s="831">
        <f>MAX(A6695:A6709)+1</f>
        <v>4218</v>
      </c>
      <c r="B6710" s="479" t="s">
        <v>1614</v>
      </c>
      <c r="C6710" s="480" t="s">
        <v>24</v>
      </c>
      <c r="D6710" s="481">
        <v>7.7350000000000003</v>
      </c>
      <c r="E6710" s="482"/>
      <c r="F6710" s="483" t="s">
        <v>16</v>
      </c>
      <c r="G6710" s="833" t="s">
        <v>1633</v>
      </c>
      <c r="H6710" s="483" t="s">
        <v>1631</v>
      </c>
      <c r="I6710" s="484"/>
      <c r="J6710" s="485"/>
      <c r="K6710" s="479"/>
      <c r="L6710" s="483" t="s">
        <v>28</v>
      </c>
      <c r="M6710" s="483">
        <v>7917.2999999999993</v>
      </c>
      <c r="N6710" s="486">
        <v>0.45833333333333331</v>
      </c>
    </row>
    <row r="6711" spans="1:14" ht="19.5" thickBot="1" x14ac:dyDescent="0.3">
      <c r="A6711" s="832"/>
      <c r="B6711" s="645" t="s">
        <v>1614</v>
      </c>
      <c r="C6711" s="646" t="s">
        <v>15</v>
      </c>
      <c r="D6711" s="647">
        <v>8.0030000000000001</v>
      </c>
      <c r="E6711" s="648"/>
      <c r="F6711" s="649" t="s">
        <v>16</v>
      </c>
      <c r="G6711" s="834"/>
      <c r="H6711" s="649" t="s">
        <v>1631</v>
      </c>
      <c r="I6711" s="651"/>
      <c r="J6711" s="652"/>
      <c r="K6711" s="645"/>
      <c r="L6711" s="649" t="s">
        <v>28</v>
      </c>
      <c r="M6711" s="649">
        <v>8185.32</v>
      </c>
      <c r="N6711" s="653">
        <v>0.45833333333333331</v>
      </c>
    </row>
    <row r="6712" spans="1:14" ht="38.25" thickBot="1" x14ac:dyDescent="0.3">
      <c r="A6712" s="503">
        <f t="shared" ref="A6712:A6725" si="201">MAX(A6698:A6711)+1</f>
        <v>4219</v>
      </c>
      <c r="B6712" s="504" t="s">
        <v>1614</v>
      </c>
      <c r="C6712" s="505" t="s">
        <v>47</v>
      </c>
      <c r="D6712" s="506">
        <v>15.422000000000001</v>
      </c>
      <c r="E6712" s="507"/>
      <c r="F6712" s="508" t="s">
        <v>16</v>
      </c>
      <c r="G6712" s="509" t="s">
        <v>1633</v>
      </c>
      <c r="H6712" s="508" t="s">
        <v>1631</v>
      </c>
      <c r="I6712" s="510"/>
      <c r="J6712" s="511"/>
      <c r="K6712" s="504"/>
      <c r="L6712" s="508" t="s">
        <v>28</v>
      </c>
      <c r="M6712" s="508">
        <v>15657.02</v>
      </c>
      <c r="N6712" s="512">
        <v>0.5</v>
      </c>
    </row>
    <row r="6713" spans="1:14" ht="38.25" thickBot="1" x14ac:dyDescent="0.3">
      <c r="A6713" s="513">
        <f t="shared" si="201"/>
        <v>4220</v>
      </c>
      <c r="B6713" s="514" t="s">
        <v>1614</v>
      </c>
      <c r="C6713" s="515" t="s">
        <v>23</v>
      </c>
      <c r="D6713" s="516">
        <v>15.811999999999999</v>
      </c>
      <c r="E6713" s="517"/>
      <c r="F6713" s="518" t="s">
        <v>16</v>
      </c>
      <c r="G6713" s="519" t="s">
        <v>1634</v>
      </c>
      <c r="H6713" s="518" t="s">
        <v>1631</v>
      </c>
      <c r="I6713" s="520"/>
      <c r="J6713" s="521"/>
      <c r="K6713" s="514"/>
      <c r="L6713" s="518" t="s">
        <v>28</v>
      </c>
      <c r="M6713" s="518">
        <v>15985.570000000002</v>
      </c>
      <c r="N6713" s="522">
        <v>0.54166666666666663</v>
      </c>
    </row>
    <row r="6714" spans="1:14" ht="19.5" thickBot="1" x14ac:dyDescent="0.3">
      <c r="A6714" s="503">
        <f t="shared" si="201"/>
        <v>4221</v>
      </c>
      <c r="B6714" s="504" t="s">
        <v>1614</v>
      </c>
      <c r="C6714" s="505" t="s">
        <v>26</v>
      </c>
      <c r="D6714" s="506">
        <v>17.276</v>
      </c>
      <c r="E6714" s="507"/>
      <c r="F6714" s="508" t="s">
        <v>16</v>
      </c>
      <c r="G6714" s="509"/>
      <c r="H6714" s="508" t="s">
        <v>1635</v>
      </c>
      <c r="I6714" s="510"/>
      <c r="J6714" s="511"/>
      <c r="K6714" s="504"/>
      <c r="L6714" s="508" t="s">
        <v>265</v>
      </c>
      <c r="M6714" s="508">
        <v>17496.179999999997</v>
      </c>
      <c r="N6714" s="512">
        <v>0.375</v>
      </c>
    </row>
    <row r="6715" spans="1:14" x14ac:dyDescent="0.25">
      <c r="A6715" s="831">
        <f t="shared" si="201"/>
        <v>4222</v>
      </c>
      <c r="B6715" s="479" t="s">
        <v>1614</v>
      </c>
      <c r="C6715" s="480" t="s">
        <v>47</v>
      </c>
      <c r="D6715" s="481">
        <v>3.5859999999999999</v>
      </c>
      <c r="E6715" s="482"/>
      <c r="F6715" s="483" t="s">
        <v>30</v>
      </c>
      <c r="G6715" s="549"/>
      <c r="H6715" s="483" t="s">
        <v>1635</v>
      </c>
      <c r="I6715" s="484"/>
      <c r="J6715" s="485"/>
      <c r="K6715" s="479"/>
      <c r="L6715" s="483" t="s">
        <v>28</v>
      </c>
      <c r="M6715" s="483">
        <v>3586.8</v>
      </c>
      <c r="N6715" s="486">
        <v>0.41666666666666669</v>
      </c>
    </row>
    <row r="6716" spans="1:14" ht="19.5" thickBot="1" x14ac:dyDescent="0.3">
      <c r="A6716" s="832"/>
      <c r="B6716" s="645" t="s">
        <v>1614</v>
      </c>
      <c r="C6716" s="646" t="s">
        <v>587</v>
      </c>
      <c r="D6716" s="647">
        <v>6.9210000000000003</v>
      </c>
      <c r="E6716" s="648"/>
      <c r="F6716" s="649" t="s">
        <v>30</v>
      </c>
      <c r="G6716" s="650" t="s">
        <v>47</v>
      </c>
      <c r="H6716" s="649" t="s">
        <v>1635</v>
      </c>
      <c r="I6716" s="651"/>
      <c r="J6716" s="652"/>
      <c r="K6716" s="645"/>
      <c r="L6716" s="649" t="s">
        <v>28</v>
      </c>
      <c r="M6716" s="649">
        <v>6921.6</v>
      </c>
      <c r="N6716" s="653">
        <v>0.41666666666666669</v>
      </c>
    </row>
    <row r="6717" spans="1:14" x14ac:dyDescent="0.25">
      <c r="A6717" s="828">
        <f t="shared" si="201"/>
        <v>4223</v>
      </c>
      <c r="B6717" s="531" t="s">
        <v>1614</v>
      </c>
      <c r="C6717" s="532" t="s">
        <v>23</v>
      </c>
      <c r="D6717" s="533">
        <v>4.0129999999999999</v>
      </c>
      <c r="E6717" s="534"/>
      <c r="F6717" s="535" t="s">
        <v>16</v>
      </c>
      <c r="G6717" s="536"/>
      <c r="H6717" s="535" t="s">
        <v>1635</v>
      </c>
      <c r="I6717" s="537"/>
      <c r="J6717" s="538"/>
      <c r="K6717" s="531"/>
      <c r="L6717" s="535" t="s">
        <v>28</v>
      </c>
      <c r="M6717" s="535">
        <v>4043.64</v>
      </c>
      <c r="N6717" s="539">
        <v>0.41666666666666669</v>
      </c>
    </row>
    <row r="6718" spans="1:14" ht="19.5" thickBot="1" x14ac:dyDescent="0.3">
      <c r="A6718" s="830"/>
      <c r="B6718" s="636" t="s">
        <v>1614</v>
      </c>
      <c r="C6718" s="637" t="s">
        <v>480</v>
      </c>
      <c r="D6718" s="638">
        <v>13.15</v>
      </c>
      <c r="E6718" s="639"/>
      <c r="F6718" s="640" t="s">
        <v>16</v>
      </c>
      <c r="G6718" s="641"/>
      <c r="H6718" s="640" t="s">
        <v>1635</v>
      </c>
      <c r="I6718" s="642"/>
      <c r="J6718" s="643"/>
      <c r="K6718" s="636"/>
      <c r="L6718" s="640" t="s">
        <v>266</v>
      </c>
      <c r="M6718" s="640">
        <v>13282.3</v>
      </c>
      <c r="N6718" s="644">
        <v>0.41666666666666669</v>
      </c>
    </row>
    <row r="6719" spans="1:14" x14ac:dyDescent="0.25">
      <c r="A6719" s="831">
        <f t="shared" si="201"/>
        <v>4224</v>
      </c>
      <c r="B6719" s="479" t="s">
        <v>1614</v>
      </c>
      <c r="C6719" s="480" t="s">
        <v>23</v>
      </c>
      <c r="D6719" s="481">
        <v>3.38</v>
      </c>
      <c r="E6719" s="482"/>
      <c r="F6719" s="483" t="s">
        <v>16</v>
      </c>
      <c r="G6719" s="549"/>
      <c r="H6719" s="483" t="s">
        <v>1635</v>
      </c>
      <c r="I6719" s="484"/>
      <c r="J6719" s="485"/>
      <c r="K6719" s="479"/>
      <c r="L6719" s="483" t="s">
        <v>28</v>
      </c>
      <c r="M6719" s="483">
        <v>3401.82</v>
      </c>
      <c r="N6719" s="486">
        <v>0.45833333333333331</v>
      </c>
    </row>
    <row r="6720" spans="1:14" ht="19.5" thickBot="1" x14ac:dyDescent="0.3">
      <c r="A6720" s="832"/>
      <c r="B6720" s="645" t="s">
        <v>1614</v>
      </c>
      <c r="C6720" s="646" t="s">
        <v>840</v>
      </c>
      <c r="D6720" s="647">
        <v>13.826000000000001</v>
      </c>
      <c r="E6720" s="648"/>
      <c r="F6720" s="649" t="s">
        <v>16</v>
      </c>
      <c r="G6720" s="650"/>
      <c r="H6720" s="649" t="s">
        <v>1635</v>
      </c>
      <c r="I6720" s="651"/>
      <c r="J6720" s="652"/>
      <c r="K6720" s="645"/>
      <c r="L6720" s="649" t="s">
        <v>266</v>
      </c>
      <c r="M6720" s="649">
        <v>13908.660000000002</v>
      </c>
      <c r="N6720" s="653">
        <v>0.45833333333333331</v>
      </c>
    </row>
    <row r="6721" spans="1:14" ht="19.5" thickBot="1" x14ac:dyDescent="0.3">
      <c r="A6721" s="503">
        <f t="shared" si="201"/>
        <v>4225</v>
      </c>
      <c r="B6721" s="504" t="s">
        <v>1614</v>
      </c>
      <c r="C6721" s="505" t="s">
        <v>26</v>
      </c>
      <c r="D6721" s="506">
        <v>17.5</v>
      </c>
      <c r="E6721" s="507"/>
      <c r="F6721" s="508" t="s">
        <v>16</v>
      </c>
      <c r="G6721" s="509"/>
      <c r="H6721" s="508" t="s">
        <v>1635</v>
      </c>
      <c r="I6721" s="510"/>
      <c r="J6721" s="511"/>
      <c r="K6721" s="504"/>
      <c r="L6721" s="508" t="s">
        <v>265</v>
      </c>
      <c r="M6721" s="508">
        <v>17527.2</v>
      </c>
      <c r="N6721" s="512">
        <v>0.66666666666666663</v>
      </c>
    </row>
    <row r="6722" spans="1:14" x14ac:dyDescent="0.25">
      <c r="A6722" s="676">
        <f t="shared" si="201"/>
        <v>4226</v>
      </c>
      <c r="B6722" s="676"/>
      <c r="C6722" s="473"/>
      <c r="D6722" s="474"/>
      <c r="E6722" s="475"/>
      <c r="F6722" s="676"/>
      <c r="G6722" s="476"/>
      <c r="H6722" s="676"/>
      <c r="I6722" s="477"/>
      <c r="J6722" s="478"/>
      <c r="K6722" s="676"/>
      <c r="L6722" s="676"/>
      <c r="M6722" s="676"/>
      <c r="N6722" s="676"/>
    </row>
    <row r="6723" spans="1:14" x14ac:dyDescent="0.25">
      <c r="A6723" s="676">
        <f t="shared" si="201"/>
        <v>4227</v>
      </c>
      <c r="B6723" s="676"/>
      <c r="C6723" s="473"/>
      <c r="D6723" s="474"/>
      <c r="E6723" s="475"/>
      <c r="F6723" s="676"/>
      <c r="G6723" s="476"/>
      <c r="H6723" s="676"/>
      <c r="I6723" s="477"/>
      <c r="J6723" s="478"/>
      <c r="K6723" s="676"/>
      <c r="L6723" s="676"/>
      <c r="M6723" s="676"/>
      <c r="N6723" s="676"/>
    </row>
    <row r="6724" spans="1:14" x14ac:dyDescent="0.25">
      <c r="A6724" s="676">
        <f t="shared" si="201"/>
        <v>4228</v>
      </c>
      <c r="B6724" s="676"/>
      <c r="C6724" s="473"/>
      <c r="D6724" s="474"/>
      <c r="E6724" s="475"/>
      <c r="F6724" s="676"/>
      <c r="G6724" s="476"/>
      <c r="H6724" s="676"/>
      <c r="I6724" s="477"/>
      <c r="J6724" s="478"/>
      <c r="K6724" s="676"/>
      <c r="L6724" s="676"/>
      <c r="M6724" s="676"/>
      <c r="N6724" s="676"/>
    </row>
    <row r="6725" spans="1:14" x14ac:dyDescent="0.25">
      <c r="A6725" s="676">
        <f t="shared" si="201"/>
        <v>4229</v>
      </c>
      <c r="B6725" s="676"/>
      <c r="C6725" s="473"/>
      <c r="D6725" s="474"/>
      <c r="E6725" s="475"/>
      <c r="F6725" s="676"/>
      <c r="G6725" s="476"/>
      <c r="H6725" s="676"/>
      <c r="I6725" s="477"/>
      <c r="J6725" s="478"/>
      <c r="K6725" s="676"/>
      <c r="L6725" s="676"/>
      <c r="M6725" s="676"/>
      <c r="N6725" s="676"/>
    </row>
  </sheetData>
  <autoFilter ref="A2:N6725" xr:uid="{00000000-0009-0000-0000-000000000000}">
    <filterColumn colId="10">
      <filters blank="1"/>
    </filterColumn>
  </autoFilter>
  <mergeCells count="1737"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578:A6580"/>
    <mergeCell ref="A6581:A6583"/>
    <mergeCell ref="A6585:A6586"/>
    <mergeCell ref="A6589:A6590"/>
    <mergeCell ref="A6571:A6572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5625:A5626"/>
    <mergeCell ref="A5584:A5587"/>
    <mergeCell ref="A5588:A5589"/>
    <mergeCell ref="A5590:A5592"/>
    <mergeCell ref="A5593:A5594"/>
    <mergeCell ref="A5595:A5596"/>
    <mergeCell ref="A6592:A6593"/>
    <mergeCell ref="A6595:A6599"/>
    <mergeCell ref="A5564:A5565"/>
    <mergeCell ref="A5570:A5572"/>
    <mergeCell ref="A5573:A5574"/>
    <mergeCell ref="A5575:A5576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A5286:A5289"/>
    <mergeCell ref="A5290:A5292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G5232:G5233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096:A1097"/>
    <mergeCell ref="A1102:A1105"/>
    <mergeCell ref="A1106:A1107"/>
    <mergeCell ref="A1115:A1116"/>
    <mergeCell ref="A1117:A112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A1026:A1027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B91:B92"/>
    <mergeCell ref="A94:A95"/>
    <mergeCell ref="B94:B95"/>
    <mergeCell ref="B51:B52"/>
    <mergeCell ref="A55:A56"/>
    <mergeCell ref="B55:B56"/>
    <mergeCell ref="B48:B50"/>
    <mergeCell ref="A137:A138"/>
    <mergeCell ref="B137:B138"/>
    <mergeCell ref="A139:A14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929:A930"/>
    <mergeCell ref="A937:A938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801:A802"/>
    <mergeCell ref="A769:A771"/>
    <mergeCell ref="A925:A928"/>
    <mergeCell ref="A809:A812"/>
    <mergeCell ref="A786:A788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6663:A6664"/>
    <mergeCell ref="A5029:A5030"/>
    <mergeCell ref="A5082:A5083"/>
    <mergeCell ref="G5196:G5197"/>
    <mergeCell ref="G5188:G5189"/>
    <mergeCell ref="A5026:A5028"/>
    <mergeCell ref="A5534:A5538"/>
    <mergeCell ref="A5539:A5541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363:A5364"/>
    <mergeCell ref="A5265:A5266"/>
    <mergeCell ref="A5267:A5269"/>
    <mergeCell ref="A5270:A5271"/>
    <mergeCell ref="A5272:A5273"/>
    <mergeCell ref="A5275:A5276"/>
    <mergeCell ref="G5275:G5276"/>
    <mergeCell ref="A5326:A5327"/>
    <mergeCell ref="A5331:A5334"/>
    <mergeCell ref="A6680:A6681"/>
    <mergeCell ref="A6682:A6683"/>
    <mergeCell ref="A6703:A6705"/>
    <mergeCell ref="A6693:A6694"/>
    <mergeCell ref="A6710:A6711"/>
    <mergeCell ref="G6710:G6711"/>
    <mergeCell ref="A6715:A6716"/>
    <mergeCell ref="A6717:A6718"/>
    <mergeCell ref="A6719:A6720"/>
    <mergeCell ref="A6673:A6674"/>
    <mergeCell ref="A6690:A6692"/>
    <mergeCell ref="A6695:A6697"/>
    <mergeCell ref="A6698:A6700"/>
    <mergeCell ref="A6670:A6672"/>
    <mergeCell ref="A6675:A6676"/>
    <mergeCell ref="A6678:A6679"/>
    <mergeCell ref="A6684:A6685"/>
    <mergeCell ref="A6686:A668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2026-07-17T16:17:13Z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