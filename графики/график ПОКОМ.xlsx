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391BBD1-CA06-4DB4-B94E-6ED292DBBC5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Лист1!$A$2:$R$6899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s="1"/>
  <c r="A6864" i="1" l="1"/>
  <c r="A6866" i="1" s="1"/>
  <c r="A6868" i="1" s="1"/>
  <c r="A6869" i="1" s="1"/>
  <c r="A6870" i="1" s="1"/>
  <c r="A6873" i="1" s="1"/>
  <c r="A6876" i="1" s="1"/>
  <c r="A6878" i="1" l="1"/>
  <c r="A6880" i="1" s="1"/>
  <c r="A6881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l="1"/>
  <c r="A6893" i="1" s="1"/>
  <c r="A6896" i="1" l="1"/>
  <c r="A6897" i="1" l="1"/>
  <c r="A6898" i="1" s="1"/>
  <c r="A6899" i="1" s="1"/>
  <c r="A6900" i="1"/>
  <c r="A6901" i="1" s="1"/>
  <c r="A6902" i="1" l="1"/>
  <c r="A6903" i="1"/>
  <c r="A6905" i="1" s="1"/>
  <c r="A6906" i="1" s="1"/>
  <c r="A6904" i="1"/>
</calcChain>
</file>

<file path=xl/sharedStrings.xml><?xml version="1.0" encoding="utf-8"?>
<sst xmlns="http://schemas.openxmlformats.org/spreadsheetml/2006/main" count="43694" uniqueCount="1899">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</sst>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8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06"/>
  <sheetViews>
    <sheetView tabSelected="1" zoomScale="80" zoomScaleNormal="80" workbookViewId="0">
      <pane ySplit="2" topLeftCell="A6878" activePane="bottomLeft" state="frozen"/>
      <selection pane="bottomLeft" activeCell="I6901" sqref="I690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902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70" t="s">
        <v>0</v>
      </c>
      <c r="B1" s="970"/>
      <c r="C1" s="970"/>
      <c r="D1" s="970"/>
      <c r="E1" s="970"/>
      <c r="F1" s="970"/>
      <c r="G1" s="970"/>
      <c r="H1" s="970"/>
      <c r="I1" s="970"/>
      <c r="J1" s="970"/>
      <c r="K1" s="8"/>
      <c r="L1" s="9"/>
      <c r="M1" s="9"/>
      <c r="N1" s="9"/>
      <c r="O1" s="901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901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71">
        <v>1</v>
      </c>
      <c r="B3" s="97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71"/>
      <c r="B4" s="97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72">
        <v>3</v>
      </c>
      <c r="B6" s="97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72"/>
      <c r="B7" s="97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72"/>
      <c r="B8" s="97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72">
        <v>5</v>
      </c>
      <c r="B10" s="97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72"/>
      <c r="B11" s="97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73">
        <v>8</v>
      </c>
      <c r="B14" s="97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73"/>
      <c r="B15" s="97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72">
        <v>11</v>
      </c>
      <c r="B18" s="97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72"/>
      <c r="B19" s="97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72"/>
      <c r="B20" s="97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72"/>
      <c r="B21" s="97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72">
        <v>13</v>
      </c>
      <c r="B23" s="97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72"/>
      <c r="B24" s="97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73">
        <v>14</v>
      </c>
      <c r="B25" s="97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73"/>
      <c r="B26" s="97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72">
        <v>15</v>
      </c>
      <c r="B27" s="97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72"/>
      <c r="B28" s="97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72"/>
      <c r="B29" s="97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72"/>
      <c r="B30" s="97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73">
        <v>16</v>
      </c>
      <c r="B31" s="97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73"/>
      <c r="B32" s="97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73"/>
      <c r="B33" s="97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73"/>
      <c r="B34" s="97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72">
        <v>17</v>
      </c>
      <c r="B35" s="97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72"/>
      <c r="B36" s="97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72">
        <v>21</v>
      </c>
      <c r="B40" s="97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72"/>
      <c r="B41" s="97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72">
        <v>23</v>
      </c>
      <c r="B43" s="97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72"/>
      <c r="B44" s="97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72"/>
      <c r="B45" s="97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73">
        <v>24</v>
      </c>
      <c r="B46" s="97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73"/>
      <c r="B47" s="97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72">
        <v>25</v>
      </c>
      <c r="B48" s="97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72"/>
      <c r="B49" s="97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72"/>
      <c r="B50" s="97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73">
        <v>26</v>
      </c>
      <c r="B51" s="97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73"/>
      <c r="B52" s="97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72">
        <v>29</v>
      </c>
      <c r="B55" s="97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72"/>
      <c r="B56" s="97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73">
        <v>32</v>
      </c>
      <c r="B59" s="97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73"/>
      <c r="B60" s="97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73">
        <v>34</v>
      </c>
      <c r="B62" s="97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73"/>
      <c r="B63" s="97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73"/>
      <c r="B64" s="97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73"/>
      <c r="B65" s="97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73"/>
      <c r="B66" s="97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72">
        <v>35</v>
      </c>
      <c r="B67" s="97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72"/>
      <c r="B68" s="97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45">
        <v>40</v>
      </c>
      <c r="B73" s="97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45"/>
      <c r="B74" s="97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46">
        <v>41</v>
      </c>
      <c r="B75" s="97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46"/>
      <c r="B76" s="97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46"/>
      <c r="B77" s="97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45">
        <v>42</v>
      </c>
      <c r="B78" s="97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45"/>
      <c r="B79" s="97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46">
        <v>49</v>
      </c>
      <c r="B86" s="97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46"/>
      <c r="B87" s="97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46"/>
      <c r="B88" s="97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45">
        <v>50</v>
      </c>
      <c r="B89" s="97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45"/>
      <c r="B90" s="97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46">
        <v>51</v>
      </c>
      <c r="B91" s="97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46"/>
      <c r="B92" s="97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46">
        <v>53</v>
      </c>
      <c r="B94" s="97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46"/>
      <c r="B95" s="97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45">
        <v>54</v>
      </c>
      <c r="B96" s="97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45"/>
      <c r="B97" s="97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45"/>
      <c r="B98" s="97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45">
        <v>58</v>
      </c>
      <c r="B102" s="97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45"/>
      <c r="B103" s="97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45">
        <v>60</v>
      </c>
      <c r="B105" s="97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45"/>
      <c r="B106" s="97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45"/>
      <c r="B107" s="97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46">
        <v>61</v>
      </c>
      <c r="B108" s="97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46"/>
      <c r="B109" s="97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46"/>
      <c r="B110" s="97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45">
        <v>64</v>
      </c>
      <c r="B113" s="97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45"/>
      <c r="B114" s="97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45">
        <v>66</v>
      </c>
      <c r="B116" s="97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45"/>
      <c r="B117" s="97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46">
        <v>67</v>
      </c>
      <c r="B118" s="97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46"/>
      <c r="B119" s="97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46"/>
      <c r="B120" s="97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45">
        <v>68</v>
      </c>
      <c r="B121" s="97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45"/>
      <c r="B122" s="97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46">
        <v>69</v>
      </c>
      <c r="B123" s="97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46"/>
      <c r="B124" s="97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45">
        <v>72</v>
      </c>
      <c r="B127" s="973" t="s">
        <v>65</v>
      </c>
      <c r="C127" s="119" t="s">
        <v>26</v>
      </c>
      <c r="D127" s="120">
        <v>3.3</v>
      </c>
      <c r="E127" s="121"/>
      <c r="F127" s="122" t="s">
        <v>30</v>
      </c>
      <c r="G127" s="96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45"/>
      <c r="B128" s="973"/>
      <c r="C128" s="103" t="s">
        <v>26</v>
      </c>
      <c r="D128" s="88">
        <v>12.9</v>
      </c>
      <c r="E128" s="106"/>
      <c r="F128" s="107" t="s">
        <v>16</v>
      </c>
      <c r="G128" s="96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45">
        <v>76</v>
      </c>
      <c r="B132" s="97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45"/>
      <c r="B133" s="97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45"/>
      <c r="B134" s="97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45"/>
      <c r="B135" s="97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45">
        <v>78</v>
      </c>
      <c r="B137" s="96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45"/>
      <c r="B138" s="96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7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7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4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4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4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4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4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4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4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4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4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4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4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4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4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4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4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4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4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4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4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4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4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4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6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4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6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4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4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4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4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4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4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4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4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4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4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4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4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4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4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4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4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4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4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4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4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4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4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4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4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4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4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4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4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4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4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4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4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4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4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4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4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4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4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4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4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4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6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4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6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4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4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4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4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4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4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4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4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4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4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4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4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4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4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4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4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4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4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4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4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4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4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4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4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4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4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4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4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4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4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4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4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4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4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4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4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6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4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6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4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4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4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4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4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4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4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4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4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4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4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4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4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4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4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4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4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4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4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4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4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4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4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4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4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4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4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4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4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6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4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6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4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4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4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4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4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4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4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4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4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4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4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4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4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4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4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4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4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4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4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4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4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4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4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4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4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4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4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4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4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4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4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4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4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4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5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4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5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4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4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4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4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4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4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4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4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4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4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4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4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4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4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4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4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4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4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4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4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4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4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4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4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4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4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4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4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4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4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4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4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4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4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5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4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5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4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4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4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4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4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4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66" t="s">
        <v>133</v>
      </c>
      <c r="J420" s="96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4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4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4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4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4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4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4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4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4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4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4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4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4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4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4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4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4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4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4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4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4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4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4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4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4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4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4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4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4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4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4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4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4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4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4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4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4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4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4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4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4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4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4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4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4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4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4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4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4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4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4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4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4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4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4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4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4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4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4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4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4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5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4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5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4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4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4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6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4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6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4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6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4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6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4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6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4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4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4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4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4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4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4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4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4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4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4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4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4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4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4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4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4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4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4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4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4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4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4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4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4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4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4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4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4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4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4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4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4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4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4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4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4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4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4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4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4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4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4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4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4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4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4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4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4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4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4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4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4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4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4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4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4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4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4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4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4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4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4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4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4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4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4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4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4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4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4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4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4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4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4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4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5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4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5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4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4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4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4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4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4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4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4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4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4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4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4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4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4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4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4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4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4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4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4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4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4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4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4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4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4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4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4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4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4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4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4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4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4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4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4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4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4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4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4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4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4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4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4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5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4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5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4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4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6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4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6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4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4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4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4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4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4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4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4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4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4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4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4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4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4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4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4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4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4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4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4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4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4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4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4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4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4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4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4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4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5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4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5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hidden="1" x14ac:dyDescent="0.25">
      <c r="A699" s="96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hidden="1" x14ac:dyDescent="0.25">
      <c r="A700" s="96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6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4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4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4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idden="1" x14ac:dyDescent="0.25">
      <c r="A705" s="96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6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4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4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4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idden="1" x14ac:dyDescent="0.25">
      <c r="A710" s="96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6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4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4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4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4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4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4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4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4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4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4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4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4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4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4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4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4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4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4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4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4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4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4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6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4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6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4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4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4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4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4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4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4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4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4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4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4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4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4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4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4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4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idden="1" x14ac:dyDescent="0.25">
      <c r="A755" s="97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idden="1" x14ac:dyDescent="0.25">
      <c r="A756" s="97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idden="1" x14ac:dyDescent="0.25">
      <c r="A757" s="97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idden="1" x14ac:dyDescent="0.25">
      <c r="A758" s="97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idden="1" x14ac:dyDescent="0.25">
      <c r="A759" s="97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7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4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5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4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5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4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4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4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4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4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4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4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4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4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4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4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4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4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4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4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4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7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7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4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4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4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4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4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4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4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4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4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4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4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4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4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4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4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4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4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4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4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4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4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4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4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4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4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4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4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4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4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4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4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4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4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4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4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4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4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4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4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4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4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4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4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4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4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4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4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4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4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4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4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4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4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4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4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4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4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4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4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4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4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4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4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4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4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4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4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4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4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4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4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4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4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4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4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4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4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4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4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4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4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4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4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4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4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4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4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4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4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4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4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4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4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4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4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4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4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4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4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4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4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4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4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4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4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4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4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4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4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4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4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4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4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4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4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4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4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4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4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4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4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4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4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4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4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4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4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4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4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4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4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4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4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4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4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4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4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4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4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4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4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4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4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4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4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7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7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4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4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4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4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4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4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4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4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4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4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4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4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4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4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4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4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4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4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4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4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4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4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4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4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5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4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5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4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4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4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4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4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4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4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4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4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4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4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4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4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4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4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4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4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4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4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4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4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4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4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4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4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4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4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4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4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4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4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4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4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4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4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4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4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4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4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4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4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4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5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4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5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4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4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4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4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4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4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4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4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4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4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4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4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4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4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4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4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4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4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4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4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4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4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4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4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4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4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4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4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4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4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4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4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4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4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4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4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4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4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4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4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4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4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4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4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4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4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4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4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4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4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4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4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4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4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4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4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4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4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4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4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4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4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4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4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4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4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4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4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4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4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4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4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4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4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4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4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4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4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4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4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4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4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4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4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4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4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4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4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4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4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4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4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4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4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4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4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4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4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4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4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4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4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4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4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4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4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4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4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4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4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4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4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4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4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4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4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4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4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4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4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4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4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4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4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4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4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4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4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4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4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4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4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4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4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4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4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4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4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4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4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4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4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4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4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4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4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4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4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4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4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4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4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4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4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4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4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4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4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4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4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4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4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4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4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4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4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4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4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4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4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4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4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4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4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4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4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4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4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4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4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4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4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4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4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4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4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4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4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4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4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4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4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4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4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4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4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4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4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4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4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4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5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4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5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4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4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4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4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4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4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4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4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4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4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4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4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4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4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4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4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4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4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4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4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4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4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4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4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4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4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4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6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4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6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4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4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4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4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4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4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4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4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4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4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4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4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4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4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4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4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4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4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4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4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4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4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4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4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4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4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4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5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4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5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4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4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4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4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4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4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4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4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4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4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4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4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4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4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4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5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4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5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4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5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4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5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4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4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4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4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4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4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4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4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4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5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4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5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4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4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4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4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4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4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4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4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4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4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4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4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4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4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4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4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4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4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4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4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4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4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4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4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4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5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4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5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4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4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4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4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4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4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4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4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4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4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4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4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4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4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4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4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4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4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4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4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4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4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4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4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4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4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4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4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4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4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4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4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4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4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4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4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4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4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4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4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4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4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4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4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5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4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5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4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4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4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4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4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4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4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4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4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4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4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4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4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4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4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4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4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4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4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4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4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4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4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4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4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4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4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4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4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4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4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4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4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4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4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4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4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4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4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4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4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4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4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4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4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4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4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4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4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4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4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4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4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4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4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4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4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4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4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4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4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4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4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4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4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4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4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4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4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4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4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4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4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4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4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4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5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4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5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4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4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4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4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4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4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4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4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4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4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4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4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4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4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4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4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4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4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4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4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4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4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4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4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4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4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4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4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4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4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4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4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4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4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4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4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4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4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5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4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5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4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4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4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4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4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4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4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4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4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4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4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4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4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4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4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4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4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4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4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4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4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4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4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4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5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4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5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4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5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4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4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4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4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4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4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4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4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4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4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4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4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4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4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4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4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4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4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4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4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4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4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4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4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4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4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4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4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4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4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4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4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4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4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4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4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4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4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4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4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4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4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4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4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4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5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4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5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4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4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4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4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4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4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4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4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4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4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4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4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4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4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4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4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4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4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4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4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5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4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5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4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4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4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4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4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4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4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4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4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4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4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4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4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4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4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4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4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4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4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4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4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4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5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4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5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4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4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4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4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4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4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4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4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4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4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4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4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4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4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4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4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4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4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4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4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4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4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4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4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4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4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4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4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4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4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4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4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4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4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4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4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4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4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4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4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4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4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4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4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4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4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4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4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4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4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4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4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4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4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4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4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4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4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4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4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4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4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4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4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4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4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4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4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4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4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4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5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4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5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4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4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4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4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4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4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4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4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4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4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5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4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5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4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4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4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4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4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4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4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4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4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4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4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4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4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4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4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4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4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4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4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4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4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4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4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4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4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4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4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4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4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4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4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4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4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4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4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4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4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4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4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4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4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4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4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4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4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4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4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4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4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4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4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4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4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4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4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4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4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4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4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4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4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4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4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4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4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4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4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4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4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4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4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4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4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4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4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4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4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4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4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4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4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5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9" t="s">
        <v>467</v>
      </c>
      <c r="H2160" s="414" t="s">
        <v>515</v>
      </c>
      <c r="I2160" s="415" t="s">
        <v>516</v>
      </c>
      <c r="J2160" s="96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5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9"/>
      <c r="H2161" s="421" t="s">
        <v>515</v>
      </c>
      <c r="I2161" s="422" t="s">
        <v>516</v>
      </c>
      <c r="J2161" s="96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5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9"/>
      <c r="H2162" s="429" t="s">
        <v>515</v>
      </c>
      <c r="I2162" s="430" t="s">
        <v>516</v>
      </c>
      <c r="J2162" s="96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5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9" t="s">
        <v>467</v>
      </c>
      <c r="H2165" s="414" t="s">
        <v>516</v>
      </c>
      <c r="I2165" s="415" t="s">
        <v>516</v>
      </c>
      <c r="J2165" s="96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5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9"/>
      <c r="H2166" s="429" t="s">
        <v>516</v>
      </c>
      <c r="I2166" s="430" t="s">
        <v>516</v>
      </c>
      <c r="J2166" s="96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4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4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4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4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4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4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4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4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4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4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4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4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5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4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5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4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4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4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4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4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4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4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4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4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4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4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4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4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4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4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4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4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4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4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4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4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4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4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4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4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4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4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4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4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4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4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4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4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4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4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4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4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4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4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4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4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4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4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4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4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4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4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4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4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4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4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4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4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4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4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4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4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4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4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4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4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4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4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4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4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4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4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4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4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4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4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4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4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4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4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4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4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4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4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4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4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4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4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4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4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4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4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4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4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4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4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4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4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4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4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4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4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4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4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4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4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4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4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4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4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4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4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4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4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4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4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4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4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4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4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4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4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4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4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4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4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4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4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4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4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4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4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4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4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4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4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4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4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4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4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4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4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4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4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4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4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4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4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4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4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4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4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4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4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4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4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4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4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4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4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4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4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4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4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4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4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4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4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4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4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4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4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4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4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4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4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4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4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4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4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4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4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4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4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4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4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4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4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4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4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4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4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4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4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4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4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4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4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4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4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4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4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4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4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4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4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4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4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4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4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4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4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4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4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4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4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4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4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4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4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4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4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4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4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4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4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4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4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4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4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4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4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4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4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4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4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4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4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4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4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5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5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4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4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4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5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4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5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4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4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4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4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4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4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4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4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4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4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4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4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4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4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4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4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4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4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5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4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5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4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4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4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4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4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4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4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4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4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4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4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4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4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4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4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4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4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4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4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4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4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4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4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4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4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4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4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4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4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4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4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4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4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4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4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4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4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4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4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4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4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4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4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4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4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4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4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4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4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4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4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4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4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4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4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4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5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5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4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4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4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4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4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4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4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4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4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4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4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4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4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4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4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4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4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4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4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4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4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4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4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4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4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4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4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4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4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4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4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4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4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4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4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4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4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4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4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4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4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4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4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4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4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4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4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4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4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4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4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4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4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4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4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4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4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4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4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4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4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4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4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4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4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4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4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4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4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4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4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4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4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4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4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4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4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4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4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4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4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4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4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4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4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4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4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4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4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4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4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4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4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4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4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4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4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4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4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4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5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4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5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4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4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4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4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4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4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4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4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4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4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4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4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4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4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4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4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4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4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4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4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4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4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4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4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4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4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4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4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4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4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4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4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4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4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4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4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4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4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4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4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4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4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4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4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4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4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4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4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4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5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4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5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4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4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4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4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4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4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4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5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4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5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4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4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4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4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4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4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4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4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4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4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4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4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4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4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4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4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4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4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4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4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4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4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4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4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4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4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4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4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5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4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5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4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4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4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4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4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4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4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4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4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4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4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4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4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4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4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4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4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4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4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4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4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4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4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4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4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4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4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4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4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4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4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4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4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4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4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4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4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4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4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4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4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4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4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4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4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4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4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4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4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4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4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4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4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4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4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4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4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4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4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4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4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4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4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4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4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4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4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4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4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4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4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4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4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4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4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4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4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4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4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4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4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4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4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4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4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4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4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4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4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4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4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4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4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4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4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4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4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4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4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4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4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4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4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4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4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4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4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4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4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4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4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4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4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4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4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4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4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4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4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4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4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4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4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4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4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4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4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4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4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4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4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4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4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4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4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4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4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4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4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4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4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4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4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4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4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4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4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4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4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4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4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4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4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4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4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5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4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5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4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5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4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5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4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4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4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4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4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4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4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4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4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4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4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4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4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4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4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4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4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4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4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4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4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4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4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4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4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4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4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4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4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4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4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4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4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4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4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4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4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4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4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4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4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4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5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4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5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4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5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4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5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4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5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4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5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4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4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4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4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4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4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4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4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4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4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4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4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4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4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4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4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4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4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4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4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4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4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4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4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4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4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4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4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4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4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4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4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4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4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4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4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4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4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4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4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4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4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4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4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4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4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4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4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4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4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4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4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4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4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4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4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4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4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4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4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4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4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4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4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4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4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4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4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4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4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4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4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4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4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4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4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4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4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4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4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4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4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4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4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4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4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4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4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4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4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4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4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4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4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4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4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4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4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4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4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4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4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4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4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4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4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4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4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4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4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4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4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4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4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4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4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4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4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5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4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5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4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4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4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4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4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4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4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4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4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4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5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4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5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4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4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4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4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4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4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4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4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4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4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4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4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4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5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4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5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4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4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4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4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4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4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4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4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4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4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4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4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4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4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4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4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4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4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4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4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4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4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4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4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4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4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5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4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5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4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5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4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4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4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4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4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4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4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4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4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4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4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4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4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4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4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4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4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4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4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4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4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4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4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4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4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4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4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4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4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4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4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4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4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4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4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4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4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4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4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4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4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4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4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4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4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4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4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4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4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4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4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4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4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4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4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4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4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4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4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4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4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4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4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4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4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4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4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4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4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4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1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2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3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idden="1" x14ac:dyDescent="0.25">
      <c r="A3557" s="91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idden="1" x14ac:dyDescent="0.25">
      <c r="A3558" s="92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3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idden="1" x14ac:dyDescent="0.25">
      <c r="A3559" s="92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3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2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3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idden="1" x14ac:dyDescent="0.25">
      <c r="A3561" s="920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4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idden="1" x14ac:dyDescent="0.25">
      <c r="A3565" s="91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3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idden="1" x14ac:dyDescent="0.25">
      <c r="A3568" s="91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3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4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idden="1" x14ac:dyDescent="0.25">
      <c r="A3571" s="91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idden="1" x14ac:dyDescent="0.25">
      <c r="A3572" s="92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idden="1" x14ac:dyDescent="0.25">
      <c r="A3573" s="92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2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idden="1" x14ac:dyDescent="0.25">
      <c r="A3577" s="920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idden="1" x14ac:dyDescent="0.25">
      <c r="A3578" s="92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idden="1" x14ac:dyDescent="0.25">
      <c r="A3579" s="92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idden="1" x14ac:dyDescent="0.25">
      <c r="A3580" s="92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4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idden="1" x14ac:dyDescent="0.25">
      <c r="A3584" s="91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3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idden="1" x14ac:dyDescent="0.25">
      <c r="A3586" s="920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4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idden="1" x14ac:dyDescent="0.25">
      <c r="A3592" s="91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idden="1" x14ac:dyDescent="0.25">
      <c r="A3593" s="92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idden="1" x14ac:dyDescent="0.25">
      <c r="A3594" s="92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idden="1" x14ac:dyDescent="0.25">
      <c r="A3595" s="92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idden="1" x14ac:dyDescent="0.25">
      <c r="A3596" s="92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2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20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3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4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4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idden="1" x14ac:dyDescent="0.25">
      <c r="A3600" s="91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3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idden="1" x14ac:dyDescent="0.25">
      <c r="A3604" s="920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3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4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4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idden="1" x14ac:dyDescent="0.25">
      <c r="A3606" s="91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idden="1" x14ac:dyDescent="0.25">
      <c r="A3607" s="92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idden="1" x14ac:dyDescent="0.25">
      <c r="A3608" s="92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3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idden="1" x14ac:dyDescent="0.25">
      <c r="A3611" s="91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2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idden="1" x14ac:dyDescent="0.25">
      <c r="A3615" s="920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idden="1" x14ac:dyDescent="0.25">
      <c r="A3616" s="92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idden="1" x14ac:dyDescent="0.25">
      <c r="A3617" s="92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4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idden="1" x14ac:dyDescent="0.25">
      <c r="A3622" s="920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idden="1" x14ac:dyDescent="0.25">
      <c r="A3623" s="92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2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idden="1" x14ac:dyDescent="0.25">
      <c r="A3627" s="91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idden="1" x14ac:dyDescent="0.25">
      <c r="A3628" s="92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idden="1" x14ac:dyDescent="0.25">
      <c r="A3629" s="92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idden="1" x14ac:dyDescent="0.25">
      <c r="A3630" s="92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idden="1" x14ac:dyDescent="0.25">
      <c r="A3631" s="92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2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idden="1" x14ac:dyDescent="0.25">
      <c r="A3633" s="920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4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idden="1" x14ac:dyDescent="0.25">
      <c r="A3639" s="91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3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4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idden="1" x14ac:dyDescent="0.25">
      <c r="A3642" s="91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3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4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idden="1" x14ac:dyDescent="0.25">
      <c r="A3645" s="91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3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idden="1" x14ac:dyDescent="0.25">
      <c r="A3647" s="920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4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idden="1" x14ac:dyDescent="0.25">
      <c r="A3649" s="91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2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idden="1" x14ac:dyDescent="0.25">
      <c r="A3654" s="91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3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idden="1" x14ac:dyDescent="0.25">
      <c r="A3656" s="920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4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idden="1" x14ac:dyDescent="0.25">
      <c r="A3658" s="91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idden="1" x14ac:dyDescent="0.25">
      <c r="A3659" s="92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3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idden="1" x14ac:dyDescent="0.25">
      <c r="A3661" s="920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idden="1" x14ac:dyDescent="0.25">
      <c r="A3662" s="92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4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idden="1" x14ac:dyDescent="0.25">
      <c r="A3669" s="920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idden="1" x14ac:dyDescent="0.25">
      <c r="A3670" s="92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idden="1" x14ac:dyDescent="0.25">
      <c r="A3671" s="92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idden="1" x14ac:dyDescent="0.25">
      <c r="A3672" s="92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idden="1" x14ac:dyDescent="0.25">
      <c r="A3673" s="92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2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idden="1" x14ac:dyDescent="0.25">
      <c r="A3675" s="91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3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idden="1" x14ac:dyDescent="0.25">
      <c r="A3677" s="920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3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4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4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hidden="1" x14ac:dyDescent="0.25">
      <c r="A3681" s="91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3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idden="1" x14ac:dyDescent="0.25">
      <c r="A3685" s="920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4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idden="1" x14ac:dyDescent="0.25">
      <c r="A3687" s="91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idden="1" x14ac:dyDescent="0.25">
      <c r="A3688" s="92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idden="1" x14ac:dyDescent="0.25">
      <c r="A3689" s="92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3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1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3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4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idden="1" x14ac:dyDescent="0.25">
      <c r="A3698" s="920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idden="1" x14ac:dyDescent="0.25">
      <c r="A3699" s="92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4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idden="1" x14ac:dyDescent="0.25">
      <c r="A3701" s="91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3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20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3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4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4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idden="1" x14ac:dyDescent="0.25">
      <c r="A3709" s="91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idden="1" x14ac:dyDescent="0.25">
      <c r="A3710" s="92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idden="1" x14ac:dyDescent="0.25">
      <c r="A3711" s="92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idden="1" x14ac:dyDescent="0.25">
      <c r="A3712" s="92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idden="1" x14ac:dyDescent="0.25">
      <c r="A3713" s="92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2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idden="1" x14ac:dyDescent="0.25">
      <c r="A3715" s="92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4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idden="1" x14ac:dyDescent="0.25">
      <c r="A3718" s="920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4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idden="1" x14ac:dyDescent="0.25">
      <c r="A3721" s="920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3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4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4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idden="1" x14ac:dyDescent="0.25">
      <c r="A3723" s="91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idden="1" x14ac:dyDescent="0.25">
      <c r="A3724" s="92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3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idden="1" x14ac:dyDescent="0.25">
      <c r="A3726" s="920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idden="1" x14ac:dyDescent="0.25">
      <c r="A3727" s="92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4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idden="1" x14ac:dyDescent="0.25">
      <c r="A3729" s="91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idden="1" x14ac:dyDescent="0.25">
      <c r="A3730" s="92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3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idden="1" x14ac:dyDescent="0.25">
      <c r="A3732" s="920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idden="1" x14ac:dyDescent="0.25">
      <c r="A3733" s="92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idden="1" x14ac:dyDescent="0.25">
      <c r="A3734" s="92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2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idden="1" x14ac:dyDescent="0.25">
      <c r="A3737" s="920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4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idden="1" x14ac:dyDescent="0.25">
      <c r="A3739" s="91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idden="1" x14ac:dyDescent="0.25">
      <c r="A3740" s="92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3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idden="1" x14ac:dyDescent="0.25">
      <c r="A3743" s="91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idden="1" x14ac:dyDescent="0.25">
      <c r="A3744" s="92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idden="1" x14ac:dyDescent="0.25">
      <c r="A3745" s="92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2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idden="1" x14ac:dyDescent="0.25">
      <c r="A3749" s="920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2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idden="1" x14ac:dyDescent="0.25">
      <c r="A3754" s="920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idden="1" x14ac:dyDescent="0.25">
      <c r="A3755" s="92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idden="1" x14ac:dyDescent="0.25">
      <c r="A3756" s="92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idden="1" x14ac:dyDescent="0.25">
      <c r="A3757" s="92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idden="1" x14ac:dyDescent="0.25">
      <c r="A3758" s="92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2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idden="1" x14ac:dyDescent="0.25">
      <c r="A3760" s="91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3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idden="1" x14ac:dyDescent="0.25">
      <c r="A3765" s="91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idden="1" x14ac:dyDescent="0.25">
      <c r="A3766" s="92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3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3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4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hidden="1" x14ac:dyDescent="0.25">
      <c r="A3769" s="91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idden="1" x14ac:dyDescent="0.25">
      <c r="A3770" s="92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3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idden="1" x14ac:dyDescent="0.25">
      <c r="A3772" s="92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idden="1" x14ac:dyDescent="0.25">
      <c r="A3773" s="92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4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idden="1" x14ac:dyDescent="0.25">
      <c r="A3775" s="91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idden="1" x14ac:dyDescent="0.25">
      <c r="A3776" s="92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2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1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3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4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idden="1" x14ac:dyDescent="0.25">
      <c r="A3781" s="920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idden="1" x14ac:dyDescent="0.25">
      <c r="A3782" s="92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idden="1" x14ac:dyDescent="0.25">
      <c r="A3783" s="92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4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idden="1" x14ac:dyDescent="0.25">
      <c r="A3785" s="91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3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idden="1" x14ac:dyDescent="0.25">
      <c r="A3788" s="91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3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idden="1" x14ac:dyDescent="0.25">
      <c r="A3790" s="920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4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idden="1" x14ac:dyDescent="0.25">
      <c r="A3797" s="920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idden="1" x14ac:dyDescent="0.25">
      <c r="A3798" s="92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idden="1" x14ac:dyDescent="0.25">
      <c r="A3799" s="92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idden="1" x14ac:dyDescent="0.25">
      <c r="A3800" s="92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2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idden="1" x14ac:dyDescent="0.25">
      <c r="A3802" s="91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3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idden="1" x14ac:dyDescent="0.25">
      <c r="A3811" s="91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idden="1" x14ac:dyDescent="0.25">
      <c r="A3812" s="92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3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idden="1" x14ac:dyDescent="0.25">
      <c r="A3814" s="920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4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idden="1" x14ac:dyDescent="0.25">
      <c r="A3816" s="91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3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idden="1" x14ac:dyDescent="0.25">
      <c r="A3818" s="920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4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idden="1" x14ac:dyDescent="0.25">
      <c r="A3820" s="91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3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4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idden="1" x14ac:dyDescent="0.25">
      <c r="A3822" s="920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2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idden="1" x14ac:dyDescent="0.25">
      <c r="A3828" s="91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idden="1" x14ac:dyDescent="0.25">
      <c r="A3829" s="92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3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idden="1" x14ac:dyDescent="0.25">
      <c r="A3831" s="920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4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idden="1" x14ac:dyDescent="0.25">
      <c r="A3833" s="91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3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idden="1" x14ac:dyDescent="0.25">
      <c r="A3835" s="920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4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idden="1" x14ac:dyDescent="0.25">
      <c r="A3837" s="91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3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idden="1" x14ac:dyDescent="0.25">
      <c r="A3842" s="91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2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idden="1" x14ac:dyDescent="0.25">
      <c r="A3848" s="92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idden="1" x14ac:dyDescent="0.25">
      <c r="A3849" s="92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idden="1" x14ac:dyDescent="0.25">
      <c r="A3850" s="92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idden="1" x14ac:dyDescent="0.25">
      <c r="A3851" s="92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idden="1" x14ac:dyDescent="0.25">
      <c r="A3852" s="92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2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idden="1" x14ac:dyDescent="0.25">
      <c r="A3854" s="91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3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idden="1" x14ac:dyDescent="0.25">
      <c r="A3859" s="91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3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idden="1" x14ac:dyDescent="0.25">
      <c r="A3861" s="920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idden="1" x14ac:dyDescent="0.25">
      <c r="A3862" s="92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idden="1" x14ac:dyDescent="0.25">
      <c r="A3863" s="92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4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idden="1" x14ac:dyDescent="0.25">
      <c r="A3867" s="91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idden="1" x14ac:dyDescent="0.25">
      <c r="A3868" s="92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idden="1" x14ac:dyDescent="0.25">
      <c r="A3869" s="92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idden="1" x14ac:dyDescent="0.25">
      <c r="A3870" s="92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idden="1" x14ac:dyDescent="0.25">
      <c r="A3871" s="92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3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idden="1" x14ac:dyDescent="0.25">
      <c r="A3874" s="91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3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idden="1" x14ac:dyDescent="0.25">
      <c r="A3876" s="920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idden="1" x14ac:dyDescent="0.25">
      <c r="A3877" s="92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idden="1" x14ac:dyDescent="0.25">
      <c r="A3878" s="92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4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idden="1" x14ac:dyDescent="0.25">
      <c r="A3884" s="920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idden="1" x14ac:dyDescent="0.25">
      <c r="A3885" s="92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idden="1" x14ac:dyDescent="0.25">
      <c r="A3886" s="92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idden="1" x14ac:dyDescent="0.25">
      <c r="A3887" s="92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idden="1" x14ac:dyDescent="0.25">
      <c r="A3888" s="92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2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idden="1" x14ac:dyDescent="0.25">
      <c r="A3890" s="91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3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idden="1" x14ac:dyDescent="0.25">
      <c r="A3895" s="91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3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4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20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2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4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1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2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2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3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20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2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4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1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2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3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3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4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20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3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4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4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1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3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20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4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1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2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2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2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2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2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20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4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1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3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20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2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4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1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2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2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3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20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4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1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3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4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1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3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20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2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4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20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4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1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2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idden="1" x14ac:dyDescent="0.25">
      <c r="A3966" s="920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2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idden="1" x14ac:dyDescent="0.25">
      <c r="A3971" s="920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idden="1" x14ac:dyDescent="0.25">
      <c r="A3972" s="92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idden="1" x14ac:dyDescent="0.25">
      <c r="A3973" s="92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idden="1" x14ac:dyDescent="0.25">
      <c r="A3974" s="92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2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idden="1" x14ac:dyDescent="0.25">
      <c r="A3976" s="91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3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idden="1" x14ac:dyDescent="0.25">
      <c r="A3981" s="91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2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idden="1" x14ac:dyDescent="0.25">
      <c r="A3983" s="920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3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4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4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idden="1" x14ac:dyDescent="0.25">
      <c r="A3985" s="91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idden="1" x14ac:dyDescent="0.25">
      <c r="A3986" s="92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idden="1" x14ac:dyDescent="0.25">
      <c r="A3987" s="92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idden="1" x14ac:dyDescent="0.25">
      <c r="A3988" s="92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idden="1" x14ac:dyDescent="0.25">
      <c r="A3989" s="92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idden="1" x14ac:dyDescent="0.25">
      <c r="A3990" s="92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3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idden="1" x14ac:dyDescent="0.25">
      <c r="A3992" s="920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idden="1" x14ac:dyDescent="0.25">
      <c r="A3993" s="92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idden="1" x14ac:dyDescent="0.25">
      <c r="A3994" s="92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2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idden="1" x14ac:dyDescent="0.25">
      <c r="A3996" s="91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idden="1" x14ac:dyDescent="0.25">
      <c r="A3997" s="92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3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idden="1" x14ac:dyDescent="0.25">
      <c r="A4002" s="91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3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idden="1" x14ac:dyDescent="0.25">
      <c r="A4004" s="920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4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idden="1" x14ac:dyDescent="0.25">
      <c r="A4006" s="91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idden="1" x14ac:dyDescent="0.25">
      <c r="A4007" s="92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3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idden="1" x14ac:dyDescent="0.25">
      <c r="A4010" s="91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3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idden="1" x14ac:dyDescent="0.25">
      <c r="A4012" s="92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idden="1" x14ac:dyDescent="0.25">
      <c r="A4013" s="94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4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idden="1" x14ac:dyDescent="0.25">
      <c r="A4019" s="91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idden="1" x14ac:dyDescent="0.25">
      <c r="A4020" s="92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idden="1" x14ac:dyDescent="0.25">
      <c r="A4021" s="92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idden="1" x14ac:dyDescent="0.25">
      <c r="A4022" s="92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idden="1" x14ac:dyDescent="0.25">
      <c r="A4023" s="92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3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idden="1" x14ac:dyDescent="0.25">
      <c r="A4027" s="920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4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idden="1" x14ac:dyDescent="0.25">
      <c r="A4031" s="91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idden="1" x14ac:dyDescent="0.25">
      <c r="A4032" s="92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3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idden="1" x14ac:dyDescent="0.25">
      <c r="A4034" s="920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4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idden="1" x14ac:dyDescent="0.25">
      <c r="A4036" s="91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3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idden="1" x14ac:dyDescent="0.25">
      <c r="A4039" s="91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3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idden="1" x14ac:dyDescent="0.25">
      <c r="A4045" s="920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idden="1" x14ac:dyDescent="0.25">
      <c r="A4046" s="92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2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idden="1" x14ac:dyDescent="0.25">
      <c r="A4048" s="91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idden="1" x14ac:dyDescent="0.25">
      <c r="A4049" s="92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1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idden="1" x14ac:dyDescent="0.25">
      <c r="A4053" s="920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2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idden="1" x14ac:dyDescent="0.25">
      <c r="A4055" s="91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1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1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idden="1" x14ac:dyDescent="0.25">
      <c r="A4058" s="91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2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idden="1" x14ac:dyDescent="0.25">
      <c r="A4064" s="920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3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2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3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idden="1" x14ac:dyDescent="0.25">
      <c r="A4066" s="91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idden="1" x14ac:dyDescent="0.25">
      <c r="A4067" s="92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idden="1" x14ac:dyDescent="0.25">
      <c r="A4068" s="92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idden="1" x14ac:dyDescent="0.25">
      <c r="A4069" s="92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2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idden="1" x14ac:dyDescent="0.25">
      <c r="A4071" s="920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2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idden="1" x14ac:dyDescent="0.25">
      <c r="A4077" s="91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1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idden="1" x14ac:dyDescent="0.25">
      <c r="A4082" s="91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idden="1" x14ac:dyDescent="0.25">
      <c r="A4083" s="92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1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idden="1" x14ac:dyDescent="0.25">
      <c r="A4085" s="920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2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idden="1" x14ac:dyDescent="0.25">
      <c r="A4087" s="91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idden="1" x14ac:dyDescent="0.25">
      <c r="A4088" s="92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2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20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3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2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0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2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3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idden="1" x14ac:dyDescent="0.25">
      <c r="A4096" s="920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2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idden="1" x14ac:dyDescent="0.25">
      <c r="A4099" s="920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idden="1" x14ac:dyDescent="0.25">
      <c r="A4100" s="92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2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idden="1" x14ac:dyDescent="0.25">
      <c r="A4106" s="91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idden="1" x14ac:dyDescent="0.25">
      <c r="A4107" s="92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1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idden="1" x14ac:dyDescent="0.25">
      <c r="A4109" s="920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idden="1" x14ac:dyDescent="0.25">
      <c r="A4110" s="92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idden="1" x14ac:dyDescent="0.25">
      <c r="A4111" s="92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idden="1" x14ac:dyDescent="0.25">
      <c r="A4112" s="92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2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idden="1" x14ac:dyDescent="0.25">
      <c r="A4114" s="91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1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idden="1" x14ac:dyDescent="0.25">
      <c r="A4120" s="920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idden="1" x14ac:dyDescent="0.25">
      <c r="A4121" s="92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2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idden="1" x14ac:dyDescent="0.25">
      <c r="A4123" s="91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idden="1" x14ac:dyDescent="0.25">
      <c r="A4124" s="92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idden="1" x14ac:dyDescent="0.25">
      <c r="A4125" s="92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1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idden="1" x14ac:dyDescent="0.25">
      <c r="A4131" s="920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2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idden="1" x14ac:dyDescent="0.25">
      <c r="A4133" s="91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idden="1" x14ac:dyDescent="0.25">
      <c r="A4134" s="92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idden="1" x14ac:dyDescent="0.25">
      <c r="A4135" s="92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1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idden="1" x14ac:dyDescent="0.25">
      <c r="A4138" s="91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1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idden="1" x14ac:dyDescent="0.25">
      <c r="A4140" s="920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idden="1" x14ac:dyDescent="0.25">
      <c r="A4141" s="92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2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idden="1" x14ac:dyDescent="0.25">
      <c r="A4145" s="91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1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idden="1" x14ac:dyDescent="0.25">
      <c r="A4153" s="920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idden="1" x14ac:dyDescent="0.25">
      <c r="A4154" s="92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idden="1" x14ac:dyDescent="0.25">
      <c r="A4155" s="92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idden="1" x14ac:dyDescent="0.25">
      <c r="A4156" s="92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2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idden="1" x14ac:dyDescent="0.25">
      <c r="A4158" s="91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1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idden="1" x14ac:dyDescent="0.25">
      <c r="A4164" s="920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idden="1" x14ac:dyDescent="0.25">
      <c r="A4165" s="92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2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idden="1" x14ac:dyDescent="0.25">
      <c r="A4167" s="91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1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idden="1" x14ac:dyDescent="0.25">
      <c r="A4169" s="920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2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idden="1" x14ac:dyDescent="0.25">
      <c r="A4171" s="91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1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idden="1" x14ac:dyDescent="0.25">
      <c r="A4178" s="91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idden="1" x14ac:dyDescent="0.25">
      <c r="A4179" s="92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1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idden="1" x14ac:dyDescent="0.25">
      <c r="A4182" s="91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1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idden="1" x14ac:dyDescent="0.25">
      <c r="A4184" s="920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2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idden="1" x14ac:dyDescent="0.25">
      <c r="A4193" s="920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idden="1" x14ac:dyDescent="0.25">
      <c r="A4194" s="92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2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idden="1" x14ac:dyDescent="0.25">
      <c r="A4196" s="91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idden="1" x14ac:dyDescent="0.25">
      <c r="A4197" s="92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idden="1" x14ac:dyDescent="0.25">
      <c r="A4198" s="92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idden="1" x14ac:dyDescent="0.25">
      <c r="A4199" s="92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1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idden="1" x14ac:dyDescent="0.25">
      <c r="A4202" s="91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2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idden="1" x14ac:dyDescent="0.25">
      <c r="A4204" s="920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2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hidden="1" x14ac:dyDescent="0.25">
      <c r="A4209" s="920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2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idden="1" x14ac:dyDescent="0.25">
      <c r="A4212" s="920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2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idden="1" x14ac:dyDescent="0.25">
      <c r="A4214" s="91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idden="1" x14ac:dyDescent="0.25">
      <c r="A4215" s="92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1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idden="1" x14ac:dyDescent="0.25">
      <c r="A4223" s="920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idden="1" x14ac:dyDescent="0.25">
      <c r="A4224" s="92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idden="1" x14ac:dyDescent="0.25">
      <c r="A4225" s="92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2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idden="1" x14ac:dyDescent="0.25">
      <c r="A4227" s="91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idden="1" x14ac:dyDescent="0.25">
      <c r="A4228" s="92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1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1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1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1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idden="1" x14ac:dyDescent="0.25">
      <c r="A4233" s="920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idden="1" x14ac:dyDescent="0.25">
      <c r="A4234" s="92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2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idden="1" x14ac:dyDescent="0.25">
      <c r="A4237" s="920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idden="1" x14ac:dyDescent="0.25">
      <c r="A4238" s="92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2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idden="1" x14ac:dyDescent="0.25">
      <c r="A4240" s="91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idden="1" x14ac:dyDescent="0.25">
      <c r="A4241" s="92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idden="1" x14ac:dyDescent="0.25">
      <c r="A4242" s="92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1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idden="1" x14ac:dyDescent="0.25">
      <c r="A4245" s="91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1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20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3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2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0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2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0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2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3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idden="1" x14ac:dyDescent="0.25">
      <c r="A4255" s="91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idden="1" x14ac:dyDescent="0.25">
      <c r="A4256" s="92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1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idden="1" x14ac:dyDescent="0.25">
      <c r="A4259" s="91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1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idden="1" x14ac:dyDescent="0.25">
      <c r="A4267" s="920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idden="1" x14ac:dyDescent="0.25">
      <c r="A4268" s="92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2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idden="1" x14ac:dyDescent="0.25">
      <c r="A4270" s="91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1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idden="1" x14ac:dyDescent="0.25">
      <c r="A4272" s="920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idden="1" x14ac:dyDescent="0.25">
      <c r="A4273" s="92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2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20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3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2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3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idden="1" x14ac:dyDescent="0.25">
      <c r="A4282" s="91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1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idden="1" x14ac:dyDescent="0.25">
      <c r="A4284" s="920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idden="1" x14ac:dyDescent="0.25">
      <c r="A4285" s="92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2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idden="1" x14ac:dyDescent="0.25">
      <c r="A4288" s="920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2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idden="1" x14ac:dyDescent="0.25">
      <c r="A4290" s="91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1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idden="1" x14ac:dyDescent="0.25">
      <c r="A4292" s="920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2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idden="1" x14ac:dyDescent="0.25">
      <c r="A4298" s="91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1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idden="1" x14ac:dyDescent="0.25">
      <c r="A4300" s="920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idden="1" x14ac:dyDescent="0.25">
      <c r="A4301" s="92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idden="1" x14ac:dyDescent="0.25">
      <c r="A4302" s="92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idden="1" x14ac:dyDescent="0.25">
      <c r="A4303" s="92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2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idden="1" x14ac:dyDescent="0.25">
      <c r="A4305" s="91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idden="1" x14ac:dyDescent="0.25">
      <c r="A4306" s="92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1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idden="1" x14ac:dyDescent="0.25">
      <c r="A4311" s="91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idden="1" x14ac:dyDescent="0.25">
      <c r="A4312" s="92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3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idden="1" x14ac:dyDescent="0.25">
      <c r="A4313" s="92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3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1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1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idden="1" x14ac:dyDescent="0.25">
      <c r="A4315" s="920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2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idden="1" x14ac:dyDescent="0.25">
      <c r="A4317" s="91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1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idden="1" x14ac:dyDescent="0.25">
      <c r="A4322" s="91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1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idden="1" x14ac:dyDescent="0.25">
      <c r="A4324" s="920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idden="1" x14ac:dyDescent="0.25">
      <c r="A4325" s="92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2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idden="1" x14ac:dyDescent="0.25">
      <c r="A4329" s="91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1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20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3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2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3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idden="1" x14ac:dyDescent="0.25">
      <c r="A4334" s="920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2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idden="1" x14ac:dyDescent="0.25">
      <c r="A4339" s="920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idden="1" x14ac:dyDescent="0.25">
      <c r="A4340" s="92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idden="1" x14ac:dyDescent="0.25">
      <c r="A4341" s="92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idden="1" x14ac:dyDescent="0.25">
      <c r="A4342" s="92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idden="1" x14ac:dyDescent="0.25">
      <c r="A4343" s="92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2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idden="1" x14ac:dyDescent="0.25">
      <c r="A4345" s="91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2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idden="1" x14ac:dyDescent="0.25">
      <c r="A4347" s="920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idden="1" x14ac:dyDescent="0.25">
      <c r="A4348" s="92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2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hidden="1" x14ac:dyDescent="0.25">
      <c r="A4354" s="91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1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idden="1" x14ac:dyDescent="0.25">
      <c r="A4357" s="91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idden="1" x14ac:dyDescent="0.25">
      <c r="A4358" s="92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1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idden="1" x14ac:dyDescent="0.25">
      <c r="A4360" s="920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idden="1" x14ac:dyDescent="0.25">
      <c r="A4361" s="92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2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idden="1" x14ac:dyDescent="0.25">
      <c r="A4367" s="91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idden="1" x14ac:dyDescent="0.25">
      <c r="A4368" s="92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1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idden="1" x14ac:dyDescent="0.25">
      <c r="A4370" s="920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idden="1" x14ac:dyDescent="0.25">
      <c r="A4371" s="92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2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idden="1" x14ac:dyDescent="0.25">
      <c r="A4374" s="920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2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idden="1" x14ac:dyDescent="0.25">
      <c r="A4376" s="91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1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hidden="1" x14ac:dyDescent="0.25">
      <c r="A4384" s="92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hidden="1" x14ac:dyDescent="0.25">
      <c r="A4385" s="92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2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hidden="1" x14ac:dyDescent="0.25">
      <c r="A4387" s="91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hidden="1" x14ac:dyDescent="0.25">
      <c r="A4388" s="92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hidden="1" x14ac:dyDescent="0.25">
      <c r="A4389" s="92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1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hidden="1" x14ac:dyDescent="0.25">
      <c r="A4391" s="92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3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2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3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idden="1" x14ac:dyDescent="0.25">
      <c r="A4393" s="91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idden="1" x14ac:dyDescent="0.25">
      <c r="A4394" s="92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1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idden="1" x14ac:dyDescent="0.25">
      <c r="A4400" s="920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2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idden="1" x14ac:dyDescent="0.25">
      <c r="A4402" s="91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idden="1" x14ac:dyDescent="0.25">
      <c r="A4403" s="92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idden="1" x14ac:dyDescent="0.25">
      <c r="A4404" s="92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2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idden="1" x14ac:dyDescent="0.25">
      <c r="A4406" s="920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2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idden="1" x14ac:dyDescent="0.25">
      <c r="A4414" s="91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1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idden="1" x14ac:dyDescent="0.25">
      <c r="A4416" s="920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idden="1" x14ac:dyDescent="0.25">
      <c r="A4417" s="92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idden="1" x14ac:dyDescent="0.25">
      <c r="A4418" s="92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2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idden="1" x14ac:dyDescent="0.25">
      <c r="A4422" s="91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1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idden="1" x14ac:dyDescent="0.25">
      <c r="A4424" s="92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2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idden="1" x14ac:dyDescent="0.25">
      <c r="A4427" s="92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2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idden="1" x14ac:dyDescent="0.25">
      <c r="A4429" s="91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1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idden="1" x14ac:dyDescent="0.25">
      <c r="A4431" s="92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2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idden="1" x14ac:dyDescent="0.25">
      <c r="A4437" s="91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idden="1" x14ac:dyDescent="0.25">
      <c r="A4438" s="92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idden="1" x14ac:dyDescent="0.25">
      <c r="A4439" s="92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1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idden="1" x14ac:dyDescent="0.25">
      <c r="A4442" s="91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1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idden="1" x14ac:dyDescent="0.25">
      <c r="A4445" s="91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idden="1" x14ac:dyDescent="0.25">
      <c r="A4446" s="92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idden="1" x14ac:dyDescent="0.25">
      <c r="A4447" s="92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1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idden="1" x14ac:dyDescent="0.25">
      <c r="A4453" s="920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2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idden="1" x14ac:dyDescent="0.25">
      <c r="A4456" s="920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2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idden="1" x14ac:dyDescent="0.25">
      <c r="A4458" s="91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idden="1" x14ac:dyDescent="0.25">
      <c r="A4459" s="92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1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idden="1" x14ac:dyDescent="0.25">
      <c r="A4461" s="920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idden="1" x14ac:dyDescent="0.25">
      <c r="A4462" s="92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2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idden="1" x14ac:dyDescent="0.25">
      <c r="A4473" s="920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idden="1" x14ac:dyDescent="0.25">
      <c r="A4474" s="92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2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idden="1" x14ac:dyDescent="0.25">
      <c r="A4477" s="920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idden="1" x14ac:dyDescent="0.25">
      <c r="A4478" s="92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2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idden="1" x14ac:dyDescent="0.25">
      <c r="A4480" s="91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1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idden="1" x14ac:dyDescent="0.25">
      <c r="A4489" s="91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idden="1" x14ac:dyDescent="0.25">
      <c r="A4490" s="92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idden="1" x14ac:dyDescent="0.25">
      <c r="A4491" s="92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1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idden="1" x14ac:dyDescent="0.25">
      <c r="A4493" s="920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3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2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0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idden="1" x14ac:dyDescent="0.25">
      <c r="A4499" s="91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1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idden="1" x14ac:dyDescent="0.25">
      <c r="A4501" s="920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2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idden="1" x14ac:dyDescent="0.25">
      <c r="A4503" s="91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1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idden="1" x14ac:dyDescent="0.25">
      <c r="A4505" s="920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2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idden="1" x14ac:dyDescent="0.25">
      <c r="A4507" s="91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1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idden="1" x14ac:dyDescent="0.25">
      <c r="A4512" s="91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idden="1" x14ac:dyDescent="0.25">
      <c r="A4513" s="92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1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idden="1" x14ac:dyDescent="0.25">
      <c r="A4515" s="920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2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idden="1" x14ac:dyDescent="0.25">
      <c r="A4517" s="91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1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idden="1" x14ac:dyDescent="0.25">
      <c r="A4521" s="920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idden="1" x14ac:dyDescent="0.25">
      <c r="A4522" s="92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2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idden="1" x14ac:dyDescent="0.25">
      <c r="A4524" s="91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idden="1" x14ac:dyDescent="0.25">
      <c r="A4525" s="92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1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idden="1" x14ac:dyDescent="0.25">
      <c r="A4527" s="920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2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idden="1" x14ac:dyDescent="0.25">
      <c r="A4529" s="91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1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idden="1" x14ac:dyDescent="0.25">
      <c r="A4532" s="91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2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idden="1" x14ac:dyDescent="0.25">
      <c r="A4536" s="920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idden="1" x14ac:dyDescent="0.25">
      <c r="A4537" s="92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2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idden="1" x14ac:dyDescent="0.25">
      <c r="A4539" s="91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idden="1" x14ac:dyDescent="0.25">
      <c r="A4540" s="92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1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idden="1" x14ac:dyDescent="0.25">
      <c r="A4543" s="91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1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idden="1" x14ac:dyDescent="0.25">
      <c r="A4548" s="91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1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idden="1" x14ac:dyDescent="0.25">
      <c r="A4550" s="920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2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idden="1" x14ac:dyDescent="0.25">
      <c r="A4552" s="91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1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idden="1" x14ac:dyDescent="0.25">
      <c r="A4554" s="920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2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idden="1" x14ac:dyDescent="0.25">
      <c r="A4560" s="91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idden="1" x14ac:dyDescent="0.25">
      <c r="A4561" s="92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1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idden="1" x14ac:dyDescent="0.25">
      <c r="A4563" s="920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idden="1" x14ac:dyDescent="0.25">
      <c r="A4564" s="92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2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idden="1" x14ac:dyDescent="0.25">
      <c r="A4567" s="920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idden="1" x14ac:dyDescent="0.25">
      <c r="A4568" s="92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2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idden="1" x14ac:dyDescent="0.25">
      <c r="A4570" s="91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1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idden="1" x14ac:dyDescent="0.25">
      <c r="A4572" s="920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idden="1" x14ac:dyDescent="0.25">
      <c r="A4573" s="92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2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1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2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3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1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1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idden="1" x14ac:dyDescent="0.25">
      <c r="A4582" s="920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idden="1" x14ac:dyDescent="0.25">
      <c r="A4583" s="92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2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idden="1" x14ac:dyDescent="0.25">
      <c r="A4586" s="920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2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idden="1" x14ac:dyDescent="0.25">
      <c r="A4591" s="920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2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idden="1" x14ac:dyDescent="0.25">
      <c r="A4593" s="91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idden="1" x14ac:dyDescent="0.25">
      <c r="A4594" s="92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1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idden="1" x14ac:dyDescent="0.25">
      <c r="A4597" s="91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1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idden="1" x14ac:dyDescent="0.25">
      <c r="A4601" s="920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2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idden="1" x14ac:dyDescent="0.25">
      <c r="A4605" s="91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idden="1" x14ac:dyDescent="0.25">
      <c r="A4606" s="92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idden="1" x14ac:dyDescent="0.25">
      <c r="A4607" s="92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1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idden="1" x14ac:dyDescent="0.25">
      <c r="A4610" s="91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1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1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1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1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idden="1" x14ac:dyDescent="0.25">
      <c r="A4617" s="920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2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idden="1" x14ac:dyDescent="0.25">
      <c r="A4622" s="920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2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idden="1" x14ac:dyDescent="0.25">
      <c r="A4627" s="920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2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idden="1" x14ac:dyDescent="0.25">
      <c r="A4629" s="91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idden="1" x14ac:dyDescent="0.25">
      <c r="A4630" s="92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idden="1" x14ac:dyDescent="0.25">
      <c r="A4631" s="92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1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idden="1" x14ac:dyDescent="0.25">
      <c r="A4633" s="920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2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idden="1" x14ac:dyDescent="0.25">
      <c r="A4635" s="91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1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hidden="1" x14ac:dyDescent="0.25">
      <c r="A4640" s="91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1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idden="1" x14ac:dyDescent="0.25">
      <c r="A4643" s="91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idden="1" x14ac:dyDescent="0.25">
      <c r="A4644" s="92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1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idden="1" x14ac:dyDescent="0.25">
      <c r="A4646" s="920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idden="1" x14ac:dyDescent="0.25">
      <c r="A4647" s="92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2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idden="1" x14ac:dyDescent="0.25">
      <c r="A4649" s="91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1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idden="1" x14ac:dyDescent="0.25">
      <c r="A4653" s="920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idden="1" x14ac:dyDescent="0.25">
      <c r="A4654" s="92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2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idden="1" x14ac:dyDescent="0.25">
      <c r="A4656" s="91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1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idden="1" x14ac:dyDescent="0.25">
      <c r="A4662" s="920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2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idden="1" x14ac:dyDescent="0.25">
      <c r="A4664" s="91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1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20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2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2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2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2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20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2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1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1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20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2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2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2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1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1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20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2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1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1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1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1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1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idden="1" x14ac:dyDescent="0.25">
      <c r="A4703" s="91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idden="1" x14ac:dyDescent="0.25">
      <c r="A4704" s="92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1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idden="1" x14ac:dyDescent="0.25">
      <c r="A4706" s="920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idden="1" x14ac:dyDescent="0.25">
      <c r="A4707" s="92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2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idden="1" x14ac:dyDescent="0.25">
      <c r="A4709" s="91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idden="1" x14ac:dyDescent="0.25">
      <c r="A4710" s="92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1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idden="1" x14ac:dyDescent="0.25">
      <c r="A4714" s="920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2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idden="1" x14ac:dyDescent="0.25">
      <c r="A4719" s="920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2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idden="1" x14ac:dyDescent="0.25">
      <c r="A4721" s="91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2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idden="1" x14ac:dyDescent="0.25">
      <c r="A4723" s="920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2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idden="1" x14ac:dyDescent="0.25">
      <c r="A4727" s="91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1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20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3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2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0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2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0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2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3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20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2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2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20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3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2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3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1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2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1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2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1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20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2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2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1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1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1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1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1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idden="1" x14ac:dyDescent="0.25">
      <c r="A4756" s="920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2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idden="1" x14ac:dyDescent="0.25">
      <c r="A4761" s="920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idden="1" x14ac:dyDescent="0.25">
      <c r="A4762" s="92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idden="1" x14ac:dyDescent="0.25">
      <c r="A4763" s="92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2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idden="1" x14ac:dyDescent="0.25">
      <c r="A4765" s="91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2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3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idden="1" x14ac:dyDescent="0.25">
      <c r="A4767" s="920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2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idden="1" x14ac:dyDescent="0.25">
      <c r="A4770" s="920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2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idden="1" x14ac:dyDescent="0.25">
      <c r="A4772" s="91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1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idden="1" x14ac:dyDescent="0.25">
      <c r="A4774" s="920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2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1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1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1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idden="1" x14ac:dyDescent="0.25">
      <c r="A4785" s="91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idden="1" x14ac:dyDescent="0.25">
      <c r="A4786" s="92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1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idden="1" x14ac:dyDescent="0.25">
      <c r="A4788" s="920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idden="1" x14ac:dyDescent="0.25">
      <c r="A4789" s="92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2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20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3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2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3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idden="1" x14ac:dyDescent="0.25">
      <c r="A4794" s="91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1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idden="1" x14ac:dyDescent="0.25">
      <c r="A4799" s="91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2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idden="1" x14ac:dyDescent="0.25">
      <c r="A4806" s="91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1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idden="1" x14ac:dyDescent="0.25">
      <c r="A4808" s="920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idden="1" x14ac:dyDescent="0.25">
      <c r="A4809" s="92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idden="1" x14ac:dyDescent="0.25">
      <c r="A4810" s="92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2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idden="1" x14ac:dyDescent="0.25">
      <c r="A4812" s="91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1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idden="1" x14ac:dyDescent="0.25">
      <c r="A4816" s="920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2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idden="1" x14ac:dyDescent="0.25">
      <c r="A4818" s="91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1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idden="1" x14ac:dyDescent="0.25">
      <c r="A4820" s="920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3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idden="1" x14ac:dyDescent="0.25">
      <c r="A4821" s="92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0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2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3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idden="1" x14ac:dyDescent="0.25">
      <c r="A4825" s="91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1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idden="1" x14ac:dyDescent="0.25">
      <c r="A4830" s="91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1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1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idden="1" x14ac:dyDescent="0.25">
      <c r="A4832" s="920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2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idden="1" x14ac:dyDescent="0.25">
      <c r="A4834" s="91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idden="1" x14ac:dyDescent="0.25">
      <c r="A4835" s="92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idden="1" x14ac:dyDescent="0.25">
      <c r="A4836" s="92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1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20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3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2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3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idden="1" x14ac:dyDescent="0.25">
      <c r="A4840" s="91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1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idden="1" x14ac:dyDescent="0.25">
      <c r="A4842" s="920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2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idden="1" x14ac:dyDescent="0.25">
      <c r="A4844" s="91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1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idden="1" x14ac:dyDescent="0.25">
      <c r="A4846" s="920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2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idden="1" x14ac:dyDescent="0.25">
      <c r="A4854" s="91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1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1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idden="1" x14ac:dyDescent="0.25">
      <c r="A4856" s="920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idden="1" x14ac:dyDescent="0.25">
      <c r="A4857" s="92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2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idden="1" x14ac:dyDescent="0.25">
      <c r="A4859" s="91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1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1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1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1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idden="1" x14ac:dyDescent="0.25">
      <c r="A4868" s="920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idden="1" x14ac:dyDescent="0.25">
      <c r="A4869" s="92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idden="1" x14ac:dyDescent="0.25">
      <c r="A4870" s="92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2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idden="1" x14ac:dyDescent="0.25">
      <c r="A4872" s="91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1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idden="1" x14ac:dyDescent="0.25">
      <c r="A4878" s="920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idden="1" x14ac:dyDescent="0.25">
      <c r="A4879" s="92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2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idden="1" x14ac:dyDescent="0.25">
      <c r="A4881" s="91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idden="1" x14ac:dyDescent="0.25">
      <c r="A4882" s="92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idden="1" x14ac:dyDescent="0.25">
      <c r="A4883" s="92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1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idden="1" x14ac:dyDescent="0.25">
      <c r="A4887" s="920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2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idden="1" x14ac:dyDescent="0.25">
      <c r="A4889" s="91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1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idden="1" x14ac:dyDescent="0.25">
      <c r="A4891" s="920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2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1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1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1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idden="1" x14ac:dyDescent="0.25">
      <c r="A4897" s="920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2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idden="1" x14ac:dyDescent="0.25">
      <c r="A4900" s="920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idden="1" x14ac:dyDescent="0.25">
      <c r="A4901" s="92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2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1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2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3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idden="1" x14ac:dyDescent="0.25">
      <c r="A4905" s="920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2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idden="1" x14ac:dyDescent="0.25">
      <c r="A4908" s="920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idden="1" x14ac:dyDescent="0.25">
      <c r="A4909" s="92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2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idden="1" x14ac:dyDescent="0.25">
      <c r="A4911" s="91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idden="1" x14ac:dyDescent="0.25">
      <c r="A4912" s="92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1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idden="1" x14ac:dyDescent="0.25">
      <c r="A4917" s="91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1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idden="1" x14ac:dyDescent="0.25">
      <c r="A4924" s="91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1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idden="1" x14ac:dyDescent="0.25">
      <c r="A4926" s="920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idden="1" x14ac:dyDescent="0.25">
      <c r="A4927" s="92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idden="1" x14ac:dyDescent="0.25">
      <c r="A4928" s="92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2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idden="1" x14ac:dyDescent="0.25">
      <c r="A4930" s="91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1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1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idden="1" x14ac:dyDescent="0.25">
      <c r="A4933" s="91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1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20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3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2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3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idden="1" x14ac:dyDescent="0.25">
      <c r="A4939" s="91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idden="1" x14ac:dyDescent="0.25">
      <c r="A4940" s="92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2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idden="1" x14ac:dyDescent="0.25">
      <c r="A4942" s="920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2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idden="1" x14ac:dyDescent="0.25">
      <c r="A4946" s="91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1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idden="1" x14ac:dyDescent="0.25">
      <c r="A4948" s="920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2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1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1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1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idden="1" x14ac:dyDescent="0.25">
      <c r="A4954" s="920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2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idden="1" x14ac:dyDescent="0.25">
      <c r="A4956" s="91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1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idden="1" x14ac:dyDescent="0.25">
      <c r="A4960" s="920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3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2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3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idden="1" x14ac:dyDescent="0.25">
      <c r="A4964" s="91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1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idden="1" x14ac:dyDescent="0.25">
      <c r="A4966" s="920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idden="1" x14ac:dyDescent="0.25">
      <c r="A4967" s="92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2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idden="1" x14ac:dyDescent="0.25">
      <c r="A4969" s="91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1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idden="1" x14ac:dyDescent="0.25">
      <c r="A4971" s="920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idden="1" x14ac:dyDescent="0.25">
      <c r="A4972" s="92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2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idden="1" x14ac:dyDescent="0.25">
      <c r="A4977" s="920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3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2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3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idden="1" x14ac:dyDescent="0.25">
      <c r="A4979" s="91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2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idden="1" x14ac:dyDescent="0.25">
      <c r="A4983" s="920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idden="1" x14ac:dyDescent="0.25">
      <c r="A4984" s="92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2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idden="1" x14ac:dyDescent="0.25">
      <c r="A4986" s="91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1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idden="1" x14ac:dyDescent="0.25">
      <c r="A4989" s="91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idden="1" x14ac:dyDescent="0.25">
      <c r="A4990" s="92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1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idden="1" x14ac:dyDescent="0.25">
      <c r="A4992" s="920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idden="1" x14ac:dyDescent="0.25">
      <c r="A4993" s="92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2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20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3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2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3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idden="1" x14ac:dyDescent="0.25">
      <c r="A4999" s="920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3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2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3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idden="1" x14ac:dyDescent="0.25">
      <c r="A5001" s="91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2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idden="1" x14ac:dyDescent="0.25">
      <c r="A5006" s="91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idden="1" x14ac:dyDescent="0.25">
      <c r="A5007" s="92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1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idden="1" x14ac:dyDescent="0.25">
      <c r="A5009" s="920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idden="1" x14ac:dyDescent="0.25">
      <c r="A5010" s="92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2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idden="1" x14ac:dyDescent="0.25">
      <c r="A5012" s="91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1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idden="1" x14ac:dyDescent="0.25">
      <c r="A5014" s="920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2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20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3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2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3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idden="1" x14ac:dyDescent="0.25">
      <c r="A5026" s="920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idden="1" x14ac:dyDescent="0.25">
      <c r="A5027" s="92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2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idden="1" x14ac:dyDescent="0.25">
      <c r="A5029" s="91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1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20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3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2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3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idden="1" x14ac:dyDescent="0.25">
      <c r="A5037" s="91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1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idden="1" x14ac:dyDescent="0.25">
      <c r="A5039" s="920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idden="1" x14ac:dyDescent="0.25">
      <c r="A5040" s="92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2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idden="1" x14ac:dyDescent="0.25">
      <c r="A5042" s="91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idden="1" x14ac:dyDescent="0.25">
      <c r="A5043" s="92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3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2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3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idden="1" x14ac:dyDescent="0.25">
      <c r="A5047" s="920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3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2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3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idden="1" x14ac:dyDescent="0.25">
      <c r="A5049" s="92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idden="1" x14ac:dyDescent="0.25">
      <c r="A5050" s="92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idden="1" x14ac:dyDescent="0.25">
      <c r="A5051" s="92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2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idden="1" x14ac:dyDescent="0.25">
      <c r="A5054" s="92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2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idden="1" x14ac:dyDescent="0.25">
      <c r="A5059" s="91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2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idden="1" x14ac:dyDescent="0.25">
      <c r="A5063" s="920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2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idden="1" x14ac:dyDescent="0.25">
      <c r="A5065" s="91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idden="1" x14ac:dyDescent="0.25">
      <c r="A5066" s="92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3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idden="1" x14ac:dyDescent="0.25">
      <c r="A5067" s="92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idden="1" x14ac:dyDescent="0.25">
      <c r="A5068" s="92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2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hidden="1" x14ac:dyDescent="0.25">
      <c r="A5070" s="920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2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idden="1" x14ac:dyDescent="0.25">
      <c r="A5074" s="91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idden="1" x14ac:dyDescent="0.25">
      <c r="A5075" s="92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1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idden="1" x14ac:dyDescent="0.25">
      <c r="A5077" s="920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2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idden="1" x14ac:dyDescent="0.25">
      <c r="A5079" s="91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1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hidden="1" x14ac:dyDescent="0.25">
      <c r="A5082" s="91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1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idden="1" x14ac:dyDescent="0.25">
      <c r="A5084" s="920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3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idden="1" x14ac:dyDescent="0.25">
      <c r="A5085" s="92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0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2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3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idden="1" x14ac:dyDescent="0.25">
      <c r="A5087" s="91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2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idden="1" x14ac:dyDescent="0.25">
      <c r="A5091" s="920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3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2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3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idden="1" x14ac:dyDescent="0.25">
      <c r="A5094" s="920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idden="1" x14ac:dyDescent="0.25">
      <c r="A5095" s="92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idden="1" x14ac:dyDescent="0.25">
      <c r="A5096" s="92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2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idden="1" x14ac:dyDescent="0.25">
      <c r="A5099" s="920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idden="1" x14ac:dyDescent="0.25">
      <c r="A5100" s="92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2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idden="1" x14ac:dyDescent="0.25">
      <c r="A5102" s="91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idden="1" x14ac:dyDescent="0.25">
      <c r="A5103" s="92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1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idden="1" x14ac:dyDescent="0.25">
      <c r="A5110" s="91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idden="1" x14ac:dyDescent="0.25">
      <c r="A5111" s="92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3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idden="1" x14ac:dyDescent="0.25">
      <c r="A5112" s="92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3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2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3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idden="1" x14ac:dyDescent="0.25">
      <c r="A5114" s="920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2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idden="1" x14ac:dyDescent="0.25">
      <c r="A5116" s="91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1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1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idden="1" x14ac:dyDescent="0.25">
      <c r="A5121" s="91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1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idden="1" x14ac:dyDescent="0.25">
      <c r="A5123" s="920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idden="1" x14ac:dyDescent="0.25">
      <c r="A5124" s="92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2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idden="1" x14ac:dyDescent="0.25">
      <c r="A5126" s="91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1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1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idden="1" x14ac:dyDescent="0.25">
      <c r="A5128" s="920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2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idden="1" x14ac:dyDescent="0.25">
      <c r="A5134" s="91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idden="1" x14ac:dyDescent="0.25">
      <c r="A5135" s="92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idden="1" x14ac:dyDescent="0.25">
      <c r="A5136" s="92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1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idden="1" x14ac:dyDescent="0.25">
      <c r="A5138" s="920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2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1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1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1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idden="1" x14ac:dyDescent="0.25">
      <c r="A5142" s="920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idden="1" x14ac:dyDescent="0.25">
      <c r="A5143" s="92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2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idden="1" x14ac:dyDescent="0.25">
      <c r="A5146" s="920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2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idden="1" x14ac:dyDescent="0.25">
      <c r="A5150" s="91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idden="1" x14ac:dyDescent="0.25">
      <c r="A5151" s="92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2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idden="1" x14ac:dyDescent="0.25">
      <c r="A5153" s="920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2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idden="1" x14ac:dyDescent="0.25">
      <c r="A5156" s="920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idden="1" x14ac:dyDescent="0.25">
      <c r="A5157" s="92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idden="1" x14ac:dyDescent="0.25">
      <c r="A5158" s="92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2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idden="1" x14ac:dyDescent="0.25">
      <c r="A5161" s="920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2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idden="1" x14ac:dyDescent="0.25">
      <c r="A5164" s="920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2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idden="1" x14ac:dyDescent="0.25">
      <c r="A5172" s="91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idden="1" x14ac:dyDescent="0.25">
      <c r="A5173" s="92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hidden="1" x14ac:dyDescent="0.25">
      <c r="A5174" s="92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1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idden="1" x14ac:dyDescent="0.25">
      <c r="A5176" s="920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idden="1" x14ac:dyDescent="0.25">
      <c r="A5177" s="92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2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idden="1" x14ac:dyDescent="0.25">
      <c r="A5179" s="91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1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idden="1" x14ac:dyDescent="0.25">
      <c r="A5181" s="920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2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idden="1" x14ac:dyDescent="0.25">
      <c r="A5183" s="91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1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idden="1" x14ac:dyDescent="0.25">
      <c r="A5188" s="91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2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3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idden="1" x14ac:dyDescent="0.25">
      <c r="A5192" s="920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idden="1" x14ac:dyDescent="0.25">
      <c r="A5193" s="92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idden="1" x14ac:dyDescent="0.25">
      <c r="A5194" s="92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2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idden="1" x14ac:dyDescent="0.25">
      <c r="A5196" s="91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1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1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idden="1" x14ac:dyDescent="0.25">
      <c r="A5199" s="91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1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1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1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1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idden="1" x14ac:dyDescent="0.25">
      <c r="A5205" s="91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idden="1" x14ac:dyDescent="0.25">
      <c r="A5206" s="92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1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idden="1" x14ac:dyDescent="0.25">
      <c r="A5210" s="920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2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idden="1" x14ac:dyDescent="0.25">
      <c r="A5212" s="91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1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idden="1" x14ac:dyDescent="0.25">
      <c r="A5216" s="920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3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2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3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idden="1" x14ac:dyDescent="0.25">
      <c r="A5219" s="920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idden="1" x14ac:dyDescent="0.25">
      <c r="A5220" s="92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2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idden="1" x14ac:dyDescent="0.25">
      <c r="A5222" s="91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idden="1" x14ac:dyDescent="0.25">
      <c r="A5223" s="92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idden="1" x14ac:dyDescent="0.25">
      <c r="A5224" s="92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1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idden="1" x14ac:dyDescent="0.25">
      <c r="A5226" s="920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idden="1" x14ac:dyDescent="0.25">
      <c r="A5227" s="92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2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idden="1" x14ac:dyDescent="0.25">
      <c r="A5229" s="91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2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idden="1" x14ac:dyDescent="0.25">
      <c r="A5232" s="91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1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1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idden="1" x14ac:dyDescent="0.25">
      <c r="A5234" s="920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2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idden="1" x14ac:dyDescent="0.25">
      <c r="A5240" s="91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idden="1" x14ac:dyDescent="0.25">
      <c r="A5241" s="92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2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idden="1" x14ac:dyDescent="0.25">
      <c r="A5243" s="920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2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idden="1" x14ac:dyDescent="0.25">
      <c r="A5247" s="91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idden="1" x14ac:dyDescent="0.25">
      <c r="A5248" s="92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1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idden="1" x14ac:dyDescent="0.25">
      <c r="A5250" s="920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2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idden="1" x14ac:dyDescent="0.25">
      <c r="A5254" s="91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1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idden="1" x14ac:dyDescent="0.25">
      <c r="A5260" s="920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2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idden="1" x14ac:dyDescent="0.25">
      <c r="A5262" s="91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1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idden="1" x14ac:dyDescent="0.25">
      <c r="A5265" s="91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1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idden="1" x14ac:dyDescent="0.25">
      <c r="A5267" s="920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idden="1" x14ac:dyDescent="0.25">
      <c r="A5268" s="92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2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idden="1" x14ac:dyDescent="0.25">
      <c r="A5270" s="91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1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idden="1" x14ac:dyDescent="0.25">
      <c r="A5272" s="920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2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idden="1" x14ac:dyDescent="0.25">
      <c r="A5275" s="920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3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2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0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idden="1" x14ac:dyDescent="0.25">
      <c r="A5279" s="91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idden="1" x14ac:dyDescent="0.25">
      <c r="A5280" s="92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2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idden="1" x14ac:dyDescent="0.25">
      <c r="A5282" s="920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2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idden="1" x14ac:dyDescent="0.25">
      <c r="A5286" s="91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idden="1" x14ac:dyDescent="0.25">
      <c r="A5287" s="92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idden="1" x14ac:dyDescent="0.25">
      <c r="A5288" s="92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1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idden="1" x14ac:dyDescent="0.25">
      <c r="A5290" s="920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idden="1" x14ac:dyDescent="0.25">
      <c r="A5291" s="92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2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idden="1" x14ac:dyDescent="0.25">
      <c r="A5296" s="92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2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idden="1" x14ac:dyDescent="0.25">
      <c r="A5298" s="91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1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idden="1" x14ac:dyDescent="0.25">
      <c r="A5302" s="920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idden="1" x14ac:dyDescent="0.25">
      <c r="A5303" s="92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2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idden="1" x14ac:dyDescent="0.25">
      <c r="A5305" s="91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idden="1" x14ac:dyDescent="0.25">
      <c r="A5306" s="92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idden="1" x14ac:dyDescent="0.25">
      <c r="A5307" s="92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1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idden="1" x14ac:dyDescent="0.25">
      <c r="A5309" s="920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2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idden="1" x14ac:dyDescent="0.25">
      <c r="A5311" s="91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1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idden="1" x14ac:dyDescent="0.25">
      <c r="A5316" s="91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2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idden="1" x14ac:dyDescent="0.25">
      <c r="A5321" s="91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idden="1" x14ac:dyDescent="0.25">
      <c r="A5322" s="92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3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idden="1" x14ac:dyDescent="0.25">
      <c r="A5323" s="92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3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idden="1" x14ac:dyDescent="0.25">
      <c r="A5324" s="92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3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2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3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idden="1" x14ac:dyDescent="0.25">
      <c r="A5326" s="920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2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idden="1" x14ac:dyDescent="0.25">
      <c r="A5331" s="920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idden="1" x14ac:dyDescent="0.25">
      <c r="A5332" s="92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idden="1" x14ac:dyDescent="0.25">
      <c r="A5333" s="92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2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idden="1" x14ac:dyDescent="0.25">
      <c r="A5338" s="920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hidden="1" x14ac:dyDescent="0.25">
      <c r="A5339" s="92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idden="1" x14ac:dyDescent="0.25">
      <c r="A5340" s="92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2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idden="1" x14ac:dyDescent="0.25">
      <c r="A5342" s="91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1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idden="1" x14ac:dyDescent="0.25">
      <c r="A5348" s="920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idden="1" x14ac:dyDescent="0.25">
      <c r="A5349" s="92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2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idden="1" x14ac:dyDescent="0.25">
      <c r="A5351" s="91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idden="1" x14ac:dyDescent="0.25">
      <c r="A5352" s="92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1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idden="1" x14ac:dyDescent="0.25">
      <c r="A5355" s="91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idden="1" x14ac:dyDescent="0.25">
      <c r="A5356" s="92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1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idden="1" x14ac:dyDescent="0.25">
      <c r="A5358" s="920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2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idden="1" x14ac:dyDescent="0.25">
      <c r="A5363" s="920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3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2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3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idden="1" x14ac:dyDescent="0.25">
      <c r="A5370" s="920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3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idden="1" x14ac:dyDescent="0.25">
      <c r="A5371" s="92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0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idden="1" x14ac:dyDescent="0.25">
      <c r="A5372" s="92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0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2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0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idden="1" x14ac:dyDescent="0.25">
      <c r="A5374" s="91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1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idden="1" x14ac:dyDescent="0.25">
      <c r="A5378" s="920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2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idden="1" x14ac:dyDescent="0.25">
      <c r="A5380" s="91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1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idden="1" x14ac:dyDescent="0.25">
      <c r="A5385" s="91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1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idden="1" x14ac:dyDescent="0.25">
      <c r="A5387" s="920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2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idden="1" x14ac:dyDescent="0.25">
      <c r="A5394" s="920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idden="1" x14ac:dyDescent="0.25">
      <c r="A5395" s="92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idden="1" x14ac:dyDescent="0.25">
      <c r="A5396" s="92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2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idden="1" x14ac:dyDescent="0.25">
      <c r="A5398" s="92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2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idden="1" x14ac:dyDescent="0.25">
      <c r="A5400" s="920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2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2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3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2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3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idden="1" x14ac:dyDescent="0.25">
      <c r="A5406" s="920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2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idden="1" x14ac:dyDescent="0.25">
      <c r="A5408" s="91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1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1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idden="1" x14ac:dyDescent="0.25">
      <c r="A5412" s="920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2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idden="1" x14ac:dyDescent="0.25">
      <c r="A5416" s="91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2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3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idden="1" x14ac:dyDescent="0.25">
      <c r="A5418" s="920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2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idden="1" x14ac:dyDescent="0.25">
      <c r="A5420" s="91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1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idden="1" x14ac:dyDescent="0.25">
      <c r="A5428" s="920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2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idden="1" x14ac:dyDescent="0.25">
      <c r="A5430" s="91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1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idden="1" x14ac:dyDescent="0.25">
      <c r="A5432" s="920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2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idden="1" x14ac:dyDescent="0.25">
      <c r="A5436" s="91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1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1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idden="1" x14ac:dyDescent="0.25">
      <c r="A5439" s="91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1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idden="1" x14ac:dyDescent="0.25">
      <c r="A5441" s="920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2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idden="1" x14ac:dyDescent="0.25">
      <c r="A5443" s="91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1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idden="1" x14ac:dyDescent="0.25">
      <c r="A5445" s="920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2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idden="1" x14ac:dyDescent="0.25">
      <c r="A5449" s="91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idden="1" x14ac:dyDescent="0.25">
      <c r="A5450" s="92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1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idden="1" x14ac:dyDescent="0.25">
      <c r="A5452" s="920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2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idden="1" x14ac:dyDescent="0.25">
      <c r="A5455" s="920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2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idden="1" x14ac:dyDescent="0.25">
      <c r="A5464" s="920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idden="1" x14ac:dyDescent="0.25">
      <c r="A5465" s="92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2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idden="1" x14ac:dyDescent="0.25">
      <c r="A5467" s="91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1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idden="1" x14ac:dyDescent="0.25">
      <c r="A5470" s="91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1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idden="1" x14ac:dyDescent="0.25">
      <c r="A5472" s="920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hidden="1" x14ac:dyDescent="0.25">
      <c r="A5473" s="92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2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idden="1" x14ac:dyDescent="0.25">
      <c r="A5476" s="920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idden="1" x14ac:dyDescent="0.25">
      <c r="A5477" s="92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2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idden="1" x14ac:dyDescent="0.25">
      <c r="A5479" s="91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idden="1" x14ac:dyDescent="0.25">
      <c r="A5480" s="92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1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idden="1" x14ac:dyDescent="0.25">
      <c r="A5482" s="920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idden="1" x14ac:dyDescent="0.25">
      <c r="A5483" s="92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2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idden="1" x14ac:dyDescent="0.25">
      <c r="A5485" s="91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2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idden="1" x14ac:dyDescent="0.25">
      <c r="A5489" s="920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3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2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3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idden="1" x14ac:dyDescent="0.25">
      <c r="A5493" s="91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idden="1" x14ac:dyDescent="0.25">
      <c r="A5494" s="92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1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idden="1" x14ac:dyDescent="0.25">
      <c r="A5497" s="91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1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idden="1" x14ac:dyDescent="0.25">
      <c r="A5499" s="920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2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idden="1" x14ac:dyDescent="0.25">
      <c r="A5501" s="91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1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idden="1" x14ac:dyDescent="0.25">
      <c r="A5504" s="91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1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1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idden="1" x14ac:dyDescent="0.25">
      <c r="A5507" s="91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1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idden="1" x14ac:dyDescent="0.25">
      <c r="A5511" s="920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2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idden="1" x14ac:dyDescent="0.25">
      <c r="A5513" s="91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1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idden="1" x14ac:dyDescent="0.25">
      <c r="A5515" s="920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3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2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3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idden="1" x14ac:dyDescent="0.25">
      <c r="A5518" s="920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idden="1" x14ac:dyDescent="0.25">
      <c r="A5519" s="92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hidden="1" x14ac:dyDescent="0.25">
      <c r="A5520" s="92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idden="1" x14ac:dyDescent="0.25">
      <c r="A5521" s="92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2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idden="1" x14ac:dyDescent="0.25">
      <c r="A5523" s="91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idden="1" x14ac:dyDescent="0.25">
      <c r="A5524" s="92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1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idden="1" x14ac:dyDescent="0.25">
      <c r="A5527" s="91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2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idden="1" x14ac:dyDescent="0.25">
      <c r="A5531" s="920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3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2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3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idden="1" x14ac:dyDescent="0.25">
      <c r="A5534" s="920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3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idden="1" x14ac:dyDescent="0.25">
      <c r="A5535" s="92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0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idden="1" x14ac:dyDescent="0.25">
      <c r="A5536" s="92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0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idden="1" x14ac:dyDescent="0.25">
      <c r="A5537" s="92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0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2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3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idden="1" x14ac:dyDescent="0.25">
      <c r="A5539" s="91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idden="1" x14ac:dyDescent="0.25">
      <c r="A5540" s="92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1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idden="1" x14ac:dyDescent="0.25">
      <c r="A5542" s="920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idden="1" x14ac:dyDescent="0.25">
      <c r="A5543" s="92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idden="1" x14ac:dyDescent="0.25">
      <c r="A5544" s="92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idden="1" x14ac:dyDescent="0.25">
      <c r="A5545" s="92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2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1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1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1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idden="1" x14ac:dyDescent="0.25">
      <c r="A5551" s="92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2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idden="1" x14ac:dyDescent="0.25">
      <c r="A5553" s="91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idden="1" x14ac:dyDescent="0.25">
      <c r="A5554" s="92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1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idden="1" x14ac:dyDescent="0.25">
      <c r="A5561" s="91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1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idden="1" x14ac:dyDescent="0.25">
      <c r="A5564" s="91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1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idden="1" x14ac:dyDescent="0.25">
      <c r="A5570" s="920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idden="1" x14ac:dyDescent="0.25">
      <c r="A5571" s="92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2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idden="1" x14ac:dyDescent="0.25">
      <c r="A5573" s="91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1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idden="1" x14ac:dyDescent="0.25">
      <c r="A5575" s="920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2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idden="1" x14ac:dyDescent="0.25">
      <c r="A5577" s="91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2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idden="1" x14ac:dyDescent="0.25">
      <c r="A5584" s="91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idden="1" x14ac:dyDescent="0.25">
      <c r="A5585" s="92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idden="1" x14ac:dyDescent="0.25">
      <c r="A5586" s="92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1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idden="1" x14ac:dyDescent="0.25">
      <c r="A5588" s="920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2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idden="1" x14ac:dyDescent="0.25">
      <c r="A5590" s="91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idden="1" x14ac:dyDescent="0.25">
      <c r="A5591" s="92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1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idden="1" x14ac:dyDescent="0.25">
      <c r="A5593" s="920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2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idden="1" x14ac:dyDescent="0.25">
      <c r="A5595" s="91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1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idden="1" x14ac:dyDescent="0.25">
      <c r="A5599" s="920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3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2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3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idden="1" x14ac:dyDescent="0.25">
      <c r="A5602" s="920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2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idden="1" x14ac:dyDescent="0.25">
      <c r="A5606" s="91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1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idden="1" x14ac:dyDescent="0.25">
      <c r="A5609" s="91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1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idden="1" x14ac:dyDescent="0.25">
      <c r="A5612" s="91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hidden="1" x14ac:dyDescent="0.25">
      <c r="A5613" s="92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idden="1" x14ac:dyDescent="0.25">
      <c r="A5614" s="92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1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idden="1" x14ac:dyDescent="0.25">
      <c r="A5617" s="91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1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idden="1" x14ac:dyDescent="0.25">
      <c r="A5619" s="920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2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idden="1" x14ac:dyDescent="0.25">
      <c r="A5621" s="91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1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20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3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2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3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idden="1" x14ac:dyDescent="0.25">
      <c r="A5625" s="91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1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7.5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idden="1" x14ac:dyDescent="0.25">
      <c r="A6552" s="93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idden="1" x14ac:dyDescent="0.25">
      <c r="A6553" s="93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3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idden="1" x14ac:dyDescent="0.25">
      <c r="A6555" s="920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2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hidden="1" x14ac:dyDescent="0.25">
      <c r="A6559" s="93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3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2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3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2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idden="1" x14ac:dyDescent="0.25">
      <c r="A6567" s="93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3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idden="1" x14ac:dyDescent="0.25">
      <c r="A6571" s="920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2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idden="1" x14ac:dyDescent="0.25">
      <c r="A6578" s="92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idden="1" x14ac:dyDescent="0.25">
      <c r="A6579" s="92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2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idden="1" x14ac:dyDescent="0.25">
      <c r="A6581" s="97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idden="1" x14ac:dyDescent="0.25">
      <c r="A6582" s="91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8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idden="1" x14ac:dyDescent="0.25">
      <c r="A6585" s="98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idden="1" x14ac:dyDescent="0.25">
      <c r="A6589" s="92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2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idden="1" x14ac:dyDescent="0.25">
      <c r="A6592" s="92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2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idden="1" x14ac:dyDescent="0.25">
      <c r="A6595" s="92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idden="1" x14ac:dyDescent="0.25">
      <c r="A6596" s="92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idden="1" x14ac:dyDescent="0.25">
      <c r="A6597" s="92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idden="1" x14ac:dyDescent="0.25">
      <c r="A6598" s="92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2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idden="1" x14ac:dyDescent="0.25">
      <c r="A6601" s="920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2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idden="1" x14ac:dyDescent="0.25">
      <c r="A6604" s="920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3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2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3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idden="1" x14ac:dyDescent="0.25">
      <c r="A6608" s="91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1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idden="1" x14ac:dyDescent="0.25">
      <c r="A6611" s="91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1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idden="1" x14ac:dyDescent="0.25">
      <c r="A6614" s="91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idden="1" x14ac:dyDescent="0.25">
      <c r="A6615" s="92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1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idden="1" x14ac:dyDescent="0.25">
      <c r="A6617" s="920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2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idden="1" x14ac:dyDescent="0.25">
      <c r="A6624" s="920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2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idden="1" x14ac:dyDescent="0.25">
      <c r="A6629" s="920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idden="1" x14ac:dyDescent="0.25">
      <c r="A6630" s="92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2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idden="1" x14ac:dyDescent="0.25">
      <c r="A6632" s="91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hidden="1" x14ac:dyDescent="0.25">
      <c r="A6633" s="92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1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idden="1" x14ac:dyDescent="0.25">
      <c r="A6635" s="920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idden="1" x14ac:dyDescent="0.25">
      <c r="A6636" s="92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2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idden="1" x14ac:dyDescent="0.25">
      <c r="A6638" s="91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1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idden="1" x14ac:dyDescent="0.25">
      <c r="A6640" s="920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idden="1" x14ac:dyDescent="0.25">
      <c r="A6641" s="92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2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idden="1" x14ac:dyDescent="0.25">
      <c r="A6644" s="920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idden="1" x14ac:dyDescent="0.25">
      <c r="A6645" s="92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idden="1" x14ac:dyDescent="0.25">
      <c r="A6646" s="92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2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idden="1" x14ac:dyDescent="0.25">
      <c r="A6649" s="92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idden="1" x14ac:dyDescent="0.25">
      <c r="A6650" s="92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2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idden="1" x14ac:dyDescent="0.25">
      <c r="A6654" s="91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1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idden="1" x14ac:dyDescent="0.25">
      <c r="A6660" s="92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3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2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3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idden="1" x14ac:dyDescent="0.25">
      <c r="A6663" s="920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2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idden="1" x14ac:dyDescent="0.25">
      <c r="A6668" s="92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2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idden="1" x14ac:dyDescent="0.25">
      <c r="A6670" s="91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idden="1" x14ac:dyDescent="0.25">
      <c r="A6671" s="91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16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idden="1" x14ac:dyDescent="0.25">
      <c r="A6673" s="907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0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idden="1" x14ac:dyDescent="0.25">
      <c r="A6675" s="91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1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idden="1" x14ac:dyDescent="0.25">
      <c r="A6678" s="91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2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idden="1" x14ac:dyDescent="0.25">
      <c r="A6680" s="907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0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idden="1" x14ac:dyDescent="0.25">
      <c r="A6682" s="91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16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idden="1" x14ac:dyDescent="0.25">
      <c r="A6684" s="907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idden="1" x14ac:dyDescent="0.25">
      <c r="A6685" s="92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idden="1" x14ac:dyDescent="0.25">
      <c r="A6686" s="92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08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idden="1" x14ac:dyDescent="0.25">
      <c r="A6688" s="91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idden="1" x14ac:dyDescent="0.25">
      <c r="A6689" s="91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16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idden="1" x14ac:dyDescent="0.25">
      <c r="A6691" s="907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0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idden="1" x14ac:dyDescent="0.25">
      <c r="A6693" s="91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16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idden="1" x14ac:dyDescent="0.25">
      <c r="A6695" s="907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idden="1" x14ac:dyDescent="0.25">
      <c r="A6696" s="92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08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idden="1" x14ac:dyDescent="0.25">
      <c r="A6698" s="91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16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idden="1" x14ac:dyDescent="0.25">
      <c r="A6700" s="907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idden="1" x14ac:dyDescent="0.25">
      <c r="A6701" s="92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08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hidden="1" x14ac:dyDescent="0.25">
      <c r="A6703" s="91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idden="1" x14ac:dyDescent="0.25">
      <c r="A6704" s="92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idden="1" x14ac:dyDescent="0.25">
      <c r="A6705" s="92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2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idden="1" x14ac:dyDescent="0.25">
      <c r="A6709" s="920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idden="1" x14ac:dyDescent="0.25">
      <c r="A6710" s="92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idden="1" x14ac:dyDescent="0.25">
      <c r="A6711" s="92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2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idden="1" x14ac:dyDescent="0.25">
      <c r="A6713" s="91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16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idden="1" x14ac:dyDescent="0.25">
      <c r="A6718" s="91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17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idden="1" x14ac:dyDescent="0.25">
      <c r="A6719" s="91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18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16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19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idden="1" x14ac:dyDescent="0.25">
      <c r="A6721" s="920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0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2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0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idden="1" x14ac:dyDescent="0.25">
      <c r="A6723" s="91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16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37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idden="1" x14ac:dyDescent="0.25">
      <c r="A6725" s="907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0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idden="1" x14ac:dyDescent="0.25">
      <c r="A6727" s="91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1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idden="1" x14ac:dyDescent="0.25">
      <c r="A6729" s="920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2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idden="1" x14ac:dyDescent="0.25">
      <c r="A6731" s="91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2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idden="1" x14ac:dyDescent="0.25">
      <c r="A6733" s="92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29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idden="1" x14ac:dyDescent="0.25">
      <c r="A6735" s="914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16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idden="1" x14ac:dyDescent="0.25">
      <c r="A6738" s="914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16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idden="1" x14ac:dyDescent="0.25">
      <c r="A6741" s="914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idden="1" x14ac:dyDescent="0.25">
      <c r="A6742" s="91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16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idden="1" x14ac:dyDescent="0.25">
      <c r="A6744" s="920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idden="1" x14ac:dyDescent="0.25">
      <c r="A6745" s="92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2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idden="1" x14ac:dyDescent="0.25">
      <c r="A6747" s="91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idden="1" x14ac:dyDescent="0.25">
      <c r="A6748" s="92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1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idden="1" x14ac:dyDescent="0.25">
      <c r="A6750" s="920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idden="1" x14ac:dyDescent="0.25">
      <c r="A6751" s="92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2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idden="1" x14ac:dyDescent="0.25">
      <c r="A6754" s="920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2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idden="1" x14ac:dyDescent="0.25">
      <c r="A6756" s="914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idden="1" x14ac:dyDescent="0.25">
      <c r="A6757" s="91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16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idden="1" x14ac:dyDescent="0.25">
      <c r="A6759" s="907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idden="1" x14ac:dyDescent="0.25">
      <c r="A6760" s="92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idden="1" x14ac:dyDescent="0.25">
      <c r="A6761" s="92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08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idden="1" x14ac:dyDescent="0.25">
      <c r="A6763" s="914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idden="1" x14ac:dyDescent="0.25">
      <c r="A6764" s="91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1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idden="1" x14ac:dyDescent="0.25">
      <c r="A6766" s="920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2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idden="1" x14ac:dyDescent="0.25">
      <c r="A6769" s="920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2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idden="1" x14ac:dyDescent="0.25">
      <c r="A6771" s="914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idden="1" x14ac:dyDescent="0.25">
      <c r="A6772" s="91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idden="1" x14ac:dyDescent="0.25">
      <c r="A6773" s="91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16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idden="1" x14ac:dyDescent="0.25">
      <c r="A6775" s="907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idden="1" x14ac:dyDescent="0.25">
      <c r="A6776" s="92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2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idden="1" x14ac:dyDescent="0.25">
      <c r="A6780" s="914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16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idden="1" x14ac:dyDescent="0.25">
      <c r="A6782" s="907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idden="1" x14ac:dyDescent="0.25">
      <c r="A6783" s="92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2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14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16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1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20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3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2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3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idden="1" x14ac:dyDescent="0.25">
      <c r="A6789" s="91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1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idden="1" x14ac:dyDescent="0.25">
      <c r="A6791" s="920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idden="1" x14ac:dyDescent="0.25">
      <c r="A6792" s="92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2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idden="1" x14ac:dyDescent="0.25">
      <c r="A6797" s="907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idden="1" x14ac:dyDescent="0.25">
      <c r="A6798" s="92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idden="1" x14ac:dyDescent="0.25">
      <c r="A6799" s="92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2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idden="1" x14ac:dyDescent="0.25">
      <c r="A6801" s="91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2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hidden="1" x14ac:dyDescent="0.25">
      <c r="A6808" s="91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idden="1" x14ac:dyDescent="0.25">
      <c r="A6809" s="92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idden="1" x14ac:dyDescent="0.25">
      <c r="A6810" s="92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96" t="s">
        <v>1786</v>
      </c>
    </row>
    <row r="6811" spans="1:16" ht="19.5" hidden="1" thickBot="1" x14ac:dyDescent="0.3">
      <c r="A6811" s="91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96" t="s">
        <v>1787</v>
      </c>
    </row>
    <row r="6812" spans="1:16" hidden="1" x14ac:dyDescent="0.25">
      <c r="A6812" s="920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idden="1" x14ac:dyDescent="0.25">
      <c r="A6813" s="92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idden="1" x14ac:dyDescent="0.25">
      <c r="A6814" s="92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2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idden="1" x14ac:dyDescent="0.25">
      <c r="A6817" s="920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idden="1" x14ac:dyDescent="0.25">
      <c r="A6818" s="92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idden="1" x14ac:dyDescent="0.25">
      <c r="A6819" s="92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idden="1" x14ac:dyDescent="0.25">
      <c r="A6820" s="92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2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idden="1" x14ac:dyDescent="0.25">
      <c r="A6822" s="91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idden="1" x14ac:dyDescent="0.25">
      <c r="A6823" s="92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idden="1" x14ac:dyDescent="0.25">
      <c r="A6824" s="92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idden="1" x14ac:dyDescent="0.25">
      <c r="A6825" s="92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idden="1" x14ac:dyDescent="0.25">
      <c r="A6826" s="92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idden="1" x14ac:dyDescent="0.25">
      <c r="A6827" s="92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1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hidden="1" x14ac:dyDescent="0.25">
      <c r="A6829" s="907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idden="1" x14ac:dyDescent="0.25">
      <c r="A6830" s="92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hidden="1" x14ac:dyDescent="0.25">
      <c r="A6831" s="92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08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idden="1" x14ac:dyDescent="0.25">
      <c r="A6833" s="91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idden="1" x14ac:dyDescent="0.25">
      <c r="A6834" s="92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1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idden="1" x14ac:dyDescent="0.25">
      <c r="A6836" s="907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idden="1" x14ac:dyDescent="0.25">
      <c r="A6837" s="92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08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idden="1" x14ac:dyDescent="0.25">
      <c r="A6840" s="907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idden="1" x14ac:dyDescent="0.25">
      <c r="A6841" s="92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idden="1" x14ac:dyDescent="0.25">
      <c r="A6842" s="92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2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idden="1" x14ac:dyDescent="0.25">
      <c r="A6844" s="91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idden="1" x14ac:dyDescent="0.25">
      <c r="A6845" s="92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1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idden="1" x14ac:dyDescent="0.25">
      <c r="A6847" s="92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idden="1" x14ac:dyDescent="0.25">
      <c r="A6848" s="92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idden="1" x14ac:dyDescent="0.25">
      <c r="A6849" s="92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idden="1" x14ac:dyDescent="0.25">
      <c r="A6850" s="92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08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idden="1" x14ac:dyDescent="0.25">
      <c r="A6852" s="914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16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idden="1" x14ac:dyDescent="0.25">
      <c r="A6854" s="907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08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idden="1" x14ac:dyDescent="0.25">
      <c r="A6856" s="914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idden="1" x14ac:dyDescent="0.25">
      <c r="A6857" s="91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idden="1" x14ac:dyDescent="0.25">
      <c r="A6858" s="91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16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idden="1" x14ac:dyDescent="0.25">
      <c r="A6861" s="914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17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idden="1" x14ac:dyDescent="0.25">
      <c r="A6862" s="91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18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16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19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idden="1" x14ac:dyDescent="0.25">
      <c r="A6864" s="920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2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1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1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07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2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08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14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15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8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16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07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09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08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09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1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12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1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13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1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1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899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900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/>
      <c r="F6884" s="518" t="s">
        <v>16</v>
      </c>
      <c r="G6884" s="519"/>
      <c r="H6884" s="518" t="s">
        <v>1864</v>
      </c>
      <c r="I6884" s="520"/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902" t="s">
        <v>1874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/>
      <c r="F6885" s="508" t="s">
        <v>16</v>
      </c>
      <c r="G6885" s="509"/>
      <c r="H6885" s="508" t="s">
        <v>1864</v>
      </c>
      <c r="I6885" s="510"/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902" t="s">
        <v>1875</v>
      </c>
    </row>
    <row r="6886" spans="1:17" ht="19.5" thickBot="1" x14ac:dyDescent="0.3">
      <c r="A6886" s="513">
        <f>MAX(A6824:A6885)+1</f>
        <v>4292</v>
      </c>
      <c r="B6886" s="514" t="s">
        <v>1796</v>
      </c>
      <c r="C6886" s="515" t="s">
        <v>32</v>
      </c>
      <c r="D6886" s="516">
        <v>18</v>
      </c>
      <c r="E6886" s="517"/>
      <c r="F6886" s="518" t="s">
        <v>16</v>
      </c>
      <c r="G6886" s="519"/>
      <c r="H6886" s="518" t="s">
        <v>1864</v>
      </c>
      <c r="I6886" s="520"/>
      <c r="J6886" s="521"/>
      <c r="K6886" s="514"/>
      <c r="L6886" s="518" t="s">
        <v>266</v>
      </c>
      <c r="M6886" s="518">
        <v>18013.8</v>
      </c>
      <c r="N6886" s="522">
        <v>0.5</v>
      </c>
      <c r="O6886" s="902" t="s">
        <v>1876</v>
      </c>
    </row>
    <row r="6887" spans="1:17" ht="19.5" thickBot="1" x14ac:dyDescent="0.3">
      <c r="A6887" s="503">
        <f t="shared" ref="A6887:A6906" si="207">MAX(A6828:A6886)+1</f>
        <v>4293</v>
      </c>
      <c r="B6887" s="504" t="s">
        <v>1796</v>
      </c>
      <c r="C6887" s="505" t="s">
        <v>848</v>
      </c>
      <c r="D6887" s="506">
        <v>17.988</v>
      </c>
      <c r="E6887" s="507"/>
      <c r="F6887" s="508" t="s">
        <v>16</v>
      </c>
      <c r="G6887" s="509"/>
      <c r="H6887" s="508" t="s">
        <v>1864</v>
      </c>
      <c r="I6887" s="510"/>
      <c r="J6887" s="511"/>
      <c r="K6887" s="504"/>
      <c r="L6887" s="508" t="s">
        <v>266</v>
      </c>
      <c r="M6887" s="508">
        <v>18081.12</v>
      </c>
      <c r="N6887" s="512">
        <v>0.54166666666666663</v>
      </c>
      <c r="O6887" s="902" t="s">
        <v>1877</v>
      </c>
    </row>
    <row r="6888" spans="1:17" ht="19.5" thickBot="1" x14ac:dyDescent="0.3">
      <c r="A6888" s="513">
        <f t="shared" si="207"/>
        <v>4294</v>
      </c>
      <c r="B6888" s="514" t="s">
        <v>1796</v>
      </c>
      <c r="C6888" s="515" t="s">
        <v>848</v>
      </c>
      <c r="D6888" s="516">
        <v>18.004999999999999</v>
      </c>
      <c r="E6888" s="517"/>
      <c r="F6888" s="518" t="s">
        <v>16</v>
      </c>
      <c r="G6888" s="519"/>
      <c r="H6888" s="518" t="s">
        <v>1864</v>
      </c>
      <c r="I6888" s="520"/>
      <c r="J6888" s="521"/>
      <c r="K6888" s="514"/>
      <c r="L6888" s="518" t="s">
        <v>266</v>
      </c>
      <c r="M6888" s="518">
        <v>18120.239999999994</v>
      </c>
      <c r="N6888" s="522">
        <v>0.58333333333333337</v>
      </c>
      <c r="O6888" s="902" t="s">
        <v>1878</v>
      </c>
    </row>
    <row r="6889" spans="1:17" ht="19.5" thickBot="1" x14ac:dyDescent="0.3">
      <c r="A6889" s="903">
        <f t="shared" si="207"/>
        <v>4295</v>
      </c>
      <c r="B6889" s="552" t="s">
        <v>1796</v>
      </c>
      <c r="C6889" s="553" t="s">
        <v>26</v>
      </c>
      <c r="D6889" s="554">
        <v>17.119</v>
      </c>
      <c r="E6889" s="555"/>
      <c r="F6889" s="556" t="s">
        <v>16</v>
      </c>
      <c r="G6889" s="905"/>
      <c r="H6889" s="556" t="s">
        <v>1864</v>
      </c>
      <c r="I6889" s="558"/>
      <c r="J6889" s="559"/>
      <c r="K6889" s="552"/>
      <c r="L6889" s="556" t="s">
        <v>265</v>
      </c>
      <c r="M6889" s="556">
        <v>17131.080000000002</v>
      </c>
      <c r="N6889" s="560">
        <v>0.625</v>
      </c>
      <c r="O6889" s="902" t="s">
        <v>1889</v>
      </c>
    </row>
    <row r="6890" spans="1:17" ht="19.5" thickBot="1" x14ac:dyDescent="0.3">
      <c r="A6890" s="513">
        <f t="shared" si="207"/>
        <v>4296</v>
      </c>
      <c r="B6890" s="514" t="s">
        <v>1835</v>
      </c>
      <c r="C6890" s="515" t="s">
        <v>26</v>
      </c>
      <c r="D6890" s="516">
        <v>17.503</v>
      </c>
      <c r="E6890" s="517"/>
      <c r="F6890" s="518" t="s">
        <v>16</v>
      </c>
      <c r="G6890" s="519"/>
      <c r="H6890" s="518" t="s">
        <v>1891</v>
      </c>
      <c r="I6890" s="520"/>
      <c r="J6890" s="521"/>
      <c r="K6890" s="514"/>
      <c r="L6890" s="518" t="s">
        <v>265</v>
      </c>
      <c r="M6890" s="518">
        <v>17616.700000000004</v>
      </c>
      <c r="N6890" s="522">
        <v>0.375</v>
      </c>
      <c r="O6890" s="902" t="s">
        <v>1893</v>
      </c>
    </row>
    <row r="6891" spans="1:17" ht="19.5" thickBot="1" x14ac:dyDescent="0.3">
      <c r="A6891" s="503">
        <f t="shared" si="207"/>
        <v>4297</v>
      </c>
      <c r="B6891" s="504" t="s">
        <v>1835</v>
      </c>
      <c r="C6891" s="505" t="s">
        <v>26</v>
      </c>
      <c r="D6891" s="506">
        <v>17.475999999999999</v>
      </c>
      <c r="E6891" s="507"/>
      <c r="F6891" s="508" t="s">
        <v>16</v>
      </c>
      <c r="G6891" s="509"/>
      <c r="H6891" s="508" t="s">
        <v>1892</v>
      </c>
      <c r="I6891" s="510"/>
      <c r="J6891" s="511"/>
      <c r="K6891" s="504"/>
      <c r="L6891" s="508" t="s">
        <v>265</v>
      </c>
      <c r="M6891" s="508">
        <v>17627.53</v>
      </c>
      <c r="N6891" s="512">
        <v>0.375</v>
      </c>
      <c r="O6891" s="902" t="s">
        <v>1894</v>
      </c>
    </row>
    <row r="6892" spans="1:17" ht="19.5" thickBot="1" x14ac:dyDescent="0.3">
      <c r="A6892" s="513">
        <f t="shared" si="207"/>
        <v>4298</v>
      </c>
      <c r="B6892" s="514" t="s">
        <v>1835</v>
      </c>
      <c r="C6892" s="515" t="s">
        <v>26</v>
      </c>
      <c r="D6892" s="516">
        <v>17.457999999999998</v>
      </c>
      <c r="E6892" s="517"/>
      <c r="F6892" s="518" t="s">
        <v>16</v>
      </c>
      <c r="G6892" s="519"/>
      <c r="H6892" s="518" t="s">
        <v>1892</v>
      </c>
      <c r="I6892" s="520"/>
      <c r="J6892" s="521"/>
      <c r="K6892" s="514"/>
      <c r="L6892" s="518" t="s">
        <v>265</v>
      </c>
      <c r="M6892" s="518">
        <v>17619.18</v>
      </c>
      <c r="N6892" s="522">
        <v>0.41666666666666669</v>
      </c>
      <c r="O6892" s="902" t="s">
        <v>1895</v>
      </c>
    </row>
    <row r="6893" spans="1:17" ht="56.25" x14ac:dyDescent="0.25">
      <c r="A6893" s="920">
        <f t="shared" si="207"/>
        <v>4299</v>
      </c>
      <c r="B6893" s="531" t="s">
        <v>1835</v>
      </c>
      <c r="C6893" s="532" t="s">
        <v>587</v>
      </c>
      <c r="D6893" s="533">
        <v>0.51700000000000002</v>
      </c>
      <c r="E6893" s="534"/>
      <c r="F6893" s="535" t="s">
        <v>16</v>
      </c>
      <c r="G6893" s="536" t="s">
        <v>794</v>
      </c>
      <c r="H6893" s="535" t="s">
        <v>1892</v>
      </c>
      <c r="I6893" s="537"/>
      <c r="J6893" s="538"/>
      <c r="K6893" s="531"/>
      <c r="L6893" s="535" t="s">
        <v>28</v>
      </c>
      <c r="M6893" s="535">
        <v>517.43999999999994</v>
      </c>
      <c r="N6893" s="539">
        <v>0.45833333333333331</v>
      </c>
      <c r="O6893" s="902" t="s">
        <v>1897</v>
      </c>
    </row>
    <row r="6894" spans="1:17" x14ac:dyDescent="0.25">
      <c r="A6894" s="923"/>
      <c r="B6894" s="563" t="s">
        <v>1835</v>
      </c>
      <c r="C6894" s="564" t="s">
        <v>587</v>
      </c>
      <c r="D6894" s="565">
        <v>10.718</v>
      </c>
      <c r="E6894" s="566"/>
      <c r="F6894" s="567" t="s">
        <v>16</v>
      </c>
      <c r="G6894" s="568" t="s">
        <v>47</v>
      </c>
      <c r="H6894" s="567" t="s">
        <v>1892</v>
      </c>
      <c r="I6894" s="569"/>
      <c r="J6894" s="570"/>
      <c r="K6894" s="563"/>
      <c r="L6894" s="567" t="s">
        <v>28</v>
      </c>
      <c r="M6894" s="567">
        <v>10718.320000000002</v>
      </c>
      <c r="N6894" s="571">
        <v>0.45833333333333331</v>
      </c>
      <c r="O6894" s="902" t="s">
        <v>1898</v>
      </c>
    </row>
    <row r="6895" spans="1:17" ht="19.5" thickBot="1" x14ac:dyDescent="0.3">
      <c r="A6895" s="921"/>
      <c r="B6895" s="636" t="s">
        <v>1835</v>
      </c>
      <c r="C6895" s="637" t="s">
        <v>47</v>
      </c>
      <c r="D6895" s="638">
        <v>6.5919999999999996</v>
      </c>
      <c r="E6895" s="639"/>
      <c r="F6895" s="640" t="s">
        <v>16</v>
      </c>
      <c r="G6895" s="906"/>
      <c r="H6895" s="640" t="s">
        <v>1892</v>
      </c>
      <c r="I6895" s="642"/>
      <c r="J6895" s="643"/>
      <c r="K6895" s="636"/>
      <c r="L6895" s="640" t="s">
        <v>28</v>
      </c>
      <c r="M6895" s="640">
        <v>6721.67</v>
      </c>
      <c r="N6895" s="644">
        <v>0.45833333333333331</v>
      </c>
      <c r="O6895" s="902" t="s">
        <v>1896</v>
      </c>
    </row>
    <row r="6896" spans="1:17" x14ac:dyDescent="0.25">
      <c r="A6896" s="676">
        <f t="shared" si="207"/>
        <v>4300</v>
      </c>
      <c r="B6896" s="676"/>
      <c r="C6896" s="473"/>
      <c r="D6896" s="474"/>
      <c r="E6896" s="475"/>
      <c r="F6896" s="676"/>
      <c r="G6896" s="476"/>
      <c r="H6896" s="676"/>
      <c r="I6896" s="477"/>
      <c r="J6896" s="897"/>
      <c r="K6896" s="676"/>
      <c r="L6896" s="676"/>
      <c r="M6896" s="676"/>
      <c r="N6896" s="676"/>
    </row>
    <row r="6897" spans="1:14" x14ac:dyDescent="0.25">
      <c r="A6897" s="676">
        <f t="shared" si="207"/>
        <v>4301</v>
      </c>
      <c r="B6897" s="676"/>
      <c r="C6897" s="473"/>
      <c r="D6897" s="474"/>
      <c r="E6897" s="475"/>
      <c r="F6897" s="676"/>
      <c r="G6897" s="476"/>
      <c r="H6897" s="676"/>
      <c r="I6897" s="477"/>
      <c r="J6897" s="897"/>
      <c r="K6897" s="676"/>
      <c r="L6897" s="676"/>
      <c r="M6897" s="676"/>
      <c r="N6897" s="676"/>
    </row>
    <row r="6898" spans="1:14" x14ac:dyDescent="0.25">
      <c r="A6898" s="676">
        <f t="shared" si="207"/>
        <v>4302</v>
      </c>
      <c r="B6898" s="676"/>
      <c r="C6898" s="473"/>
      <c r="D6898" s="474"/>
      <c r="E6898" s="475"/>
      <c r="F6898" s="676"/>
      <c r="G6898" s="476"/>
      <c r="H6898" s="676"/>
      <c r="I6898" s="477"/>
      <c r="J6898" s="897"/>
      <c r="K6898" s="676"/>
      <c r="L6898" s="676"/>
      <c r="M6898" s="676"/>
      <c r="N6898" s="676"/>
    </row>
    <row r="6899" spans="1:14" x14ac:dyDescent="0.25">
      <c r="A6899" s="676">
        <f t="shared" si="207"/>
        <v>4303</v>
      </c>
      <c r="B6899" s="676"/>
      <c r="C6899" s="473"/>
      <c r="D6899" s="474"/>
      <c r="E6899" s="475"/>
      <c r="F6899" s="676"/>
      <c r="G6899" s="476"/>
      <c r="H6899" s="676"/>
      <c r="I6899" s="477"/>
      <c r="J6899" s="897"/>
      <c r="K6899" s="676"/>
      <c r="L6899" s="676"/>
      <c r="M6899" s="676"/>
      <c r="N6899" s="676"/>
    </row>
    <row r="6900" spans="1:14" x14ac:dyDescent="0.25">
      <c r="A6900" s="676">
        <f t="shared" si="207"/>
        <v>4304</v>
      </c>
      <c r="B6900" s="676"/>
      <c r="C6900" s="473"/>
      <c r="D6900" s="474"/>
      <c r="E6900" s="475"/>
      <c r="F6900" s="676"/>
      <c r="G6900" s="476"/>
      <c r="H6900" s="676"/>
      <c r="I6900" s="477"/>
      <c r="J6900" s="904"/>
      <c r="K6900" s="676"/>
      <c r="L6900" s="676"/>
      <c r="M6900" s="676"/>
      <c r="N6900" s="676"/>
    </row>
    <row r="6901" spans="1:14" x14ac:dyDescent="0.25">
      <c r="A6901" s="676">
        <f t="shared" si="207"/>
        <v>4305</v>
      </c>
      <c r="B6901" s="676"/>
      <c r="C6901" s="473"/>
      <c r="D6901" s="474"/>
      <c r="E6901" s="475"/>
      <c r="F6901" s="676"/>
      <c r="G6901" s="476"/>
      <c r="H6901" s="676"/>
      <c r="I6901" s="477"/>
      <c r="J6901" s="904"/>
      <c r="K6901" s="676"/>
      <c r="L6901" s="676"/>
      <c r="M6901" s="676"/>
      <c r="N6901" s="676"/>
    </row>
    <row r="6902" spans="1:14" x14ac:dyDescent="0.25">
      <c r="A6902" s="676">
        <f t="shared" si="207"/>
        <v>4306</v>
      </c>
      <c r="B6902" s="676"/>
      <c r="C6902" s="473"/>
      <c r="D6902" s="474"/>
      <c r="E6902" s="475"/>
      <c r="F6902" s="676"/>
      <c r="G6902" s="476"/>
      <c r="H6902" s="676"/>
      <c r="I6902" s="477"/>
      <c r="J6902" s="904"/>
      <c r="K6902" s="676"/>
      <c r="L6902" s="676"/>
      <c r="M6902" s="676"/>
      <c r="N6902" s="676"/>
    </row>
    <row r="6903" spans="1:14" x14ac:dyDescent="0.25">
      <c r="A6903" s="676">
        <f t="shared" si="207"/>
        <v>4307</v>
      </c>
      <c r="B6903" s="676"/>
      <c r="C6903" s="473"/>
      <c r="D6903" s="474"/>
      <c r="E6903" s="475"/>
      <c r="F6903" s="676"/>
      <c r="G6903" s="476"/>
      <c r="H6903" s="676"/>
      <c r="I6903" s="477"/>
      <c r="J6903" s="904"/>
      <c r="K6903" s="676"/>
      <c r="L6903" s="676"/>
      <c r="M6903" s="676"/>
      <c r="N6903" s="676"/>
    </row>
    <row r="6904" spans="1:14" x14ac:dyDescent="0.25">
      <c r="A6904" s="676">
        <f t="shared" si="207"/>
        <v>4308</v>
      </c>
      <c r="B6904" s="676"/>
      <c r="C6904" s="473"/>
      <c r="D6904" s="474"/>
      <c r="E6904" s="475"/>
      <c r="F6904" s="676"/>
      <c r="G6904" s="476"/>
      <c r="H6904" s="676"/>
      <c r="I6904" s="477"/>
      <c r="J6904" s="904"/>
      <c r="K6904" s="676"/>
      <c r="L6904" s="676"/>
      <c r="M6904" s="676"/>
      <c r="N6904" s="676"/>
    </row>
    <row r="6905" spans="1:14" x14ac:dyDescent="0.25">
      <c r="A6905" s="676">
        <f t="shared" si="207"/>
        <v>4309</v>
      </c>
      <c r="B6905" s="676"/>
      <c r="C6905" s="473"/>
      <c r="D6905" s="474"/>
      <c r="E6905" s="475"/>
      <c r="F6905" s="676"/>
      <c r="G6905" s="476"/>
      <c r="H6905" s="676"/>
      <c r="I6905" s="477"/>
      <c r="J6905" s="904"/>
      <c r="K6905" s="676"/>
      <c r="L6905" s="676"/>
      <c r="M6905" s="676"/>
      <c r="N6905" s="676"/>
    </row>
    <row r="6906" spans="1:14" x14ac:dyDescent="0.25">
      <c r="A6906" s="676">
        <f t="shared" si="207"/>
        <v>4310</v>
      </c>
      <c r="B6906" s="676"/>
      <c r="C6906" s="473"/>
      <c r="D6906" s="474"/>
      <c r="E6906" s="475"/>
      <c r="F6906" s="676"/>
      <c r="G6906" s="476"/>
      <c r="H6906" s="676"/>
      <c r="I6906" s="477"/>
      <c r="J6906" s="904"/>
      <c r="K6906" s="676"/>
      <c r="L6906" s="676"/>
      <c r="M6906" s="676"/>
      <c r="N6906" s="676"/>
    </row>
  </sheetData>
  <autoFilter ref="A2:R6899" xr:uid="{9E4C531E-AD50-422A-AC7C-8C5AF4C19268}">
    <filterColumn colId="10">
      <filters blank="1"/>
    </filterColumn>
  </autoFilter>
  <mergeCells count="1795">
    <mergeCell ref="A6893:A6895"/>
    <mergeCell ref="A6870:A6872"/>
    <mergeCell ref="A6873:A6875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738:A6739"/>
    <mergeCell ref="A6766:A6767"/>
    <mergeCell ref="A6759:A6762"/>
    <mergeCell ref="G6080:G6081"/>
    <mergeCell ref="A5609:A5610"/>
    <mergeCell ref="A5612:A5615"/>
    <mergeCell ref="A5617:A5618"/>
    <mergeCell ref="A6592:A6593"/>
    <mergeCell ref="A6595:A6599"/>
    <mergeCell ref="A5523:A5525"/>
    <mergeCell ref="A6555:A6556"/>
    <mergeCell ref="A6559:A6561"/>
    <mergeCell ref="A6567:A6568"/>
    <mergeCell ref="G6718:G6720"/>
    <mergeCell ref="A5588:A5589"/>
    <mergeCell ref="A5590:A5592"/>
    <mergeCell ref="A5593:A5594"/>
    <mergeCell ref="A6775:A6777"/>
    <mergeCell ref="A6735:A6736"/>
    <mergeCell ref="A6791:A6793"/>
    <mergeCell ref="A6801:A6802"/>
    <mergeCell ref="A6785:A6786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A5199:A5200"/>
    <mergeCell ref="G5202:G5203"/>
    <mergeCell ref="G5232:G5233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G5623:G5624"/>
    <mergeCell ref="A5606:A5607"/>
    <mergeCell ref="A5378:A5379"/>
    <mergeCell ref="A5338:A5341"/>
    <mergeCell ref="A5511:A5512"/>
    <mergeCell ref="G5549:G55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549:A5550"/>
    <mergeCell ref="A5595:A5596"/>
    <mergeCell ref="A5146:A5147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A5172:A5175"/>
    <mergeCell ref="A5202:A5203"/>
    <mergeCell ref="A5286:A5289"/>
    <mergeCell ref="A5290:A5292"/>
    <mergeCell ref="A5501:A5502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G5116:G5117"/>
    <mergeCell ref="A5091:A5092"/>
    <mergeCell ref="G5140:G5141"/>
    <mergeCell ref="A5114:A5115"/>
    <mergeCell ref="A4825:A4826"/>
    <mergeCell ref="A5128:A5129"/>
    <mergeCell ref="A1121:A1122"/>
    <mergeCell ref="G1121:G1122"/>
    <mergeCell ref="A1092:A1093"/>
    <mergeCell ref="A1070:A1071"/>
    <mergeCell ref="A1072:A1074"/>
    <mergeCell ref="A948:A949"/>
    <mergeCell ref="A951:A954"/>
    <mergeCell ref="A897:A898"/>
    <mergeCell ref="A917:A918"/>
    <mergeCell ref="A923:A924"/>
    <mergeCell ref="A789:A790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062:A1063"/>
    <mergeCell ref="A1065:A1067"/>
    <mergeCell ref="A1030:A1031"/>
    <mergeCell ref="A1223:A1224"/>
    <mergeCell ref="A1035:A1036"/>
    <mergeCell ref="A1041:A1042"/>
    <mergeCell ref="A1299:A1300"/>
    <mergeCell ref="A1301:A1302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282:A5283"/>
    <mergeCell ref="A5243:A5244"/>
    <mergeCell ref="A5262:A5263"/>
    <mergeCell ref="A5232:A5233"/>
    <mergeCell ref="A5298:A5299"/>
    <mergeCell ref="A5342:A5343"/>
    <mergeCell ref="A5348:A5350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8:A6699"/>
    <mergeCell ref="A6695:A6697"/>
    <mergeCell ref="A6763:A6765"/>
    <mergeCell ref="A6713:A6714"/>
    <mergeCell ref="A6589:A6590"/>
    <mergeCell ref="A6750:A6752"/>
    <mergeCell ref="A6733:A6734"/>
    <mergeCell ref="A6756:A6758"/>
    <mergeCell ref="A6691:A6692"/>
    <mergeCell ref="A6693:A6694"/>
    <mergeCell ref="A6673:A6674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A5247:A5249"/>
    <mergeCell ref="A5497:A5498"/>
    <mergeCell ref="A5499:A5500"/>
    <mergeCell ref="A5302:A5304"/>
    <mergeCell ref="A5305:A5308"/>
    <mergeCell ref="A5577:A5578"/>
    <mergeCell ref="A6571:A6572"/>
    <mergeCell ref="A5573:A5574"/>
    <mergeCell ref="A6718:A6720"/>
    <mergeCell ref="A5272:A5273"/>
    <mergeCell ref="A5275:A5276"/>
    <mergeCell ref="A5531:A5532"/>
    <mergeCell ref="A6552:A6554"/>
    <mergeCell ref="A6876:A6877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A6881:A6882"/>
    <mergeCell ref="A6836:A6838"/>
    <mergeCell ref="A6789:A6790"/>
    <mergeCell ref="A6663:A6664"/>
    <mergeCell ref="A6644:A6647"/>
    <mergeCell ref="A6649:A6651"/>
    <mergeCell ref="A6654:A6655"/>
    <mergeCell ref="G6560:G6561"/>
    <mergeCell ref="A6817:A6821"/>
    <mergeCell ref="A6822:A6828"/>
    <mergeCell ref="A6829:A6832"/>
    <mergeCell ref="A6808:A6811"/>
    <mergeCell ref="A6797:A6800"/>
    <mergeCell ref="A6780:A6781"/>
    <mergeCell ref="A6782:A6784"/>
    <mergeCell ref="A6812:A6815"/>
    <mergeCell ref="A6854:A6855"/>
    <mergeCell ref="A6852:A6853"/>
    <mergeCell ref="A6611:A6612"/>
    <mergeCell ref="A6614:A6616"/>
    <mergeCell ref="A6617:A6618"/>
    <mergeCell ref="A6769:A6770"/>
    <mergeCell ref="A6771:A677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2026-08-05T13:42:39Z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