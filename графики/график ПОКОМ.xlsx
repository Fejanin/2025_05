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BA0C4181-3E36-46D5-A045-227F186B648B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Лист1!$A$2:$R$6955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20" i="1" l="1"/>
  <c r="A6923" i="1" s="1"/>
  <c r="A6924" i="1" l="1"/>
  <c r="A6926" i="1" s="1"/>
  <c r="A6928" i="1" s="1"/>
  <c r="A6932" i="1" s="1"/>
  <c r="A6934" i="1" s="1"/>
  <c r="A6936" i="1" l="1"/>
  <c r="A6937" i="1" s="1"/>
  <c r="A6939" i="1" s="1"/>
  <c r="A6941" i="1" s="1"/>
  <c r="A6944" i="1" s="1"/>
  <c r="A6946" i="1" l="1"/>
  <c r="A6948" i="1" s="1"/>
  <c r="A6949" i="1" s="1"/>
  <c r="A6950" i="1" s="1"/>
  <c r="A6951" i="1" s="1"/>
  <c r="A6952" i="1" s="1"/>
  <c r="A6953" i="1" s="1"/>
  <c r="A6954" i="1" l="1"/>
  <c r="A6955" i="1" s="1"/>
</calcChain>
</file>

<file path=xl/sharedStrings.xml><?xml version="1.0" encoding="utf-8"?>
<sst xmlns="http://schemas.openxmlformats.org/spreadsheetml/2006/main" count="44123" uniqueCount="1994">
  <si>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</si>
  <si>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</si>
  <si>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</si>
  <si>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</si>
  <si>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</si>
  <si>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</si>
  <si>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</si>
  <si>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</si>
  <si>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</si>
  <si>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</si>
  <si>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</si>
  <si>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</si>
  <si>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</si>
  <si>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</si>
  <si>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</si>
  <si>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</si>
  <si>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</si>
  <si>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</si>
  <si>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</si>
  <si>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</si>
  <si>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</si>
  <si>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</si>
  <si>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</si>
  <si>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</si>
  <si>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</si>
  <si>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</si>
  <si>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</si>
  <si>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</si>
  <si>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</si>
  <si>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</si>
  <si>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</si>
  <si>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</si>
  <si>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</si>
  <si>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</si>
  <si>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</si>
  <si>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</si>
  <si>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</si>
  <si>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</si>
  <si>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</si>
  <si>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</si>
  <si>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</si>
  <si>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</si>
  <si>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</si>
  <si>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</si>
  <si>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</si>
  <si>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</si>
  <si>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</si>
  <si>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</si>
  <si>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</si>
  <si>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</si>
  <si>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</si>
  <si>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</si>
  <si>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</si>
  <si>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</si>
  <si>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</si>
  <si>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</si>
  <si>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</si>
  <si>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</si>
  <si>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</si>
  <si>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</si>
  <si>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</si>
  <si>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</si>
  <si>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</si>
  <si>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</si>
  <si>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</si>
  <si>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</si>
  <si>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</si>
  <si>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</si>
  <si>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</si>
  <si>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</si>
  <si>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</si>
  <si>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</si>
  <si>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</si>
  <si>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</si>
  <si>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</si>
  <si>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</si>
  <si>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</si>
  <si>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</si>
  <si>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</si>
  <si>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</si>
  <si>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</si>
  <si>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</si>
  <si>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</si>
  <si>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</si>
  <si>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</si>
  <si>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</si>
  <si>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</si>
  <si>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</si>
  <si>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</si>
  <si>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</si>
  <si>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</si>
  <si>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</si>
  <si>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</si>
  <si>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</si>
  <si>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</si>
  <si>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</si>
  <si>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</si>
  <si>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</si>
  <si>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</si>
  <si>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</si>
  <si>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</si>
  <si>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</si>
  <si>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</si>
  <si>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</si>
  <si>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</si>
  <si>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</si>
  <si>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</si>
  <si>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</si>
  <si>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</si>
  <si>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</si>
  <si>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</si>
  <si>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</si>
  <si>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</si>
  <si>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</si>
  <si>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</si>
  <si>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</si>
  <si>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</si>
  <si>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</si>
  <si>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</si>
  <si>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</si>
  <si>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</si>
  <si>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</si>
  <si>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</si>
  <si>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</si>
  <si>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</si>
  <si>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</si>
  <si>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</si>
  <si>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</si>
  <si>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</si>
  <si>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</si>
  <si>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</si>
  <si>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</si>
  <si>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</si>
  <si>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</si>
  <si>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</si>
  <si>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</si>
  <si>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</si>
  <si>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</si>
  <si>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</si>
  <si>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</si>
  <si>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</si>
  <si>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</si>
  <si>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</si>
  <si>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</si>
  <si>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</si>
  <si>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</si>
  <si>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</si>
  <si>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</si>
  <si>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</si>
  <si>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</si>
  <si>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</si>
  <si>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</si>
  <si>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</si>
  <si>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</si>
  <si>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</si>
  <si>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</si>
  <si>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</si>
  <si>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</si>
  <si>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</si>
  <si>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</si>
  <si>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</si>
  <si>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</si>
  <si>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</si>
  <si>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</si>
  <si>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</si>
  <si>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</si>
  <si>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</si>
  <si>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</si>
  <si>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</si>
  <si>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</si>
  <si>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</si>
  <si>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</si>
  <si>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</si>
  <si>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</si>
  <si>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</si>
  <si>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</si>
  <si>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</si>
  <si>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</si>
  <si>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</si>
  <si>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</si>
  <si>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</si>
  <si>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</si>
  <si>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</si>
  <si>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</si>
  <si>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</si>
  <si>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</si>
  <si>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</si>
  <si>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</si>
  <si>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</si>
  <si>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</si>
  <si>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</si>
  <si>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</si>
  <si>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</si>
  <si>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</si>
  <si>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</si>
  <si>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</si>
  <si>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</si>
  <si>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</si>
  <si>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</si>
  <si>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</si>
  <si>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</si>
  <si>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</si>
  <si>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</si>
  <si>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</si>
  <si>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</si>
  <si>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</si>
  <si>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</si>
  <si>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</si>
  <si>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</si>
  <si>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</si>
  <si>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</si>
  <si>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</si>
  <si>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</si>
  <si>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</si>
  <si>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</si>
  <si>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</si>
  <si>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</si>
  <si>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</si>
  <si>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</si>
  <si>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</si>
  <si>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</si>
  <si>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</si>
  <si>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</si>
  <si>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</si>
  <si>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</si>
  <si>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</si>
  <si>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</si>
  <si>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</si>
  <si>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</si>
  <si>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</si>
  <si>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</si>
  <si>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</si>
  <si>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</si>
  <si>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</si>
  <si>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</si>
  <si>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</si>
  <si>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</si>
  <si>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</si>
  <si>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</si>
  <si>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</si>
  <si>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</si>
  <si>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</si>
  <si>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</si>
  <si>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</si>
  <si>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</si>
  <si>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</si>
  <si>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</si>
  <si>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</si>
  <si>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</si>
  <si>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</si>
  <si>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</si>
  <si>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</si>
  <si>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</si>
  <si>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</si>
  <si>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</si>
  <si>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</si>
  <si>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</si>
  <si>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</si>
  <si>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</si>
  <si>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</si>
  <si>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</si>
  <si>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</si>
  <si>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</si>
  <si>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</si>
  <si>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</si>
  <si>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</si>
  <si>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</si>
  <si>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</si>
  <si>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</si>
  <si>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</si>
  <si>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</si>
  <si>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</si>
  <si>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</si>
  <si>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</si>
  <si>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</si>
  <si>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</si>
  <si>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</si>
  <si>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</si>
  <si>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</si>
  <si>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</si>
  <si>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</si>
  <si>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</si>
  <si>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</si>
  <si>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</si>
  <si>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</si>
  <si>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</si>
  <si>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</si>
  <si>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</si>
  <si>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</si>
  <si>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</si>
  <si>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</si>
  <si>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</si>
  <si>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</si>
  <si>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</si>
  <si>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</si>
  <si>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</si>
  <si>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</si>
  <si>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</si>
  <si>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</si>
  <si>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</si>
  <si>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</si>
  <si>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</si>
  <si>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</si>
  <si>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</si>
  <si>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</si>
  <si>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</si>
  <si>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</si>
  <si>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</si>
  <si>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</si>
  <si>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</si>
  <si>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</si>
  <si>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</si>
  <si>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</si>
  <si>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</si>
  <si>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</si>
  <si>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</si>
  <si>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</si>
  <si>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</si>
  <si>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</si>
  <si>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</si>
  <si>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</si>
  <si>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</si>
  <si>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</si>
  <si>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</si>
  <si>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</si>
  <si>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</si>
  <si>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</si>
  <si>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</si>
  <si>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</si>
  <si>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</si>
  <si>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</si>
  <si>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</si>
  <si>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</si>
  <si>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</si>
  <si>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</si>
  <si>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</si>
  <si>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</si>
  <si>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</si>
  <si>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</si>
  <si>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</si>
  <si>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</si>
  <si>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</si>
  <si>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</si>
  <si>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</si>
  <si>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</si>
  <si>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</si>
  <si>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</si>
  <si>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</si>
  <si>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</si>
  <si>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</si>
  <si>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</si>
  <si>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</si>
  <si>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</si>
  <si>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</si>
  <si>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</si>
  <si>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</si>
  <si>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</si>
  <si>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</si>
  <si>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</si>
  <si>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</si>
  <si>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</si>
  <si>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</si>
  <si>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</si>
  <si>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</si>
  <si>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</si>
  <si>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</si>
  <si>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</si>
  <si>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</si>
  <si>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</si>
  <si>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</si>
  <si>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</si>
  <si>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</si>
  <si>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</si>
  <si>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</si>
  <si>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</si>
  <si>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</si>
  <si>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</si>
  <si>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</si>
  <si>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</si>
  <si>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</si>
  <si>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</si>
  <si>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</si>
  <si>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</si>
  <si>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</si>
  <si>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</si>
  <si>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</si>
  <si>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</si>
  <si>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</si>
  <si>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</si>
  <si>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</si>
  <si>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</si>
  <si>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</si>
  <si>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</si>
  <si>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</si>
  <si>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</si>
  <si>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</si>
  <si>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</si>
  <si>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</si>
  <si>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</si>
  <si>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</si>
  <si>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</si>
  <si>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</si>
  <si>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</si>
  <si>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</si>
  <si>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</si>
  <si>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</si>
  <si>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</si>
  <si>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</si>
  <si>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</si>
  <si>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</si>
  <si>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</si>
  <si>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</si>
  <si>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</si>
  <si>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</si>
  <si>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</si>
  <si>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</si>
  <si>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</si>
  <si>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</si>
  <si>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</si>
  <si>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</si>
  <si>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</si>
  <si>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</si>
  <si>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</si>
  <si>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</si>
  <si>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</si>
  <si>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</si>
  <si>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</si>
  <si>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</si>
  <si>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</si>
  <si>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</si>
  <si>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</si>
  <si>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</si>
  <si>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</si>
  <si>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</si>
  <si>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</si>
  <si>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</si>
  <si>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</si>
  <si>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</si>
  <si>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</si>
  <si>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</si>
  <si>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</si>
  <si>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</si>
  <si>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</si>
  <si>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</si>
  <si>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</si>
  <si>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</si>
  <si>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</si>
  <si>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</si>
  <si>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</si>
  <si>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</si>
  <si>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</si>
  <si>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</si>
  <si>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</si>
  <si>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</si>
  <si>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</si>
  <si>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</si>
  <si>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</si>
  <si>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</si>
  <si>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</si>
  <si>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</si>
  <si>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</si>
  <si>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</si>
  <si>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</si>
  <si>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</si>
  <si>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</si>
  <si>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</si>
  <si>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</si>
  <si>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</si>
  <si>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</si>
  <si>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</si>
  <si>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</si>
  <si>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</si>
  <si>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</si>
  <si>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</si>
  <si>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</si>
  <si>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</si>
  <si>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</si>
  <si>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</si>
  <si>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</si>
  <si>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</si>
  <si>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</si>
  <si>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</si>
  <si>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</si>
  <si>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</si>
  <si>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</si>
  <si>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</si>
  <si>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</si>
  <si>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</si>
  <si>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</si>
  <si>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</si>
  <si>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</si>
  <si>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</si>
  <si>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</si>
  <si>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</si>
  <si>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</si>
  <si>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</si>
  <si>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</si>
  <si>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</si>
  <si>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</si>
  <si>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</si>
  <si>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</si>
  <si>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</si>
  <si>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</si>
  <si>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</si>
  <si>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</si>
  <si>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</si>
  <si>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</si>
  <si>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</si>
  <si>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</si>
  <si>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</si>
  <si>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</si>
  <si>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</si>
  <si>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</si>
  <si>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</si>
  <si>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</si>
  <si>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</si>
  <si>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</si>
  <si>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</si>
  <si>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</si>
  <si>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</si>
  <si>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</si>
  <si>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</si>
  <si>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</si>
  <si>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</si>
  <si>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</si>
  <si>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</si>
  <si>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</si>
  <si>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</si>
  <si>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</si>
  <si>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</si>
  <si>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</si>
  <si>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</si>
  <si>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</si>
  <si>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</si>
  <si>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</si>
  <si>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</si>
  <si>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</si>
  <si>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</si>
  <si>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</si>
  <si>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</si>
  <si>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</si>
  <si>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</si>
  <si>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</si>
  <si>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</si>
  <si>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</si>
  <si>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</si>
  <si>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</si>
  <si>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</si>
  <si>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</si>
  <si>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</si>
  <si>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</si>
  <si>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</si>
  <si>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</si>
  <si>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</si>
  <si>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</si>
  <si>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</si>
  <si>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</si>
  <si>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</si>
  <si>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</si>
  <si>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</si>
  <si>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</si>
  <si>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</si>
  <si>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</si>
  <si>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</si>
  <si>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</si>
  <si>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</si>
  <si>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</si>
  <si>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</si>
  <si>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</si>
  <si>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</si>
  <si>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</si>
  <si>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</si>
  <si>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</si>
  <si>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</si>
  <si>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</si>
  <si>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</si>
  <si>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</si>
  <si>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</si>
  <si>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</si>
  <si>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</si>
  <si>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</si>
  <si>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</si>
  <si>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</si>
  <si>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</si>
  <si>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</si>
  <si>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</si>
  <si>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</si>
  <si>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</si>
  <si>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</si>
  <si>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</si>
  <si>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</si>
  <si>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</si>
  <si>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</si>
  <si>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</si>
  <si>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</si>
  <si>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</si>
  <si>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</si>
  <si>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</si>
  <si>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</si>
  <si>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</si>
  <si>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</si>
  <si>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</si>
  <si>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</si>
  <si>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</si>
  <si>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</si>
  <si>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</si>
  <si>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</si>
  <si>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</si>
  <si>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</si>
  <si>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</si>
  <si>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</si>
  <si>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</si>
  <si>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</si>
  <si>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</si>
  <si>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</si>
  <si>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</si>
  <si>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</si>
  <si>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</si>
  <si>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</si>
  <si>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</si>
  <si>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</si>
  <si>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</si>
  <si>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</si>
  <si>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</si>
  <si>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</si>
  <si>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</si>
  <si>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</si>
  <si>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</si>
  <si>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</si>
  <si>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</si>
  <si>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</si>
  <si>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</si>
  <si>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</si>
  <si>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</si>
  <si>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</si>
  <si>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</si>
  <si>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</si>
  <si>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</si>
  <si>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</si>
  <si>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</si>
  <si>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</si>
  <si>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</si>
  <si>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</si>
  <si>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</si>
  <si>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</si>
  <si>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</si>
  <si>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</si>
  <si>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</si>
  <si>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</si>
  <si>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</si>
  <si>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</si>
  <si>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</si>
  <si>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</si>
  <si>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</si>
  <si>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</si>
  <si>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</si>
  <si>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</si>
  <si>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</si>
  <si>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</si>
  <si>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</si>
  <si>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</si>
  <si>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</si>
  <si>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</si>
  <si>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</si>
  <si>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</si>
  <si>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</si>
  <si>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</si>
  <si>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</si>
  <si>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</si>
  <si>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</si>
  <si>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</si>
  <si>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</si>
  <si>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</si>
  <si>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</si>
  <si>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</si>
  <si>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</si>
  <si>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</si>
  <si>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</si>
  <si>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</si>
  <si>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</si>
  <si>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</si>
  <si>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</si>
  <si>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</si>
  <si>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</si>
  <si>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</si>
  <si>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</si>
  <si>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</si>
  <si>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</si>
  <si>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</si>
  <si>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</si>
  <si>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</si>
  <si>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</si>
  <si>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</si>
  <si>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</si>
  <si>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</si>
  <si>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</si>
  <si>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</si>
  <si>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</si>
  <si>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</si>
  <si>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</si>
  <si>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</si>
  <si>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</si>
  <si>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</si>
  <si>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</si>
  <si>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</si>
  <si>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</si>
  <si>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</si>
  <si>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</si>
  <si>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</si>
  <si>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</si>
  <si>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</si>
  <si>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</si>
  <si>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</si>
  <si>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</si>
  <si>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</si>
  <si>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</si>
  <si>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</si>
  <si>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</si>
  <si>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</si>
  <si>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</si>
  <si>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</si>
  <si>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</si>
  <si>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</si>
  <si>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</si>
  <si>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</si>
  <si>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</si>
  <si>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</si>
  <si>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</si>
  <si>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</si>
  <si>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</si>
  <si>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</si>
  <si>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</si>
  <si>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</si>
  <si>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</si>
  <si>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</si>
  <si>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</si>
  <si>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</si>
  <si>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</si>
  <si>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</si>
  <si>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</si>
  <si>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</si>
  <si>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</si>
  <si>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</si>
  <si>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</si>
  <si>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</si>
  <si>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</si>
  <si>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</si>
  <si>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</si>
  <si>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</si>
  <si>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</si>
  <si>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</si>
  <si>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</si>
  <si>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</si>
  <si>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</si>
  <si>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</si>
  <si>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</si>
  <si>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</si>
  <si>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</si>
  <si>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</si>
  <si>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</si>
  <si>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</si>
  <si>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</si>
  <si>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</si>
  <si>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</si>
  <si>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</si>
  <si>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</si>
  <si>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</si>
  <si>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</si>
  <si>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</si>
  <si>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</si>
  <si>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</si>
  <si>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</si>
  <si>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</si>
  <si>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</si>
  <si>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</si>
  <si>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</si>
  <si>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</si>
  <si>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</si>
  <si>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</si>
  <si>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</si>
  <si>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</si>
  <si>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</si>
  <si>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</si>
  <si>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</si>
  <si>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</si>
  <si>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</si>
  <si>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</si>
  <si>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</si>
  <si>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</si>
  <si>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</si>
  <si>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</si>
  <si>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</si>
  <si>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</si>
  <si>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</si>
  <si>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</si>
  <si>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</si>
  <si>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</si>
  <si>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</si>
  <si>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</si>
  <si>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</si>
  <si>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</si>
  <si>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</si>
  <si>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</si>
  <si>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</si>
  <si>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</si>
  <si>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</si>
  <si>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</si>
  <si>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</si>
  <si>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</si>
  <si>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</si>
  <si>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</si>
  <si>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</si>
  <si>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</si>
  <si>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</si>
  <si>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</si>
  <si>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</si>
  <si>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</si>
  <si>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</si>
  <si>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</si>
  <si>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</si>
  <si>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</si>
  <si>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</si>
  <si>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</si>
  <si>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</si>
  <si>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</si>
  <si>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</si>
  <si>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</si>
  <si>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</si>
  <si>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</si>
  <si>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</si>
  <si>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</si>
  <si>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</si>
  <si>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</si>
  <si>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</si>
  <si>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</si>
  <si>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</si>
  <si>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</si>
  <si>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</si>
  <si>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</si>
  <si>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</si>
  <si>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</si>
  <si>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</si>
  <si>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</si>
  <si>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</si>
  <si>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</si>
  <si>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</si>
  <si>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</si>
  <si>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</si>
  <si>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</si>
  <si>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</si>
  <si>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</si>
  <si>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</si>
  <si>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</si>
  <si>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</si>
  <si>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</si>
  <si>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</si>
  <si>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</si>
  <si>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</si>
  <si>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</si>
  <si>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</si>
  <si>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</si>
  <si>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</si>
  <si>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</si>
  <si>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</si>
  <si>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</si>
  <si>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</si>
  <si>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</si>
  <si>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</si>
  <si>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</si>
  <si>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</si>
  <si>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</si>
  <si>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</si>
  <si>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</si>
  <si>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</si>
  <si>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</si>
  <si>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</si>
  <si>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</si>
  <si>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</si>
  <si>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</si>
  <si>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</si>
  <si>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</si>
  <si>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</si>
  <si>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</si>
  <si>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</si>
  <si>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</si>
  <si>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</si>
  <si>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</si>
  <si>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</si>
  <si>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</si>
  <si>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</si>
  <si>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</si>
  <si>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</si>
  <si>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</si>
  <si>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</si>
  <si>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</si>
  <si>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</si>
  <si>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</si>
  <si>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</si>
  <si>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</si>
  <si>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</si>
  <si>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</si>
  <si>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</si>
  <si>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</si>
  <si>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</si>
  <si>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</si>
  <si>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</si>
  <si>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</si>
  <si>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</si>
  <si>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</si>
  <si>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</si>
  <si>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</si>
  <si>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</si>
  <si>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</si>
  <si>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</si>
  <si>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</si>
  <si>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</si>
  <si>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</si>
  <si>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</si>
  <si>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</si>
  <si>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</si>
  <si>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</si>
  <si>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</si>
  <si>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</si>
  <si>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</si>
  <si>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</si>
  <si>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</si>
  <si>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</si>
  <si>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</si>
  <si>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</si>
  <si>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</si>
  <si>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</si>
  <si>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</si>
  <si>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</si>
  <si>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</si>
  <si>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</si>
  <si>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</si>
  <si>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</si>
  <si>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</si>
  <si>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</si>
  <si>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</si>
  <si>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</si>
  <si>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</si>
  <si>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</si>
  <si>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</si>
  <si>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</si>
  <si>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</si>
  <si>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</si>
  <si>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</si>
  <si>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</si>
  <si>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</si>
  <si>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</si>
  <si>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</si>
  <si>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</si>
  <si>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</si>
  <si>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</si>
  <si>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</si>
  <si>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</si>
  <si>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</si>
  <si>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</si>
  <si>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</si>
  <si>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</si>
  <si>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</si>
  <si>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</si>
  <si>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</si>
  <si>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</si>
  <si>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</si>
  <si>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</si>
  <si>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</si>
  <si>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</si>
  <si>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</si>
  <si>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</si>
  <si>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</si>
  <si>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</si>
  <si>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</si>
  <si>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</si>
  <si>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</si>
  <si>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</si>
  <si>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</si>
  <si>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</si>
  <si>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</si>
  <si>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</si>
  <si>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</si>
  <si>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</si>
  <si>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</si>
  <si>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</si>
  <si>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</si>
  <si>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</si>
  <si>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</si>
  <si>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</si>
  <si>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</si>
  <si>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</si>
  <si>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</si>
  <si>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</si>
  <si>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</si>
  <si>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</si>
  <si>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</si>
  <si>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</si>
  <si>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</si>
  <si>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</si>
  <si>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</si>
  <si>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</si>
  <si>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</si>
  <si>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</si>
  <si>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</si>
  <si>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</si>
  <si>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</si>
  <si>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</si>
  <si>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</si>
  <si>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</si>
  <si>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</si>
  <si>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</si>
  <si>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</si>
  <si>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</si>
  <si>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</si>
  <si>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</si>
  <si>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</si>
  <si>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</si>
  <si>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</si>
  <si>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</si>
  <si>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</si>
  <si>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</si>
  <si>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</si>
  <si>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</si>
  <si>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</si>
  <si>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</si>
  <si>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</si>
  <si>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</si>
  <si>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</si>
  <si>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</si>
  <si>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</si>
  <si>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</si>
  <si>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</si>
  <si>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</si>
  <si>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</si>
  <si>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</si>
  <si>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</si>
  <si>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</si>
  <si>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</si>
  <si>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</si>
  <si>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</si>
  <si>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</si>
  <si>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</si>
  <si>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</si>
  <si>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</si>
  <si>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</si>
  <si>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</si>
  <si>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</si>
  <si>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</si>
  <si>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</si>
  <si>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</si>
  <si>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</si>
  <si>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</si>
  <si>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</si>
  <si>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</si>
  <si>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</si>
  <si>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</si>
  <si>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</si>
  <si>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</si>
  <si>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</si>
  <si>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</si>
  <si>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</si>
  <si>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</si>
  <si>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</si>
  <si>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</si>
  <si>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</si>
  <si>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</si>
  <si>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</si>
  <si>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</si>
  <si>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</si>
  <si>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</si>
  <si>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</si>
  <si>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</si>
  <si>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</si>
  <si>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</si>
  <si>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</si>
  <si>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</si>
  <si>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</si>
  <si>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</si>
  <si>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</si>
  <si>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</si>
  <si>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</si>
  <si>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</si>
  <si>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</si>
  <si>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</si>
  <si>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</si>
  <si>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</si>
  <si>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</si>
  <si>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</si>
  <si>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</si>
  <si>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</si>
  <si>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</si>
  <si>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</si>
  <si>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</si>
  <si>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</si>
  <si>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</si>
  <si>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</si>
  <si>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</si>
  <si>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</si>
  <si>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</si>
  <si>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</si>
  <si>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</si>
  <si>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</si>
  <si>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</si>
  <si>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</si>
  <si>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</si>
  <si>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</si>
  <si>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</si>
  <si>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</si>
  <si>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</si>
  <si>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</si>
  <si>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</si>
  <si>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</si>
  <si>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</si>
  <si>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</si>
  <si>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</si>
  <si>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</si>
  <si>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</si>
  <si>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</si>
  <si>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</si>
  <si>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</si>
  <si>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</si>
  <si>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</si>
  <si>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</si>
  <si>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</si>
  <si>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</si>
  <si>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</si>
  <si>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</si>
  <si>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</si>
  <si>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</si>
  <si>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</si>
  <si>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</si>
  <si>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</si>
  <si>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</si>
  <si>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</si>
  <si>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</si>
  <si>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</si>
  <si>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</si>
  <si>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</si>
  <si>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</si>
  <si>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</si>
  <si>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</si>
  <si>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</si>
  <si>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</si>
  <si>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</si>
  <si>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</si>
  <si>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</si>
  <si>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</si>
  <si>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</si>
  <si>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</si>
  <si>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</si>
  <si>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</si>
  <si>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</si>
  <si>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</si>
  <si>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</si>
  <si>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</si>
  <si>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</si>
  <si>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</si>
  <si>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</si>
  <si>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</si>
  <si>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</si>
  <si>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</si>
  <si>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</si>
  <si>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</si>
  <si>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</si>
  <si>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</si>
  <si>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</si>
  <si>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</si>
  <si>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</si>
  <si>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</si>
  <si>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</si>
  <si>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</si>
  <si>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</si>
  <si>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</si>
  <si>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</si>
  <si>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</si>
  <si>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</si>
  <si>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</si>
  <si>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</si>
  <si>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</si>
  <si>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</si>
  <si>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</si>
  <si>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</si>
  <si>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</si>
  <si>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</si>
  <si>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</si>
  <si>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</si>
  <si>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</si>
  <si>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</si>
  <si>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</si>
  <si>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</si>
  <si>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</si>
  <si>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</si>
  <si>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</si>
  <si>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</si>
  <si>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</si>
  <si>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</si>
  <si>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</si>
  <si>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</si>
  <si>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</si>
  <si>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</si>
  <si>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</si>
  <si>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</si>
  <si>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</si>
  <si>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</si>
  <si>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</si>
  <si>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</si>
  <si>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</si>
  <si>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</si>
  <si>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</si>
  <si>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</si>
  <si>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</si>
  <si>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</si>
  <si>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</si>
  <si>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</si>
  <si>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</si>
  <si>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</si>
  <si>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</si>
  <si>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</si>
  <si>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</si>
  <si>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</si>
  <si>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</si>
  <si>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</si>
  <si>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</si>
  <si>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</si>
  <si>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</si>
  <si>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</si>
  <si>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</si>
  <si>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</si>
  <si>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</si>
  <si>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</si>
  <si>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</si>
  <si>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</si>
  <si>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</si>
  <si>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</si>
  <si>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</si>
  <si>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</si>
  <si>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</si>
  <si>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</si>
  <si>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</si>
  <si>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</si>
  <si>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</si>
  <si>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</si>
  <si>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</si>
  <si>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</si>
  <si>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</si>
  <si>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</si>
  <si>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</si>
  <si>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</si>
  <si>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</si>
  <si>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</si>
  <si>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</si>
  <si>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</si>
  <si>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</si>
  <si>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</si>
  <si>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</si>
  <si>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</si>
  <si>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</si>
  <si>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</si>
  <si>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</si>
  <si>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</si>
  <si>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</si>
  <si>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</si>
  <si>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</si>
  <si>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</si>
  <si>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</si>
  <si>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</si>
  <si>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</si>
  <si>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</si>
  <si>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</si>
  <si>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</si>
  <si>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</si>
  <si>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</si>
  <si>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</si>
  <si>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</si>
  <si>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</si>
  <si>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</si>
  <si>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</si>
  <si>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</si>
  <si>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</si>
  <si>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</si>
  <si>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</si>
  <si>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</si>
  <si>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</si>
  <si>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</si>
  <si>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</si>
  <si>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</si>
  <si>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</si>
  <si>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</si>
  <si>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</si>
  <si>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</si>
  <si>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</si>
  <si>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</si>
  <si>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</si>
  <si>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</si>
  <si>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</si>
  <si>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</si>
  <si>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</si>
  <si>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</si>
  <si>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</si>
  <si>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</si>
  <si>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</si>
  <si>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</si>
  <si>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</si>
  <si>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</si>
  <si>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</si>
  <si>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</si>
  <si>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</si>
  <si>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</si>
  <si>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</si>
  <si>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</si>
  <si>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</si>
  <si>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</si>
  <si>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</si>
  <si>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</si>
  <si>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</si>
  <si>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</si>
  <si>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</si>
  <si>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</si>
  <si>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</si>
  <si>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</si>
  <si>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</si>
  <si>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</si>
  <si>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</si>
  <si>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</si>
  <si>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</si>
  <si>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</si>
  <si>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</si>
  <si>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</si>
  <si>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</si>
  <si>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</si>
  <si>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</si>
  <si>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</si>
  <si>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</si>
  <si>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</si>
  <si>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</si>
  <si>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</si>
  <si>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</si>
  <si>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</si>
  <si>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</si>
  <si>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</si>
  <si>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</si>
  <si>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</si>
  <si>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</si>
  <si>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</si>
  <si>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</si>
  <si>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</si>
  <si>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</si>
  <si>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</si>
  <si>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</si>
  <si>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</si>
  <si>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</si>
  <si>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</si>
  <si>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</si>
  <si>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</si>
  <si>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</si>
  <si>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</si>
  <si>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</si>
  <si>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</si>
  <si>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</si>
  <si>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</si>
  <si>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</si>
  <si>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</si>
  <si>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</si>
  <si>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</si>
  <si>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</si>
  <si>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</si>
  <si>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</si>
  <si>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</si>
  <si>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</si>
  <si>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</si>
  <si>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</si>
  <si>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</si>
  <si>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</si>
  <si>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</si>
  <si>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</si>
  <si>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</si>
  <si>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</si>
  <si>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</si>
  <si>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</si>
  <si>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</si>
  <si>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</si>
  <si>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</si>
  <si>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</si>
  <si>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</si>
  <si>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</si>
  <si>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</si>
  <si>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</si>
  <si>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</si>
  <si>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</si>
  <si>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</si>
  <si>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</si>
  <si>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</si>
  <si>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</si>
  <si>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</si>
  <si>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</si>
  <si>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</si>
  <si>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</si>
  <si>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</si>
  <si>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</si>
  <si>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</si>
  <si>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</si>
  <si>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</si>
  <si>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</si>
  <si>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</si>
  <si>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</si>
  <si>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</si>
  <si>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</si>
  <si>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</si>
  <si>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</si>
  <si>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</si>
  <si>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</si>
  <si>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</si>
  <si>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</si>
  <si>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</si>
  <si>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</si>
  <si>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</si>
  <si>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</si>
  <si>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</si>
  <si>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</si>
  <si>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</si>
  <si>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</si>
  <si>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</si>
  <si>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</si>
  <si>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</si>
  <si>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</si>
  <si>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</si>
  <si>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</si>
  <si>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</si>
  <si>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</si>
  <si>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</si>
  <si>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</si>
  <si>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</si>
  <si>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</si>
  <si>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</si>
  <si>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</si>
  <si>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</si>
  <si>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</si>
  <si>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</si>
  <si>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</si>
  <si>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</si>
  <si>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</si>
  <si>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</si>
  <si>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</si>
  <si>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</si>
  <si>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</si>
  <si>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</si>
  <si>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</si>
  <si>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</si>
  <si>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</si>
  <si>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</si>
  <si>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</si>
  <si>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</si>
  <si>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</si>
  <si>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</si>
  <si>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</si>
  <si>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</si>
  <si>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</si>
  <si>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</si>
  <si>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</si>
  <si>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</si>
  <si>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</si>
  <si>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</si>
  <si>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</si>
  <si>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</si>
  <si>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</si>
  <si>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</si>
  <si>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</si>
  <si>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</si>
  <si>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</si>
  <si>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</si>
  <si>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</si>
  <si>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</si>
  <si>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</si>
  <si>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</si>
  <si>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</si>
  <si>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</si>
  <si>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</si>
  <si>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</si>
  <si>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</si>
  <si>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</si>
  <si>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</si>
  <si>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</si>
  <si>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</si>
  <si>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</si>
  <si>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</si>
  <si>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</si>
  <si>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</si>
  <si>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</si>
  <si>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</si>
  <si>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</si>
  <si>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</si>
  <si>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</si>
  <si>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</si>
  <si>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</si>
  <si>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</si>
  <si>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</si>
  <si>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</si>
  <si>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</si>
  <si>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</si>
  <si>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</si>
  <si>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</si>
  <si>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</si>
  <si>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</si>
  <si>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</si>
  <si>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</si>
  <si>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</si>
  <si>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</si>
  <si>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</si>
  <si>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</si>
  <si>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</si>
  <si>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</si>
  <si>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</si>
  <si>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</si>
  <si>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</si>
  <si>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</si>
  <si>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</si>
  <si>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</si>
  <si>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</si>
  <si>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</si>
  <si>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</si>
  <si>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</si>
  <si>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</si>
  <si>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</si>
  <si>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</si>
  <si>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</si>
  <si>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</si>
  <si>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</si>
  <si>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</si>
  <si>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</si>
  <si>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</si>
  <si>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</si>
  <si>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</si>
  <si>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</si>
  <si>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</si>
  <si>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</si>
  <si>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</si>
  <si>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</si>
  <si>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</si>
  <si>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</si>
  <si>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</si>
  <si>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</si>
  <si>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</si>
  <si>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</si>
  <si>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</si>
  <si>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</si>
  <si>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</si>
  <si>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</si>
  <si>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</si>
  <si>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</si>
  <si>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</si>
  <si>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</si>
  <si>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</si>
  <si>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</si>
  <si>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</si>
  <si>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</si>
  <si>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</si>
  <si>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</si>
  <si>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</si>
  <si>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</si>
  <si>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</si>
  <si>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</si>
  <si>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</si>
  <si>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</si>
  <si>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</si>
  <si>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</si>
  <si>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</si>
  <si>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</si>
  <si>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</si>
  <si>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</si>
  <si>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</si>
  <si>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</si>
  <si>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</si>
  <si>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</si>
  <si>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</si>
  <si>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</si>
  <si>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</si>
  <si>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</si>
  <si>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</si>
  <si>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</si>
  <si>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</si>
  <si>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</si>
  <si>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</si>
  <si>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</si>
  <si>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</si>
  <si>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</si>
  <si>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</si>
  <si>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</si>
  <si>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</si>
  <si>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</si>
  <si>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</si>
  <si>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</si>
  <si>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</si>
  <si>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</si>
  <si>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</si>
  <si>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</si>
  <si>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</si>
  <si>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</si>
  <si>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</si>
  <si>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</si>
  <si>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</si>
  <si>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</si>
  <si>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</si>
  <si>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</si>
  <si>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</si>
  <si>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</si>
  <si>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</si>
  <si>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</si>
  <si>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</si>
  <si>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</si>
  <si>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</si>
  <si>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</si>
  <si>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</si>
  <si>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</si>
  <si>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</si>
  <si>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</si>
  <si>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</si>
  <si>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</si>
  <si>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</si>
  <si>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</si>
  <si>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</si>
  <si>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</si>
  <si>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</si>
  <si>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</si>
  <si>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</si>
  <si>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</si>
  <si>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</si>
  <si>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</si>
  <si>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</si>
  <si>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</si>
  <si>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</si>
  <si>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</si>
  <si>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</si>
  <si>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</si>
  <si>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</si>
  <si>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</si>
  <si>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</si>
  <si>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</si>
  <si>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</si>
  <si>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</si>
  <si>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</si>
  <si>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</si>
  <si>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</si>
  <si>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</si>
  <si>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</si>
  <si>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</si>
  <si>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</si>
  <si>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</si>
  <si>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</si>
  <si>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</si>
  <si>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</si>
  <si>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</si>
  <si>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</si>
  <si>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</si>
  <si>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</si>
  <si>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</si>
  <si>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</si>
  <si>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</si>
  <si>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</si>
  <si>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</si>
  <si>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</si>
  <si>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</si>
  <si>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</si>
  <si>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</si>
  <si>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</si>
  <si>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</si>
  <si>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</si>
  <si>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</si>
  <si>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</si>
  <si>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</si>
  <si>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</si>
  <si>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</si>
  <si>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</si>
  <si>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</si>
  <si>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</si>
  <si>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</si>
  <si>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</si>
  <si>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</si>
  <si>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</si>
  <si>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</si>
  <si>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</si>
  <si>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</si>
  <si>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</si>
  <si>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</si>
  <si>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</si>
  <si>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</si>
  <si>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</si>
  <si>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</si>
  <si>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</si>
  <si>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</si>
  <si>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</si>
  <si>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</si>
  <si>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</si>
  <si>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</si>
  <si>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</si>
  <si>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</si>
  <si>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</si>
  <si>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</si>
  <si>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</si>
  <si>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</si>
  <si>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</si>
  <si>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</si>
  <si>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</si>
  <si>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</si>
  <si>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</si>
  <si>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</si>
  <si>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</si>
  <si>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</si>
  <si>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</si>
  <si>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</si>
  <si>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</si>
  <si>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</si>
  <si>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</si>
  <si>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</si>
  <si>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</si>
  <si>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</si>
  <si>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</si>
  <si>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</si>
  <si>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</si>
  <si>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</si>
  <si>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</si>
  <si>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</si>
  <si>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</si>
  <si>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</si>
  <si>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</si>
  <si>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</si>
  <si>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</si>
  <si>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</si>
  <si>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</si>
  <si>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</si>
  <si>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</si>
  <si>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</si>
  <si>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</si>
  <si>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</si>
  <si>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</si>
  <si>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</si>
  <si>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</si>
  <si>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</si>
  <si>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</si>
  <si>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</si>
  <si>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</si>
  <si>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</si>
  <si>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</si>
  <si>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</si>
  <si>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</si>
  <si>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</si>
  <si>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</si>
  <si>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</si>
  <si>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</si>
  <si>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</si>
  <si>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</si>
  <si>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</si>
  <si>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</si>
  <si>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</si>
  <si>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</si>
  <si>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</si>
  <si>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</si>
  <si>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</si>
  <si>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</si>
  <si>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</si>
  <si>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</si>
  <si>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</si>
  <si>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</si>
  <si>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</si>
  <si>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</si>
  <si>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</si>
  <si>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</si>
  <si>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</si>
  <si>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</si>
  <si>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</si>
  <si>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</si>
  <si>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</si>
  <si>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</si>
  <si>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</si>
  <si>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</si>
  <si>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</si>
  <si>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</si>
  <si>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</si>
  <si>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</si>
  <si>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</si>
  <si>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</si>
  <si>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</si>
  <si>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</si>
  <si>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</si>
  <si>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</si>
  <si>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</si>
  <si>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</si>
  <si>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</si>
  <si>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</si>
  <si>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</si>
  <si>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</si>
  <si>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</si>
  <si>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</si>
  <si>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</si>
  <si>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</si>
  <si>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</si>
  <si>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</si>
  <si>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</si>
  <si>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</si>
  <si>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</si>
  <si>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</si>
  <si>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</si>
  <si>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</si>
  <si>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</si>
  <si>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</si>
  <si>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</si>
  <si>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</si>
  <si>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</si>
  <si>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</si>
  <si>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</si>
  <si>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</si>
  <si>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</si>
  <si>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</si>
  <si>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</si>
  <si>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</si>
  <si>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</si>
  <si>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</si>
  <si>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</si>
  <si>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</si>
  <si>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</si>
  <si>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</si>
  <si>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</si>
  <si>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</si>
  <si>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</si>
  <si>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</si>
  <si>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</si>
  <si>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</si>
  <si>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</si>
  <si>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</si>
  <si>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</si>
  <si>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</si>
  <si>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</si>
  <si>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</si>
  <si>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</si>
  <si>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</si>
  <si>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</si>
  <si>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</si>
  <si>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</si>
  <si>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</si>
  <si>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</si>
  <si>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</si>
  <si>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</si>
  <si>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</si>
  <si>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</si>
  <si>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</si>
  <si>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</si>
  <si>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</si>
  <si>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</si>
  <si>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</si>
  <si>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</si>
  <si>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</si>
  <si>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</si>
  <si>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</si>
  <si>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</si>
  <si>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</si>
  <si>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</si>
  <si>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</si>
  <si>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</si>
  <si>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</si>
  <si>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</si>
  <si>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</si>
  <si>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</si>
  <si>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</si>
  <si>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</si>
  <si>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</si>
  <si>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</si>
  <si>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</si>
  <si>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</si>
  <si>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</si>
  <si>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</si>
  <si>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</si>
  <si>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</si>
  <si>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</si>
  <si>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</si>
  <si>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</si>
  <si>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</si>
  <si>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</si>
  <si>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</si>
  <si>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</si>
  <si>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</si>
  <si>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</si>
  <si>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</si>
  <si>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</si>
  <si>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</si>
  <si>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</si>
  <si>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</si>
  <si>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</si>
  <si>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</si>
  <si>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</si>
  <si>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</si>
  <si>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</si>
  <si>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</si>
  <si>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</si>
  <si>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</si>
  <si>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</si>
  <si>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</si>
  <si>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</si>
  <si>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</si>
  <si>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</si>
  <si>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</si>
  <si>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</si>
  <si>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</si>
  <si>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</si>
  <si>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</si>
  <si>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</si>
  <si>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</si>
  <si>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</si>
  <si>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</si>
  <si>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</si>
  <si>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</si>
  <si>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</si>
  <si>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</si>
  <si>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</si>
  <si>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</si>
  <si>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</si>
  <si>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</si>
  <si>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</si>
  <si>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</si>
  <si>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</si>
  <si>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</si>
  <si>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</si>
  <si>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</si>
  <si>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</si>
  <si>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</si>
  <si>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</si>
  <si>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</si>
  <si>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</si>
  <si>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</si>
  <si>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</si>
  <si>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</si>
  <si>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</si>
  <si>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</si>
  <si>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</si>
  <si>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</si>
  <si>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</si>
  <si>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</si>
  <si>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</si>
  <si>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</si>
  <si>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</si>
  <si>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</si>
  <si>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</si>
  <si>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</si>
  <si>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</si>
  <si>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</si>
  <si>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</si>
  <si>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</si>
  <si>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</si>
  <si>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</si>
  <si>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</si>
  <si>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</si>
  <si>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</si>
  <si>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</si>
  <si>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</si>
  <si>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</si>
  <si>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</si>
  <si>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</si>
  <si>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</si>
  <si>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</si>
  <si>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</si>
  <si>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</si>
  <si>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</si>
  <si>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</si>
  <si>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</si>
  <si>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</si>
  <si>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</si>
  <si>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</si>
  <si>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</si>
  <si>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</si>
  <si>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</si>
  <si>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</si>
  <si>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</si>
  <si>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</si>
  <si>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</si>
  <si>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</si>
  <si>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</si>
  <si>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</si>
  <si>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</si>
  <si>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</si>
  <si>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</si>
  <si>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</si>
  <si>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</si>
  <si>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</si>
  <si>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</si>
  <si>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</si>
  <si>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</si>
  <si>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дефицит 100%</t>
  </si>
  <si>
    <t>+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</si>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</sst>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24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55"/>
  <sheetViews>
    <sheetView tabSelected="1" zoomScale="80" zoomScaleNormal="80" workbookViewId="0">
      <pane ySplit="2" topLeftCell="A6927" activePane="bottomLeft" state="frozen"/>
      <selection pane="bottomLeft" activeCell="Q6943" sqref="Q694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8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1" t="s">
        <v>0</v>
      </c>
      <c r="B1" s="1001"/>
      <c r="C1" s="1001"/>
      <c r="D1" s="1001"/>
      <c r="E1" s="1001"/>
      <c r="F1" s="1001"/>
      <c r="G1" s="1001"/>
      <c r="H1" s="1001"/>
      <c r="I1" s="1001"/>
      <c r="J1" s="1001"/>
      <c r="K1" s="8"/>
      <c r="L1" s="9"/>
      <c r="M1" s="9"/>
      <c r="N1" s="9"/>
      <c r="O1" s="897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7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2">
        <v>1</v>
      </c>
      <c r="B3" s="100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2"/>
      <c r="B4" s="100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3">
        <v>3</v>
      </c>
      <c r="B6" s="10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3"/>
      <c r="B7" s="10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3"/>
      <c r="B8" s="10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3">
        <v>5</v>
      </c>
      <c r="B10" s="10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3"/>
      <c r="B11" s="10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4">
        <v>8</v>
      </c>
      <c r="B14" s="10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4"/>
      <c r="B15" s="10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3">
        <v>11</v>
      </c>
      <c r="B18" s="10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3"/>
      <c r="B19" s="10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3"/>
      <c r="B20" s="10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3"/>
      <c r="B21" s="10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3">
        <v>13</v>
      </c>
      <c r="B23" s="10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3"/>
      <c r="B24" s="10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4">
        <v>14</v>
      </c>
      <c r="B25" s="10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4"/>
      <c r="B26" s="10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3">
        <v>15</v>
      </c>
      <c r="B27" s="10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3"/>
      <c r="B28" s="10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3"/>
      <c r="B29" s="10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3"/>
      <c r="B30" s="10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4">
        <v>16</v>
      </c>
      <c r="B31" s="10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4"/>
      <c r="B32" s="10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4"/>
      <c r="B33" s="10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4"/>
      <c r="B34" s="10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3">
        <v>17</v>
      </c>
      <c r="B35" s="10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3"/>
      <c r="B36" s="10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3">
        <v>21</v>
      </c>
      <c r="B40" s="10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3"/>
      <c r="B41" s="10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3">
        <v>23</v>
      </c>
      <c r="B43" s="10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3"/>
      <c r="B44" s="10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3"/>
      <c r="B45" s="10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4">
        <v>24</v>
      </c>
      <c r="B46" s="10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4"/>
      <c r="B47" s="10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3">
        <v>25</v>
      </c>
      <c r="B48" s="10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3"/>
      <c r="B49" s="10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3"/>
      <c r="B50" s="10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4">
        <v>26</v>
      </c>
      <c r="B51" s="10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4"/>
      <c r="B52" s="10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3">
        <v>29</v>
      </c>
      <c r="B55" s="10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3"/>
      <c r="B56" s="10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4">
        <v>32</v>
      </c>
      <c r="B59" s="10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4"/>
      <c r="B60" s="10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4">
        <v>34</v>
      </c>
      <c r="B62" s="10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4"/>
      <c r="B63" s="10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4"/>
      <c r="B64" s="10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4"/>
      <c r="B65" s="10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4"/>
      <c r="B66" s="10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3">
        <v>35</v>
      </c>
      <c r="B67" s="10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3"/>
      <c r="B68" s="10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76">
        <v>40</v>
      </c>
      <c r="B73" s="10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76"/>
      <c r="B74" s="10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77">
        <v>41</v>
      </c>
      <c r="B75" s="10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77"/>
      <c r="B76" s="10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77"/>
      <c r="B77" s="10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76">
        <v>42</v>
      </c>
      <c r="B78" s="10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76"/>
      <c r="B79" s="10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77">
        <v>49</v>
      </c>
      <c r="B86" s="10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77"/>
      <c r="B87" s="10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77"/>
      <c r="B88" s="10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76">
        <v>50</v>
      </c>
      <c r="B89" s="10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76"/>
      <c r="B90" s="10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77">
        <v>51</v>
      </c>
      <c r="B91" s="10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77"/>
      <c r="B92" s="10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77">
        <v>53</v>
      </c>
      <c r="B94" s="10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77"/>
      <c r="B95" s="10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76">
        <v>54</v>
      </c>
      <c r="B96" s="10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76"/>
      <c r="B97" s="10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76"/>
      <c r="B98" s="10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76">
        <v>58</v>
      </c>
      <c r="B102" s="10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76"/>
      <c r="B103" s="10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76">
        <v>60</v>
      </c>
      <c r="B105" s="10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76"/>
      <c r="B106" s="10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76"/>
      <c r="B107" s="10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77">
        <v>61</v>
      </c>
      <c r="B108" s="10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77"/>
      <c r="B109" s="10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77"/>
      <c r="B110" s="10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76">
        <v>64</v>
      </c>
      <c r="B113" s="10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76"/>
      <c r="B114" s="10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76">
        <v>66</v>
      </c>
      <c r="B116" s="10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76"/>
      <c r="B117" s="10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77">
        <v>67</v>
      </c>
      <c r="B118" s="10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77"/>
      <c r="B119" s="10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77"/>
      <c r="B120" s="10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76">
        <v>68</v>
      </c>
      <c r="B121" s="10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76"/>
      <c r="B122" s="10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77">
        <v>69</v>
      </c>
      <c r="B123" s="10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77"/>
      <c r="B124" s="10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76">
        <v>72</v>
      </c>
      <c r="B127" s="1004" t="s">
        <v>65</v>
      </c>
      <c r="C127" s="119" t="s">
        <v>26</v>
      </c>
      <c r="D127" s="120">
        <v>3.3</v>
      </c>
      <c r="E127" s="121"/>
      <c r="F127" s="122" t="s">
        <v>30</v>
      </c>
      <c r="G127" s="99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76"/>
      <c r="B128" s="1004"/>
      <c r="C128" s="103" t="s">
        <v>26</v>
      </c>
      <c r="D128" s="88">
        <v>12.9</v>
      </c>
      <c r="E128" s="106"/>
      <c r="F128" s="107" t="s">
        <v>16</v>
      </c>
      <c r="G128" s="99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76">
        <v>76</v>
      </c>
      <c r="B132" s="100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76"/>
      <c r="B133" s="100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76"/>
      <c r="B134" s="100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76"/>
      <c r="B135" s="100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76">
        <v>78</v>
      </c>
      <c r="B137" s="99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76"/>
      <c r="B138" s="99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7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7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7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7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7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7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7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7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7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7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7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7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7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7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7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7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7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7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7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7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7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7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7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7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7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7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7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7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7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7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7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7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7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7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7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7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7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7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7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7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7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7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7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7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7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7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7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7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7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7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7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7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7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7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7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7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7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7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7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7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7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7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7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7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9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7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9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7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7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7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7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7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7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7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7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7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7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7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7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7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7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7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7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7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7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7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7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7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7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7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7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7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7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7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7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7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7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7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7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8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7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8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7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7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7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9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7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9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7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7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7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7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7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7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7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7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7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7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7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7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7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7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7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7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7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7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7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7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7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7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7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7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7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7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7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7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7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7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7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7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7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7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7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7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7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7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7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7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7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7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7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7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7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7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7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7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7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7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7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7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7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7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7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7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7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7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7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7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7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7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7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7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8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7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8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7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7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7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7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7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7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7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7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7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7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7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7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7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7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7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7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7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7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7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7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7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7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7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7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7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7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7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7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7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7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7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7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7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7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8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7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8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7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7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7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7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7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7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97" t="s">
        <v>133</v>
      </c>
      <c r="J420" s="99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7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7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7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7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7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7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7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7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7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7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7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7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7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7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7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7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7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7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7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7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7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7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7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7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7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7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7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7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7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7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7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7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7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7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7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7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7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7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7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7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7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7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7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7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7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7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7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7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7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7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7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7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7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7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7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7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7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7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8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7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8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7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7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7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9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7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9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7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9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7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9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7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9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7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7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7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7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7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7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7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7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7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7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7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7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7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7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7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7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7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7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7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7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7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7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7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7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7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7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7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7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7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7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7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7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7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7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7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7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7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7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7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7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7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7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7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7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7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7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7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7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7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7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7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7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7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7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7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7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7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7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7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7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7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7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7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7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7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7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7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7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7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7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7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7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7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7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7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7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8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7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8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7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7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7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7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7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7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7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7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7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7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7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7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7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7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7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7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7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7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7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7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7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7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7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7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7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7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7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7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7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7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7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7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7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7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7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7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7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7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7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7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7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7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7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7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8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7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8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7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7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9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7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9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7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7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7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7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7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7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7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7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7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7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7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7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7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7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7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7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7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7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7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7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7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7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7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7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7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7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7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7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7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8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7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8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7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7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7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7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7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7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7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7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7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7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7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7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7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7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7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7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7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7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7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7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7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7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7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7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7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7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7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7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9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7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9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7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7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7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7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7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7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7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7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7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7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7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7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7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7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7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7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7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8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7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8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7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7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7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7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7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7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7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7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7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7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7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7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7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7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7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7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0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0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7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7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7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7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7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7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7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7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7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7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7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7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7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7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7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7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7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7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7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7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7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7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7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7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7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7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7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7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7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7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7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7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7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7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7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7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7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7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7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7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7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7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7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7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7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7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7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7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7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7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7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7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7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7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7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7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7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7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7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7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7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7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7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7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7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7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7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7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7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7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7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7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7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7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7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7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7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7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7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7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7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7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7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7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7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7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7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7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7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7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7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7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7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7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7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7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7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7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7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7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7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7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7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7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7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7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7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7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7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7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7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7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7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7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7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7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7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7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7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7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7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7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7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7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7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7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7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7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7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7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7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7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7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7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7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7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7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7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7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7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7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7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7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7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7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0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0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7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7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7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7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7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7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7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7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7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7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7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7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7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7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7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7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7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7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7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7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7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7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7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7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8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7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8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7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7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7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7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7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7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7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7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7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7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7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7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7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7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7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7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7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7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7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7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7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7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7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7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7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7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7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7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7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7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7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7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7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7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7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7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7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7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7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7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8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7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8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7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7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7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7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7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7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7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7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7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7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7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7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7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7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7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7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7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7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7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7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7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7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7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7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7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7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7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7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7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7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7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7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7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7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7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7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7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7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7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7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7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7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7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7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7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7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7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7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7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7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7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7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7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7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7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7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7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7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7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7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7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7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7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7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7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7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7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7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7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7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7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7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7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7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7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7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7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7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7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7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7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7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7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7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7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7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7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7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7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7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7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7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7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7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7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7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7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7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7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7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7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7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7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7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7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7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7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7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7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7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7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7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7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7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7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7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7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7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7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7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7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7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7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7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7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7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7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7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7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7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7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7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7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7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7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7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7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7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7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7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7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7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7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7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7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7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7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7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7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7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7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7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7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7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7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7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7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7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7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7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7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7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7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7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7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7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7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7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7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7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7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7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7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7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7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7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7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7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7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7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7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7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7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7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7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7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7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7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7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7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7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7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7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7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7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7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7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7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7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7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7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8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7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8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7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7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7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7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7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7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7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7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7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7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7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7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7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7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7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7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7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7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7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7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7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7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7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7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7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7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7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7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7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7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7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7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7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7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7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7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7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7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7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7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7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7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7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7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7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7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7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7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7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7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7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7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7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7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7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8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7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8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7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7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7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7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7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7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7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7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7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7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7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7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7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7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7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8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7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8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7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8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7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8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7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7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7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7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7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7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7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7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7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8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7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8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7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7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7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7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7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7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7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7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7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7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7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7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7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7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7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7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7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7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7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7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7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7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7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7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7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8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7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8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7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7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7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7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7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7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7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7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7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7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7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7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7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7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7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7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7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7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7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7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7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7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7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7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7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7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7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7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7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7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7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7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7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7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7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7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7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7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7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7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7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7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7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7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8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7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8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7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7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7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7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7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7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7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7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7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7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7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7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7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7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7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7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7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7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7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7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7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7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7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7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7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7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7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7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7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7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7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7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7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7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7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7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7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7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7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7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7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7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7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7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7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7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7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7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7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7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7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7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7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7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7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7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7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7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7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7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7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7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7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7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7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7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7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7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7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7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7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7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7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7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7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7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8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7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8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7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7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7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7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7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7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7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7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7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7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7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7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7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7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7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7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7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7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7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7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7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7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7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7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7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7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7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7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7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7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7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7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7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7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7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7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7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7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8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7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8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7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7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7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7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7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7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7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7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7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7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7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7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7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7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7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7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7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7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7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7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7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7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7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7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8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7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8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7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8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7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7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7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7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7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7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7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7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7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7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7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7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7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7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7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7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7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7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7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7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7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7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7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7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7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7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7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7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7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7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7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7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7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7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7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7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7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7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7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7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7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7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7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7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7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8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7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8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7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7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7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7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7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7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7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7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7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7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7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7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7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7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7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7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7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7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7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7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8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7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8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7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7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7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7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7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7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7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7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7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7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7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7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7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7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7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7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7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7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7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7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7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7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8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7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8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7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7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7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7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7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7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7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7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7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7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7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7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7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7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7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7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7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7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7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7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7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7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7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7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7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7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7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7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7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7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7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7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7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7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7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7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7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7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7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7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7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7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7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7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7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7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7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7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7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7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7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7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7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7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7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7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7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7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7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7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7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7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7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7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7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7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7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7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8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7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8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7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7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7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7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7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7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7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7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7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7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8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7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8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7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7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7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7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7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7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7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7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7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7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7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7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7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7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7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7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7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7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7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7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7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7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7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7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7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7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7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7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7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7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7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7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7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7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7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7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7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7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7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7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7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7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7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7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7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7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7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7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7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7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7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7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7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7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7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7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7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7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7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7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7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7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7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7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7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7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7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7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7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7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7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7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7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7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7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7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7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7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7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7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7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8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0" t="s">
        <v>467</v>
      </c>
      <c r="H2160" s="414" t="s">
        <v>515</v>
      </c>
      <c r="I2160" s="415" t="s">
        <v>516</v>
      </c>
      <c r="J2160" s="99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8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0"/>
      <c r="H2161" s="421" t="s">
        <v>515</v>
      </c>
      <c r="I2161" s="422" t="s">
        <v>516</v>
      </c>
      <c r="J2161" s="99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8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0"/>
      <c r="H2162" s="429" t="s">
        <v>515</v>
      </c>
      <c r="I2162" s="430" t="s">
        <v>516</v>
      </c>
      <c r="J2162" s="99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8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0" t="s">
        <v>467</v>
      </c>
      <c r="H2165" s="414" t="s">
        <v>516</v>
      </c>
      <c r="I2165" s="415" t="s">
        <v>516</v>
      </c>
      <c r="J2165" s="99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8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0"/>
      <c r="H2166" s="429" t="s">
        <v>516</v>
      </c>
      <c r="I2166" s="430" t="s">
        <v>516</v>
      </c>
      <c r="J2166" s="99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7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7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7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7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7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7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7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7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7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7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7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7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8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7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8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7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7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7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7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7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7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7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7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8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7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8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7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8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7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8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7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7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7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7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7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7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7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7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7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7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7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7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7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7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7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7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7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7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7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7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7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7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7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7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7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7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7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7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7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7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7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7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7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7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7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7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7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7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7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7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7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7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7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7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7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7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7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7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7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7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7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7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7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7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7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7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7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7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7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7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7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7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7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7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7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7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7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7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7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7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7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7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7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7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7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7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7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7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7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7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7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7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7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7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7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7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7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7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7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7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7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7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7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7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7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7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7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7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7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7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7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7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7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7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7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7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7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7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7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7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7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7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7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7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7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7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7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7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7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7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7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7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7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7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7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7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7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7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7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7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7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7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7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7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7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7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7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7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7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7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7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7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7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7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7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7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7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7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7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7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7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7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7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7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7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7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7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7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7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7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7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7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7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7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7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7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7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7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7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7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7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7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7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7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7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7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7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7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7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7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7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7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7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7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7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7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7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7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7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7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7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7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7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7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7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7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7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7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7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7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7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7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7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7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7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7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7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7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7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8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8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8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8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7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7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7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8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7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8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7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7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7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7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7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7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7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7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7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7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7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7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7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7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7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8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8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7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7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7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7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7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7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7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7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7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7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7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7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7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7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7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7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7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7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7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7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7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7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7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7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7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7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7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7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7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7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7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7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7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7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7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7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7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7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7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7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7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7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7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7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7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7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7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7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7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7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7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7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7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8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8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7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7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7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7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7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7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7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7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7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7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7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7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7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7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7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7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7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7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7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7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7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7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7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7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7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7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7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7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7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7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7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7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7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7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7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7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7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7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7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7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7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7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7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7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7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7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7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7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7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7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7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7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7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7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7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7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7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7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7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7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7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7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7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7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7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7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7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7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7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7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7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7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7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7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7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7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7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7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7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8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7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8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7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7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7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8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7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8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7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7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7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7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7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7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7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7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7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7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7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7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7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7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7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7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7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7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7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7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7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7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7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7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7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7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7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7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7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7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7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7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7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7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7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7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7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7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7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7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7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7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8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7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8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7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7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7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7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7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7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7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8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7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8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7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7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7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7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7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7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7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7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7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7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7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7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7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7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7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7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7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7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7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7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7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7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7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8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8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7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7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7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7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7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7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7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7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7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7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7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7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7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7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7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7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7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7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7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7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7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7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7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7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7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7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7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7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7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7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7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7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7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7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7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7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7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7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7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7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7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7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7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7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7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7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7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7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7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7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7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7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7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7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7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7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7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7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7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7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7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7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7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7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7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7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7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7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7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7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7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7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7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7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7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7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7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7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7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7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7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7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7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7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7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7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7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7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7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7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7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7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7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7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7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7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7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7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7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7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7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7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7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7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7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7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7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7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7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7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7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7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7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7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7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7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7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7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7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7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7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7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7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7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7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7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7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7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7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7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7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7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7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7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7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7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7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7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7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7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7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7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7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7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7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8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7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8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7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8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7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8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7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7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7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7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7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7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7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7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7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7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7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7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7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7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7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7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7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7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7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7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7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7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7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7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7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7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7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7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7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7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7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7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7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7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7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7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7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7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7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8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8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8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8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8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8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7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7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7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7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7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7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7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7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7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7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7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7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7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7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7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7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7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7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7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7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7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7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7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7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7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7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7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7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7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7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7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7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7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7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7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7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7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7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7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7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7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7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7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7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7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7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7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7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7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7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7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7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7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7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7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7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7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7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7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7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7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7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7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7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7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7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7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7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7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7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7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7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7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7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7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7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7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7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7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7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7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7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7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7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7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7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7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7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7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7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7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8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8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7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7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7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7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7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7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7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7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7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7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8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7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8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7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7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7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7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7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7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7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8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7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8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7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7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7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7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7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7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7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7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7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7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7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7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7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7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7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7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7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7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7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7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7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7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7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8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8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8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7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7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7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7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7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7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7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7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7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7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7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7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7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7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7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7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7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7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7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7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7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7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7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7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7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7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7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7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7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7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7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7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7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7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7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7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7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7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7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7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7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7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7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7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7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7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7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7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7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7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7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7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7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7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7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7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7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7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7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7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7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7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7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7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7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7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7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7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4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4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4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4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4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4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4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4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4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4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4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7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4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4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7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4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4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4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4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4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4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4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4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4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4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4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4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4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4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4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4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4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4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7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4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4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4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4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4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4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4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7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4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4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4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4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7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4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4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4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4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4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4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4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4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4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4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4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4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4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4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4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4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4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4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4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4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4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4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4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4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4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4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4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4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4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4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4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4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4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4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4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4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4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4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4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4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4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4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4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4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4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4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4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7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4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4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4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4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4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4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4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4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4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4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4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4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4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4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4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4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4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4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7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4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4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4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4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4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4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4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6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7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7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4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4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4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4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4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4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4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4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4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4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4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4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4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4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4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4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4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4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4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4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4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4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4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4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4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4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4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4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6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4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4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4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4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4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4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4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4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4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4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4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4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4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4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4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4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4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4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4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4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4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4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4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4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4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4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4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4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4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4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4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4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4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4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4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4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4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4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4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4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4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4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4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4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4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4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4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4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4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4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4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4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4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4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4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4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4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4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4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4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4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4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4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4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4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4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4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4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6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6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4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4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4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4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4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4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4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4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4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4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4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4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4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4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4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4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4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4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4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4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4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4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4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4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4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4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4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4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4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4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4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4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4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4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4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4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4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4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4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4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4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4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4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4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4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4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4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4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4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4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4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4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4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4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4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4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4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4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4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4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4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4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4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4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4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4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4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4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4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4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4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4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4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4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4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4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4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4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4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4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4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4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4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4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4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4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4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4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4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4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4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4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4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4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4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4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4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4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4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4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4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4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4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4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4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4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4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4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6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4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4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4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4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4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4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4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4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4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4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4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4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4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4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4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4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4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4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4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4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4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4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4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4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4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4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4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4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4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4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4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4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4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4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4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4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4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4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4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4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4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4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4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4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4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4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4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4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4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4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4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4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4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4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4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4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4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4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4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4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4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4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4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4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4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4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4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4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4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4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4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4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4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4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4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4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4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4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4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4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4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4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4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4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4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4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4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4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4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4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4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4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4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4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4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4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4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4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4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4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4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4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4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4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4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4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4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4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4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4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4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4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4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4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4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4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4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4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4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4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4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4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4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4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6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6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4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4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4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4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4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4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4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4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4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4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4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4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4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4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4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4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4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4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4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4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4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4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4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4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4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4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4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4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4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4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4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4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4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4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4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4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4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4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4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4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4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4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4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4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4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4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4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6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4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4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4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4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4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4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4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4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4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4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4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4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4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4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4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4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4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4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4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4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4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4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4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4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4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4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4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4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4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4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4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4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4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4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4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4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4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4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4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4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4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4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4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4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4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4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4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4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4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4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4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4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4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4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4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4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4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4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4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4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4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4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4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4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4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4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4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4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4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4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4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4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4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4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4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4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4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4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4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4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4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4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4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4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4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4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4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4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4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4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4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4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4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4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4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4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4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4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4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4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4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4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4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4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4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4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4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4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4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4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4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4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4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4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4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4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4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4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4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4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4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4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4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4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4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4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4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6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4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4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4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4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4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4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4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4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4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4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4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6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4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4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4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4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4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4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4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4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4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4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4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4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4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4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4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4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4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4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4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4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4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4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4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4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4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4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4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4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4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4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4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4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4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4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4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4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4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4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4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4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4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4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4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4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4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4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4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4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4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4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4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4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4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4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4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4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4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4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4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4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4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4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4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4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4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4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4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4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4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4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4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4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4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4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4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4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4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4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4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4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4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4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4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4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4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4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4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4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4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4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4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4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4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4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4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4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4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4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6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4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4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4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4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4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4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4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4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4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4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4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4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4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4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4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4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4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4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4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4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4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4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4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4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4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4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4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4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4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4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4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4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4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4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4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4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4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4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4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6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6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6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4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4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4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4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4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4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4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4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4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4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4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4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4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4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4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4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4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4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4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4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4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4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4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4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4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4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4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4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4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4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4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4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4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4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4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4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4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4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4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4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4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4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4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4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4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4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4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4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4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4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4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4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4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4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4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4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4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4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4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4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4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4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4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4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4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4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4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4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4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4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4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4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4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4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4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4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4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4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4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4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4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4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4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4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4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4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4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6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6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6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4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4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4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4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4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4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4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4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4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4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4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4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4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4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4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4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4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4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4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4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4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4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4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4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4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4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4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4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4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4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4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4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4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4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4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4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4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4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4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4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4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4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4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4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4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4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4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4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4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4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4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5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5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5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4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4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5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5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5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5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5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5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5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4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6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6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1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1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6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6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4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4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4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4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4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4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6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4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6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4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4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4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4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4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4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4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4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4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4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4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4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4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4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4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4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4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4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4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4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4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4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4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4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4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4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4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4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6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6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5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4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4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4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4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4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4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4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5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5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4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1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1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4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5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5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4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4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5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5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4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1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4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5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5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4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1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4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4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4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4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5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5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5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5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4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6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4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6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5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5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4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4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4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4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4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4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4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6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7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5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5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5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5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5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5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4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4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4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4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4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4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4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4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5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5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4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1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1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4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5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4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4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4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5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5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4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1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1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5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5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4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1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1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5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5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4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4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4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4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4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1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1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1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4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4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4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4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4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4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4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4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4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4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1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1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4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4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4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4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1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4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4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1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1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1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4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4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1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1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1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1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4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5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5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4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4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5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5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5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4" t="s">
        <v>1633</v>
      </c>
      <c r="H6861" s="483" t="s">
        <v>1795</v>
      </c>
      <c r="I6861" s="484" t="s">
        <v>1795</v>
      </c>
      <c r="J6861" s="485"/>
      <c r="K6861" s="483" t="str">
        <f t="shared" ref="K6861:K689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5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4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4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4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4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4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1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4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5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5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4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6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4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6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4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4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4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4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3">
        <f>MAX(A6821:A6882)+1</f>
        <v>4289</v>
      </c>
      <c r="B6883" s="924" t="s">
        <v>1795</v>
      </c>
      <c r="C6883" s="925" t="s">
        <v>32</v>
      </c>
      <c r="D6883" s="926">
        <v>17.8</v>
      </c>
      <c r="E6883" s="927" t="s">
        <v>1496</v>
      </c>
      <c r="F6883" s="928" t="s">
        <v>16</v>
      </c>
      <c r="G6883" s="757"/>
      <c r="H6883" s="928" t="s">
        <v>1835</v>
      </c>
      <c r="I6883" s="929" t="s">
        <v>1496</v>
      </c>
      <c r="J6883" s="930"/>
      <c r="K6883" s="928" t="str">
        <f t="shared" si="206"/>
        <v>тмена</v>
      </c>
      <c r="L6883" s="928" t="s">
        <v>266</v>
      </c>
      <c r="M6883" s="928">
        <v>17807.399999999998</v>
      </c>
      <c r="N6883" s="931">
        <v>0.41666666666666669</v>
      </c>
      <c r="O6883" s="921"/>
      <c r="P6883" s="922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8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8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8" t="s">
        <v>1876</v>
      </c>
      <c r="P6886" s="867" t="s">
        <v>1917</v>
      </c>
    </row>
    <row r="6887" spans="1:18" ht="19.5" hidden="1" thickBot="1" x14ac:dyDescent="0.3">
      <c r="A6887" s="94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9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8" t="s">
        <v>1877</v>
      </c>
      <c r="P6887" s="867" t="s">
        <v>1921</v>
      </c>
    </row>
    <row r="6888" spans="1:18" ht="19.5" hidden="1" thickBot="1" x14ac:dyDescent="0.3">
      <c r="A6888" s="94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2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8" t="s">
        <v>1910</v>
      </c>
      <c r="P6888" s="867" t="s">
        <v>1922</v>
      </c>
    </row>
    <row r="6889" spans="1:18" ht="19.5" hidden="1" thickBot="1" x14ac:dyDescent="0.3">
      <c r="A6889" s="94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900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8" t="s">
        <v>1878</v>
      </c>
      <c r="P6889" s="867" t="s">
        <v>1954</v>
      </c>
    </row>
    <row r="6890" spans="1:18" ht="19.5" hidden="1" thickBot="1" x14ac:dyDescent="0.3">
      <c r="A6890" s="94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3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8" t="s">
        <v>1911</v>
      </c>
      <c r="P6890" s="867" t="s">
        <v>1955</v>
      </c>
    </row>
    <row r="6891" spans="1:18" ht="19.5" hidden="1" thickBot="1" x14ac:dyDescent="0.3">
      <c r="A6891" s="94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8" t="s">
        <v>1889</v>
      </c>
      <c r="P6891" s="867" t="s">
        <v>1919</v>
      </c>
    </row>
    <row r="6892" spans="1:18" ht="19.5" hidden="1" thickBot="1" x14ac:dyDescent="0.3">
      <c r="A6892" s="94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2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8" t="s">
        <v>1899</v>
      </c>
      <c r="P6892" s="867" t="s">
        <v>1920</v>
      </c>
    </row>
    <row r="6893" spans="1:18" ht="19.5" hidden="1" thickBot="1" x14ac:dyDescent="0.3">
      <c r="A6893" s="94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900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8" t="s">
        <v>1893</v>
      </c>
      <c r="P6893" s="867" t="s">
        <v>1957</v>
      </c>
    </row>
    <row r="6894" spans="1:18" ht="19.5" hidden="1" thickBot="1" x14ac:dyDescent="0.3">
      <c r="A6894" s="95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4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8" t="s">
        <v>1925</v>
      </c>
      <c r="P6894" s="867" t="s">
        <v>1959</v>
      </c>
    </row>
    <row r="6895" spans="1:18" ht="19.5" hidden="1" thickBot="1" x14ac:dyDescent="0.3">
      <c r="A6895" s="94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5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8" t="s">
        <v>1924</v>
      </c>
      <c r="P6895" s="867" t="s">
        <v>1958</v>
      </c>
    </row>
    <row r="6896" spans="1:18" x14ac:dyDescent="0.25">
      <c r="A6896" s="94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1"/>
      <c r="L6896" s="535" t="s">
        <v>265</v>
      </c>
      <c r="M6896" s="535">
        <v>17627.53</v>
      </c>
      <c r="N6896" s="539">
        <v>0.375</v>
      </c>
      <c r="O6896" s="898" t="s">
        <v>1894</v>
      </c>
      <c r="P6896" s="867" t="s">
        <v>1965</v>
      </c>
      <c r="Q6896" s="847" t="s">
        <v>1968</v>
      </c>
      <c r="R6896" s="833" t="s">
        <v>1969</v>
      </c>
    </row>
    <row r="6897" spans="1:17" x14ac:dyDescent="0.25">
      <c r="A6897" s="101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6"/>
      <c r="L6897" s="839" t="s">
        <v>265</v>
      </c>
      <c r="M6897" s="839">
        <v>960</v>
      </c>
      <c r="N6897" s="598">
        <v>0.375</v>
      </c>
      <c r="O6897" s="898" t="s">
        <v>1946</v>
      </c>
      <c r="P6897" s="867" t="s">
        <v>1966</v>
      </c>
    </row>
    <row r="6898" spans="1:17" ht="19.5" thickBot="1" x14ac:dyDescent="0.3">
      <c r="A6898" s="94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48"/>
      <c r="L6898" s="801" t="s">
        <v>265</v>
      </c>
      <c r="M6898" s="801">
        <v>2310</v>
      </c>
      <c r="N6898" s="804">
        <v>0.375</v>
      </c>
      <c r="O6898" s="898" t="s">
        <v>1943</v>
      </c>
      <c r="P6898" s="867" t="s">
        <v>1967</v>
      </c>
    </row>
    <row r="6899" spans="1:17" x14ac:dyDescent="0.25">
      <c r="A6899" s="95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79"/>
      <c r="L6899" s="483" t="s">
        <v>265</v>
      </c>
      <c r="M6899" s="483">
        <v>17619.18</v>
      </c>
      <c r="N6899" s="486">
        <v>0.41666666666666669</v>
      </c>
      <c r="O6899" s="898" t="s">
        <v>1895</v>
      </c>
      <c r="P6899" s="867" t="s">
        <v>1970</v>
      </c>
      <c r="Q6899" s="847" t="s">
        <v>1973</v>
      </c>
    </row>
    <row r="6900" spans="1:17" x14ac:dyDescent="0.25">
      <c r="A6900" s="101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896"/>
      <c r="L6900" s="795" t="s">
        <v>265</v>
      </c>
      <c r="M6900" s="795">
        <v>1110</v>
      </c>
      <c r="N6900" s="502">
        <v>0.41666666666666669</v>
      </c>
      <c r="O6900" s="898" t="s">
        <v>1947</v>
      </c>
      <c r="P6900" s="867" t="s">
        <v>1971</v>
      </c>
    </row>
    <row r="6901" spans="1:17" ht="19.5" thickBot="1" x14ac:dyDescent="0.3">
      <c r="A6901" s="95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87"/>
      <c r="L6901" s="808" t="s">
        <v>265</v>
      </c>
      <c r="M6901" s="808">
        <v>2220</v>
      </c>
      <c r="N6901" s="778">
        <v>0.41666666666666669</v>
      </c>
      <c r="O6901" s="898" t="s">
        <v>1944</v>
      </c>
      <c r="P6901" s="867" t="s">
        <v>1972</v>
      </c>
    </row>
    <row r="6902" spans="1:17" ht="56.25" x14ac:dyDescent="0.25">
      <c r="A6902" s="94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3"/>
      <c r="L6902" s="567" t="s">
        <v>28</v>
      </c>
      <c r="M6902" s="567">
        <v>517.43999999999994</v>
      </c>
      <c r="N6902" s="571">
        <v>0.45833333333333331</v>
      </c>
      <c r="O6902" s="898" t="s">
        <v>1897</v>
      </c>
      <c r="P6902" s="867" t="s">
        <v>1974</v>
      </c>
    </row>
    <row r="6903" spans="1:17" x14ac:dyDescent="0.25">
      <c r="A6903" s="96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3"/>
      <c r="L6903" s="567" t="s">
        <v>28</v>
      </c>
      <c r="M6903" s="567">
        <v>10718.320000000002</v>
      </c>
      <c r="N6903" s="571">
        <v>0.45833333333333331</v>
      </c>
      <c r="O6903" s="898" t="s">
        <v>1898</v>
      </c>
      <c r="P6903" s="867" t="s">
        <v>1975</v>
      </c>
    </row>
    <row r="6904" spans="1:17" x14ac:dyDescent="0.25">
      <c r="A6904" s="96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3"/>
      <c r="L6904" s="567" t="s">
        <v>28</v>
      </c>
      <c r="M6904" s="567">
        <v>6721.67</v>
      </c>
      <c r="N6904" s="571">
        <v>0.45833333333333331</v>
      </c>
      <c r="O6904" s="898" t="s">
        <v>1896</v>
      </c>
      <c r="P6904" s="867" t="s">
        <v>1976</v>
      </c>
    </row>
    <row r="6905" spans="1:17" ht="19.5" thickBot="1" x14ac:dyDescent="0.3">
      <c r="A6905" s="96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6"/>
      <c r="L6905" s="839" t="s">
        <v>28</v>
      </c>
      <c r="M6905" s="839">
        <v>3005.04</v>
      </c>
      <c r="N6905" s="598">
        <v>0.45833333333333331</v>
      </c>
      <c r="O6905" s="898" t="s">
        <v>1942</v>
      </c>
      <c r="P6905" s="867" t="s">
        <v>1977</v>
      </c>
    </row>
    <row r="6906" spans="1:17" ht="19.5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4"/>
      <c r="L6906" s="518" t="s">
        <v>265</v>
      </c>
      <c r="M6906" s="518">
        <v>13753.279999999999</v>
      </c>
      <c r="N6906" s="522">
        <v>0.375</v>
      </c>
      <c r="O6906" s="898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4"/>
      <c r="L6907" s="508" t="s">
        <v>266</v>
      </c>
      <c r="M6907" s="508">
        <v>11680.56</v>
      </c>
      <c r="N6907" s="512">
        <v>0.41666666666666669</v>
      </c>
      <c r="O6907" s="898" t="s">
        <v>1901</v>
      </c>
    </row>
    <row r="6908" spans="1:17" x14ac:dyDescent="0.25">
      <c r="A6908" s="94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79"/>
      <c r="L6908" s="483" t="s">
        <v>266</v>
      </c>
      <c r="M6908" s="483">
        <v>5061.3999999999996</v>
      </c>
      <c r="N6908" s="486">
        <v>0.5</v>
      </c>
      <c r="O6908" s="898" t="s">
        <v>1907</v>
      </c>
      <c r="P6908" s="867" t="s">
        <v>1978</v>
      </c>
      <c r="Q6908" s="901"/>
    </row>
    <row r="6909" spans="1:17" x14ac:dyDescent="0.25">
      <c r="A6909" s="95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3"/>
      <c r="L6909" s="527" t="s">
        <v>266</v>
      </c>
      <c r="M6909" s="527">
        <v>6174.7400000000007</v>
      </c>
      <c r="N6909" s="530">
        <v>0.5</v>
      </c>
      <c r="O6909" s="898" t="s">
        <v>1904</v>
      </c>
      <c r="P6909" s="867" t="s">
        <v>1979</v>
      </c>
      <c r="Q6909" s="901"/>
    </row>
    <row r="6910" spans="1:17" x14ac:dyDescent="0.25">
      <c r="A6910" s="959"/>
      <c r="B6910" s="912" t="s">
        <v>1864</v>
      </c>
      <c r="C6910" s="913" t="s">
        <v>41</v>
      </c>
      <c r="D6910" s="914">
        <v>5</v>
      </c>
      <c r="E6910" s="915" t="s">
        <v>1496</v>
      </c>
      <c r="F6910" s="916" t="s">
        <v>16</v>
      </c>
      <c r="G6910" s="917" t="s">
        <v>845</v>
      </c>
      <c r="H6910" s="916" t="s">
        <v>1892</v>
      </c>
      <c r="I6910" s="918" t="s">
        <v>1496</v>
      </c>
      <c r="J6910" s="919"/>
      <c r="K6910" s="912"/>
      <c r="L6910" s="916" t="s">
        <v>266</v>
      </c>
      <c r="M6910" s="916">
        <v>5007.5999999999995</v>
      </c>
      <c r="N6910" s="920">
        <v>0.5</v>
      </c>
      <c r="O6910" s="921" t="s">
        <v>1906</v>
      </c>
      <c r="P6910" s="922" t="s">
        <v>1024</v>
      </c>
      <c r="Q6910" s="901"/>
    </row>
    <row r="6911" spans="1:17" ht="19.5" thickBot="1" x14ac:dyDescent="0.3">
      <c r="A6911" s="94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5"/>
      <c r="L6911" s="649" t="s">
        <v>266</v>
      </c>
      <c r="M6911" s="649">
        <v>7059.08</v>
      </c>
      <c r="N6911" s="653">
        <v>0.5</v>
      </c>
      <c r="O6911" s="898" t="s">
        <v>1905</v>
      </c>
      <c r="P6911" s="867" t="s">
        <v>1980</v>
      </c>
      <c r="Q6911" s="901"/>
    </row>
    <row r="6912" spans="1:17" ht="37.5" x14ac:dyDescent="0.25">
      <c r="A6912" s="1022">
        <f>MAX(A6843:A6911)+1</f>
        <v>4303</v>
      </c>
      <c r="B6912" s="750" t="s">
        <v>1864</v>
      </c>
      <c r="C6912" s="751" t="s">
        <v>23</v>
      </c>
      <c r="D6912" s="752">
        <v>5</v>
      </c>
      <c r="E6912" s="753"/>
      <c r="F6912" s="754" t="s">
        <v>16</v>
      </c>
      <c r="G6912" s="932" t="s">
        <v>1900</v>
      </c>
      <c r="H6912" s="754" t="s">
        <v>1892</v>
      </c>
      <c r="I6912" s="933"/>
      <c r="J6912" s="755"/>
      <c r="K6912" s="750"/>
      <c r="L6912" s="754" t="s">
        <v>28</v>
      </c>
      <c r="M6912" s="754">
        <v>5007.5999999999995</v>
      </c>
      <c r="N6912" s="756">
        <v>0.58333333333333337</v>
      </c>
      <c r="O6912" s="921" t="s">
        <v>1908</v>
      </c>
      <c r="P6912" s="922" t="s">
        <v>1024</v>
      </c>
    </row>
    <row r="6913" spans="1:17" ht="38.25" thickBot="1" x14ac:dyDescent="0.3">
      <c r="A6913" s="1023"/>
      <c r="B6913" s="934" t="s">
        <v>1864</v>
      </c>
      <c r="C6913" s="935" t="s">
        <v>23</v>
      </c>
      <c r="D6913" s="936">
        <v>5</v>
      </c>
      <c r="E6913" s="937"/>
      <c r="F6913" s="938" t="s">
        <v>16</v>
      </c>
      <c r="G6913" s="939" t="s">
        <v>1900</v>
      </c>
      <c r="H6913" s="938" t="s">
        <v>1892</v>
      </c>
      <c r="I6913" s="940"/>
      <c r="J6913" s="941"/>
      <c r="K6913" s="934"/>
      <c r="L6913" s="938" t="s">
        <v>28</v>
      </c>
      <c r="M6913" s="938">
        <v>5007.5999999999995</v>
      </c>
      <c r="N6913" s="942">
        <v>0.58333333333333337</v>
      </c>
      <c r="O6913" s="921" t="s">
        <v>1909</v>
      </c>
      <c r="P6913" s="922" t="s">
        <v>1024</v>
      </c>
    </row>
    <row r="6914" spans="1:17" ht="19.5" thickBot="1" x14ac:dyDescent="0.3">
      <c r="A6914" s="513">
        <f>MAX(A6845:A6913)+1</f>
        <v>4304</v>
      </c>
      <c r="B6914" s="514" t="s">
        <v>1864</v>
      </c>
      <c r="C6914" s="515" t="s">
        <v>32</v>
      </c>
      <c r="D6914" s="516">
        <v>17.8</v>
      </c>
      <c r="E6914" s="517"/>
      <c r="F6914" s="518" t="s">
        <v>16</v>
      </c>
      <c r="G6914" s="519"/>
      <c r="H6914" s="518" t="s">
        <v>1892</v>
      </c>
      <c r="I6914" s="520"/>
      <c r="J6914" s="521"/>
      <c r="K6914" s="514"/>
      <c r="L6914" s="518" t="s">
        <v>266</v>
      </c>
      <c r="M6914" s="518">
        <v>17807.399999999998</v>
      </c>
      <c r="N6914" s="522">
        <v>0.54166666666666663</v>
      </c>
      <c r="O6914" s="898" t="s">
        <v>1912</v>
      </c>
      <c r="P6914" s="867" t="s">
        <v>1984</v>
      </c>
    </row>
    <row r="6915" spans="1:17" x14ac:dyDescent="0.25">
      <c r="A6915" s="94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1"/>
      <c r="L6915" s="535" t="s">
        <v>265</v>
      </c>
      <c r="M6915" s="535">
        <v>14972.180000000002</v>
      </c>
      <c r="N6915" s="539">
        <v>0.375</v>
      </c>
      <c r="O6915" s="898" t="s">
        <v>1913</v>
      </c>
      <c r="P6915" s="867" t="s">
        <v>1960</v>
      </c>
    </row>
    <row r="6916" spans="1:17" x14ac:dyDescent="0.25">
      <c r="A6916" s="960"/>
      <c r="B6916" s="906" t="s">
        <v>1903</v>
      </c>
      <c r="C6916" s="907" t="s">
        <v>26</v>
      </c>
      <c r="D6916" s="908">
        <v>0.7</v>
      </c>
      <c r="E6916" s="908">
        <v>0.71899999999999997</v>
      </c>
      <c r="F6916" s="909" t="s">
        <v>16</v>
      </c>
      <c r="G6916" s="910" t="s">
        <v>76</v>
      </c>
      <c r="H6916" s="909" t="s">
        <v>1903</v>
      </c>
      <c r="I6916" s="909" t="s">
        <v>1903</v>
      </c>
      <c r="J6916" s="911"/>
      <c r="K6916" s="906"/>
      <c r="L6916" s="909" t="s">
        <v>265</v>
      </c>
      <c r="M6916" s="909">
        <v>720</v>
      </c>
      <c r="N6916" s="571">
        <v>0.375</v>
      </c>
      <c r="O6916" s="898" t="s">
        <v>1949</v>
      </c>
      <c r="P6916" s="867" t="s">
        <v>1961</v>
      </c>
    </row>
    <row r="6917" spans="1:17" x14ac:dyDescent="0.25">
      <c r="A6917" s="960"/>
      <c r="B6917" s="906" t="s">
        <v>1903</v>
      </c>
      <c r="C6917" s="907" t="s">
        <v>26</v>
      </c>
      <c r="D6917" s="908">
        <v>3.1</v>
      </c>
      <c r="E6917" s="908">
        <v>2.7789999999999999</v>
      </c>
      <c r="F6917" s="909" t="s">
        <v>16</v>
      </c>
      <c r="G6917" s="910" t="s">
        <v>76</v>
      </c>
      <c r="H6917" s="909" t="s">
        <v>1903</v>
      </c>
      <c r="I6917" s="909" t="s">
        <v>1903</v>
      </c>
      <c r="J6917" s="911"/>
      <c r="K6917" s="906"/>
      <c r="L6917" s="909" t="s">
        <v>265</v>
      </c>
      <c r="M6917" s="909">
        <v>3120</v>
      </c>
      <c r="N6917" s="571">
        <v>0.375</v>
      </c>
      <c r="O6917" s="898" t="s">
        <v>1950</v>
      </c>
      <c r="P6917" s="867" t="s">
        <v>1962</v>
      </c>
    </row>
    <row r="6918" spans="1:17" x14ac:dyDescent="0.25">
      <c r="A6918" s="96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3"/>
      <c r="L6918" s="567" t="s">
        <v>265</v>
      </c>
      <c r="M6918" s="567">
        <v>2490.54</v>
      </c>
      <c r="N6918" s="571">
        <v>0.375</v>
      </c>
      <c r="O6918" s="898" t="s">
        <v>1916</v>
      </c>
      <c r="P6918" s="867" t="s">
        <v>1963</v>
      </c>
    </row>
    <row r="6919" spans="1:17" ht="19.5" thickBot="1" x14ac:dyDescent="0.3">
      <c r="A6919" s="94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36"/>
      <c r="L6919" s="640" t="s">
        <v>265</v>
      </c>
      <c r="M6919" s="640">
        <v>57.12</v>
      </c>
      <c r="N6919" s="644">
        <v>0.375</v>
      </c>
      <c r="O6919" s="898" t="s">
        <v>1914</v>
      </c>
      <c r="P6919" s="867" t="s">
        <v>1964</v>
      </c>
    </row>
    <row r="6920" spans="1:17" x14ac:dyDescent="0.25">
      <c r="A6920" s="94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900"/>
      <c r="H6920" s="483" t="s">
        <v>1903</v>
      </c>
      <c r="I6920" s="484" t="s">
        <v>1903</v>
      </c>
      <c r="J6920" s="485"/>
      <c r="K6920" s="479"/>
      <c r="L6920" s="483" t="s">
        <v>28</v>
      </c>
      <c r="M6920" s="483">
        <v>17697.579999999998</v>
      </c>
      <c r="N6920" s="486">
        <v>0.41666666666666669</v>
      </c>
      <c r="O6920" s="898" t="s">
        <v>1915</v>
      </c>
      <c r="P6920" s="867" t="s">
        <v>1981</v>
      </c>
    </row>
    <row r="6921" spans="1:17" x14ac:dyDescent="0.25">
      <c r="A6921" s="95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4" t="s">
        <v>76</v>
      </c>
      <c r="H6921" s="795" t="s">
        <v>1903</v>
      </c>
      <c r="I6921" s="795" t="s">
        <v>1903</v>
      </c>
      <c r="J6921" s="797"/>
      <c r="K6921" s="896"/>
      <c r="L6921" s="795" t="s">
        <v>28</v>
      </c>
      <c r="M6921" s="795">
        <v>2011.7999999999997</v>
      </c>
      <c r="N6921" s="502">
        <v>0.41666666666666669</v>
      </c>
      <c r="O6921" s="898" t="s">
        <v>1953</v>
      </c>
      <c r="P6921" s="867" t="s">
        <v>1982</v>
      </c>
    </row>
    <row r="6922" spans="1:17" ht="19.5" thickBot="1" x14ac:dyDescent="0.3">
      <c r="A6922" s="94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3" t="s">
        <v>76</v>
      </c>
      <c r="H6922" s="808" t="s">
        <v>1903</v>
      </c>
      <c r="I6922" s="808" t="s">
        <v>1903</v>
      </c>
      <c r="J6922" s="810"/>
      <c r="K6922" s="887"/>
      <c r="L6922" s="808" t="s">
        <v>28</v>
      </c>
      <c r="M6922" s="808">
        <v>1009.2</v>
      </c>
      <c r="N6922" s="778">
        <v>0.41666666666666669</v>
      </c>
      <c r="O6922" s="898" t="s">
        <v>1948</v>
      </c>
      <c r="P6922" s="867" t="s">
        <v>1983</v>
      </c>
    </row>
    <row r="6923" spans="1:17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/>
      <c r="F6923" s="508" t="s">
        <v>30</v>
      </c>
      <c r="G6923" s="509"/>
      <c r="H6923" s="508" t="s">
        <v>1926</v>
      </c>
      <c r="I6923" s="510"/>
      <c r="J6923" s="511"/>
      <c r="K6923" s="504"/>
      <c r="L6923" s="508" t="s">
        <v>265</v>
      </c>
      <c r="M6923" s="508">
        <v>14951.8</v>
      </c>
      <c r="N6923" s="512">
        <v>0.375</v>
      </c>
      <c r="O6923" s="898" t="s">
        <v>1927</v>
      </c>
    </row>
    <row r="6924" spans="1:17" x14ac:dyDescent="0.25">
      <c r="A6924" s="94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/>
      <c r="F6924" s="483" t="s">
        <v>16</v>
      </c>
      <c r="G6924" s="900"/>
      <c r="H6924" s="483" t="s">
        <v>1926</v>
      </c>
      <c r="I6924" s="484"/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8" t="s">
        <v>1929</v>
      </c>
    </row>
    <row r="6925" spans="1:17" ht="19.5" thickBot="1" x14ac:dyDescent="0.3">
      <c r="A6925" s="947"/>
      <c r="B6925" s="805" t="s">
        <v>1903</v>
      </c>
      <c r="C6925" s="806" t="s">
        <v>26</v>
      </c>
      <c r="D6925" s="807">
        <v>3.85</v>
      </c>
      <c r="E6925" s="807"/>
      <c r="F6925" s="808" t="s">
        <v>16</v>
      </c>
      <c r="G6925" s="903" t="s">
        <v>76</v>
      </c>
      <c r="H6925" s="808" t="s">
        <v>1926</v>
      </c>
      <c r="I6925" s="808"/>
      <c r="J6925" s="810"/>
      <c r="K6925" s="887"/>
      <c r="L6925" s="808" t="s">
        <v>265</v>
      </c>
      <c r="M6925" s="808">
        <v>3870</v>
      </c>
      <c r="N6925" s="778">
        <v>0.375</v>
      </c>
      <c r="O6925" s="898" t="s">
        <v>1951</v>
      </c>
    </row>
    <row r="6926" spans="1:17" x14ac:dyDescent="0.25">
      <c r="A6926" s="94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/>
      <c r="F6926" s="535" t="s">
        <v>16</v>
      </c>
      <c r="G6926" s="899"/>
      <c r="H6926" s="535" t="s">
        <v>1926</v>
      </c>
      <c r="I6926" s="537"/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8" t="s">
        <v>1933</v>
      </c>
    </row>
    <row r="6927" spans="1:17" ht="19.5" thickBot="1" x14ac:dyDescent="0.3">
      <c r="A6927" s="945"/>
      <c r="B6927" s="798" t="s">
        <v>1903</v>
      </c>
      <c r="C6927" s="799" t="s">
        <v>26</v>
      </c>
      <c r="D6927" s="800">
        <v>3.7</v>
      </c>
      <c r="E6927" s="800"/>
      <c r="F6927" s="801" t="s">
        <v>16</v>
      </c>
      <c r="G6927" s="943" t="s">
        <v>76</v>
      </c>
      <c r="H6927" s="801" t="s">
        <v>1926</v>
      </c>
      <c r="I6927" s="801"/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8" t="s">
        <v>1952</v>
      </c>
    </row>
    <row r="6928" spans="1:17" x14ac:dyDescent="0.25">
      <c r="A6928" s="94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/>
      <c r="F6928" s="483" t="s">
        <v>16</v>
      </c>
      <c r="G6928" s="549"/>
      <c r="H6928" s="483" t="s">
        <v>1926</v>
      </c>
      <c r="I6928" s="484"/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8" t="s">
        <v>1937</v>
      </c>
      <c r="P6928" s="867">
        <v>6289177</v>
      </c>
      <c r="Q6928" s="847">
        <v>-1164</v>
      </c>
    </row>
    <row r="6929" spans="1:17" x14ac:dyDescent="0.25">
      <c r="A6929" s="959"/>
      <c r="B6929" s="769" t="s">
        <v>1891</v>
      </c>
      <c r="C6929" s="764" t="s">
        <v>913</v>
      </c>
      <c r="D6929" s="765">
        <v>2.2989999999999999</v>
      </c>
      <c r="E6929" s="766"/>
      <c r="F6929" s="763" t="s">
        <v>16</v>
      </c>
      <c r="G6929" s="767"/>
      <c r="H6929" s="763" t="s">
        <v>1926</v>
      </c>
      <c r="I6929" s="768"/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8" t="s">
        <v>1936</v>
      </c>
      <c r="P6929" s="867">
        <v>6289226</v>
      </c>
      <c r="Q6929" s="847">
        <v>-163</v>
      </c>
    </row>
    <row r="6930" spans="1:17" x14ac:dyDescent="0.25">
      <c r="A6930" s="959"/>
      <c r="B6930" s="769" t="s">
        <v>1891</v>
      </c>
      <c r="C6930" s="764" t="s">
        <v>23</v>
      </c>
      <c r="D6930" s="765">
        <v>9.0180000000000007</v>
      </c>
      <c r="E6930" s="766"/>
      <c r="F6930" s="763" t="s">
        <v>16</v>
      </c>
      <c r="G6930" s="767"/>
      <c r="H6930" s="763" t="s">
        <v>1926</v>
      </c>
      <c r="I6930" s="768"/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8" t="s">
        <v>1935</v>
      </c>
      <c r="P6930" s="867">
        <v>6289154</v>
      </c>
      <c r="Q6930" s="847">
        <v>-1153</v>
      </c>
    </row>
    <row r="6931" spans="1:17" ht="19.5" thickBot="1" x14ac:dyDescent="0.3">
      <c r="A6931" s="947"/>
      <c r="B6931" s="841" t="s">
        <v>1926</v>
      </c>
      <c r="C6931" s="842" t="s">
        <v>23</v>
      </c>
      <c r="D6931" s="843">
        <v>2.48</v>
      </c>
      <c r="E6931" s="843"/>
      <c r="F6931" s="844" t="s">
        <v>16</v>
      </c>
      <c r="G6931" s="851" t="s">
        <v>76</v>
      </c>
      <c r="H6931" s="844" t="s">
        <v>1926</v>
      </c>
      <c r="I6931" s="844"/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8" t="s">
        <v>1990</v>
      </c>
    </row>
    <row r="6932" spans="1:17" x14ac:dyDescent="0.25">
      <c r="A6932" s="94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0" t="s">
        <v>1634</v>
      </c>
      <c r="H6932" s="535" t="s">
        <v>1926</v>
      </c>
      <c r="I6932" s="537"/>
      <c r="J6932" s="538"/>
      <c r="K6932" s="531"/>
      <c r="L6932" s="535" t="s">
        <v>28</v>
      </c>
      <c r="M6932" s="535">
        <v>17161.580000000002</v>
      </c>
      <c r="N6932" s="539">
        <v>0.5</v>
      </c>
      <c r="O6932" s="898" t="s">
        <v>1938</v>
      </c>
      <c r="P6932" s="867">
        <v>6289250</v>
      </c>
      <c r="Q6932" s="847">
        <v>-2083</v>
      </c>
    </row>
    <row r="6933" spans="1:17" ht="19.5" thickBot="1" x14ac:dyDescent="0.3">
      <c r="A6933" s="945"/>
      <c r="B6933" s="785" t="s">
        <v>1926</v>
      </c>
      <c r="C6933" s="786" t="s">
        <v>23</v>
      </c>
      <c r="D6933" s="787">
        <v>2.08</v>
      </c>
      <c r="E6933" s="787"/>
      <c r="F6933" s="788" t="s">
        <v>16</v>
      </c>
      <c r="G6933" s="951"/>
      <c r="H6933" s="788" t="s">
        <v>1926</v>
      </c>
      <c r="I6933" s="788"/>
      <c r="J6933" s="790"/>
      <c r="K6933" s="877"/>
      <c r="L6933" s="788" t="s">
        <v>28</v>
      </c>
      <c r="M6933" s="788">
        <v>2100</v>
      </c>
      <c r="N6933" s="784">
        <v>0.5</v>
      </c>
      <c r="O6933" s="898" t="s">
        <v>1989</v>
      </c>
    </row>
    <row r="6934" spans="1:17" x14ac:dyDescent="0.25">
      <c r="A6934" s="946">
        <f>MAX(A6857:A6933)+1</f>
        <v>4312</v>
      </c>
      <c r="B6934" s="523" t="s">
        <v>1891</v>
      </c>
      <c r="C6934" s="524" t="s">
        <v>587</v>
      </c>
      <c r="D6934" s="525">
        <v>3.03</v>
      </c>
      <c r="E6934" s="526"/>
      <c r="F6934" s="527" t="s">
        <v>30</v>
      </c>
      <c r="G6934" s="561" t="s">
        <v>23</v>
      </c>
      <c r="H6934" s="527" t="s">
        <v>1926</v>
      </c>
      <c r="I6934" s="528"/>
      <c r="J6934" s="529"/>
      <c r="K6934" s="523"/>
      <c r="L6934" s="527" t="s">
        <v>28</v>
      </c>
      <c r="M6934" s="527">
        <v>3030.72</v>
      </c>
      <c r="N6934" s="530">
        <v>0.41666666666666669</v>
      </c>
      <c r="O6934" s="898" t="s">
        <v>1931</v>
      </c>
    </row>
    <row r="6935" spans="1:17" ht="19.5" thickBot="1" x14ac:dyDescent="0.3">
      <c r="A6935" s="947"/>
      <c r="B6935" s="645" t="s">
        <v>1891</v>
      </c>
      <c r="C6935" s="646" t="s">
        <v>23</v>
      </c>
      <c r="D6935" s="647">
        <v>8.9640000000000004</v>
      </c>
      <c r="E6935" s="648"/>
      <c r="F6935" s="649" t="s">
        <v>30</v>
      </c>
      <c r="G6935" s="650"/>
      <c r="H6935" s="649" t="s">
        <v>1926</v>
      </c>
      <c r="I6935" s="651"/>
      <c r="J6935" s="652"/>
      <c r="K6935" s="645"/>
      <c r="L6935" s="649" t="s">
        <v>28</v>
      </c>
      <c r="M6935" s="649">
        <v>8964.840000000002</v>
      </c>
      <c r="N6935" s="653">
        <v>0.41666666666666669</v>
      </c>
      <c r="O6935" s="898" t="s">
        <v>1930</v>
      </c>
    </row>
    <row r="6936" spans="1:17" ht="19.5" thickBot="1" x14ac:dyDescent="0.3">
      <c r="A6936" s="503">
        <f>MAX(A6858:A6935)+1</f>
        <v>4313</v>
      </c>
      <c r="B6936" s="636" t="s">
        <v>1891</v>
      </c>
      <c r="C6936" s="637" t="s">
        <v>32</v>
      </c>
      <c r="D6936" s="638">
        <v>17.8</v>
      </c>
      <c r="E6936" s="639"/>
      <c r="F6936" s="640" t="s">
        <v>16</v>
      </c>
      <c r="G6936" s="641"/>
      <c r="H6936" s="640" t="s">
        <v>1926</v>
      </c>
      <c r="I6936" s="642"/>
      <c r="J6936" s="643"/>
      <c r="K6936" s="636"/>
      <c r="L6936" s="640" t="s">
        <v>266</v>
      </c>
      <c r="M6936" s="640">
        <v>17807.399999999998</v>
      </c>
      <c r="N6936" s="644">
        <v>0.58333333333333337</v>
      </c>
      <c r="O6936" s="898" t="s">
        <v>1945</v>
      </c>
    </row>
    <row r="6937" spans="1:17" x14ac:dyDescent="0.25">
      <c r="A6937" s="946">
        <f>MAX(A6859:A6936)+1</f>
        <v>4314</v>
      </c>
      <c r="B6937" s="610" t="s">
        <v>1891</v>
      </c>
      <c r="C6937" s="480" t="s">
        <v>26</v>
      </c>
      <c r="D6937" s="481">
        <v>17.48</v>
      </c>
      <c r="E6937" s="482"/>
      <c r="F6937" s="483" t="s">
        <v>16</v>
      </c>
      <c r="G6937" s="900"/>
      <c r="H6937" s="483" t="s">
        <v>1928</v>
      </c>
      <c r="I6937" s="484"/>
      <c r="J6937" s="485"/>
      <c r="K6937" s="479"/>
      <c r="L6937" s="483" t="s">
        <v>265</v>
      </c>
      <c r="M6937" s="483">
        <v>17644.68</v>
      </c>
      <c r="N6937" s="486">
        <v>0.375</v>
      </c>
      <c r="O6937" s="898" t="s">
        <v>1932</v>
      </c>
    </row>
    <row r="6938" spans="1:17" ht="19.5" thickBot="1" x14ac:dyDescent="0.3">
      <c r="A6938" s="947"/>
      <c r="B6938" s="805" t="s">
        <v>1926</v>
      </c>
      <c r="C6938" s="806" t="s">
        <v>26</v>
      </c>
      <c r="D6938" s="807">
        <v>3.52</v>
      </c>
      <c r="E6938" s="807"/>
      <c r="F6938" s="808" t="s">
        <v>16</v>
      </c>
      <c r="G6938" s="903" t="s">
        <v>76</v>
      </c>
      <c r="H6938" s="808" t="s">
        <v>1928</v>
      </c>
      <c r="I6938" s="808"/>
      <c r="J6938" s="810"/>
      <c r="K6938" s="887"/>
      <c r="L6938" s="808" t="s">
        <v>265</v>
      </c>
      <c r="M6938" s="808">
        <v>3555</v>
      </c>
      <c r="N6938" s="778">
        <v>0.375</v>
      </c>
      <c r="P6938" s="867" t="s">
        <v>1985</v>
      </c>
    </row>
    <row r="6939" spans="1:17" x14ac:dyDescent="0.25">
      <c r="A6939" s="944">
        <f>MAX(A6860:A6937)+1</f>
        <v>4315</v>
      </c>
      <c r="B6939" s="759" t="s">
        <v>1891</v>
      </c>
      <c r="C6939" s="532" t="s">
        <v>26</v>
      </c>
      <c r="D6939" s="533">
        <v>17.454999999999998</v>
      </c>
      <c r="E6939" s="534"/>
      <c r="F6939" s="535" t="s">
        <v>16</v>
      </c>
      <c r="G6939" s="899"/>
      <c r="H6939" s="535" t="s">
        <v>1928</v>
      </c>
      <c r="I6939" s="537"/>
      <c r="J6939" s="538"/>
      <c r="K6939" s="563"/>
      <c r="L6939" s="567" t="s">
        <v>265</v>
      </c>
      <c r="M6939" s="567">
        <v>17646.919999999998</v>
      </c>
      <c r="N6939" s="571">
        <v>0.41666666666666669</v>
      </c>
      <c r="O6939" s="898" t="s">
        <v>1934</v>
      </c>
    </row>
    <row r="6940" spans="1:17" ht="19.5" thickBot="1" x14ac:dyDescent="0.3">
      <c r="A6940" s="945"/>
      <c r="B6940" s="798" t="s">
        <v>1926</v>
      </c>
      <c r="C6940" s="799" t="s">
        <v>26</v>
      </c>
      <c r="D6940" s="800">
        <v>3.5</v>
      </c>
      <c r="E6940" s="800"/>
      <c r="F6940" s="801" t="s">
        <v>16</v>
      </c>
      <c r="G6940" s="943" t="s">
        <v>76</v>
      </c>
      <c r="H6940" s="801" t="s">
        <v>1928</v>
      </c>
      <c r="I6940" s="801"/>
      <c r="J6940" s="803"/>
      <c r="K6940" s="848"/>
      <c r="L6940" s="801" t="s">
        <v>265</v>
      </c>
      <c r="M6940" s="801">
        <v>3540</v>
      </c>
      <c r="N6940" s="804">
        <v>0.41666666666666669</v>
      </c>
      <c r="P6940" s="867" t="s">
        <v>1985</v>
      </c>
    </row>
    <row r="6941" spans="1:17" x14ac:dyDescent="0.25">
      <c r="A6941" s="952">
        <f>MAX(A6861:A6939)+1</f>
        <v>4316</v>
      </c>
      <c r="B6941" s="610" t="s">
        <v>1891</v>
      </c>
      <c r="C6941" s="480" t="s">
        <v>15</v>
      </c>
      <c r="D6941" s="481">
        <v>6.5579999999999998</v>
      </c>
      <c r="E6941" s="482"/>
      <c r="F6941" s="483" t="s">
        <v>16</v>
      </c>
      <c r="G6941" s="1014" t="s">
        <v>1724</v>
      </c>
      <c r="H6941" s="483" t="s">
        <v>1928</v>
      </c>
      <c r="I6941" s="484"/>
      <c r="J6941" s="485"/>
      <c r="K6941" s="479"/>
      <c r="L6941" s="483" t="s">
        <v>28</v>
      </c>
      <c r="M6941" s="483">
        <v>6694.68</v>
      </c>
      <c r="N6941" s="486">
        <v>0.45833333333333331</v>
      </c>
      <c r="O6941" s="898" t="s">
        <v>1939</v>
      </c>
      <c r="P6941" s="867">
        <v>6289252</v>
      </c>
      <c r="Q6941" s="847">
        <v>-16</v>
      </c>
    </row>
    <row r="6942" spans="1:17" x14ac:dyDescent="0.25">
      <c r="A6942" s="1010"/>
      <c r="B6942" s="769" t="s">
        <v>1891</v>
      </c>
      <c r="C6942" s="764" t="s">
        <v>24</v>
      </c>
      <c r="D6942" s="765">
        <v>9.4920000000000009</v>
      </c>
      <c r="E6942" s="766"/>
      <c r="F6942" s="763" t="s">
        <v>16</v>
      </c>
      <c r="G6942" s="1015"/>
      <c r="H6942" s="763" t="s">
        <v>1928</v>
      </c>
      <c r="I6942" s="768"/>
      <c r="J6942" s="779"/>
      <c r="K6942" s="791"/>
      <c r="L6942" s="763" t="s">
        <v>28</v>
      </c>
      <c r="M6942" s="763">
        <v>9667.34</v>
      </c>
      <c r="N6942" s="770">
        <v>0.45833333333333331</v>
      </c>
      <c r="O6942" s="898" t="s">
        <v>1941</v>
      </c>
      <c r="P6942" s="867">
        <v>6289289</v>
      </c>
      <c r="Q6942" s="847">
        <v>-463</v>
      </c>
    </row>
    <row r="6943" spans="1:17" ht="19.5" thickBot="1" x14ac:dyDescent="0.3">
      <c r="A6943" s="953"/>
      <c r="B6943" s="805" t="s">
        <v>1926</v>
      </c>
      <c r="C6943" s="806" t="s">
        <v>24</v>
      </c>
      <c r="D6943" s="807">
        <v>0.48</v>
      </c>
      <c r="E6943" s="807"/>
      <c r="F6943" s="808" t="s">
        <v>16</v>
      </c>
      <c r="G6943" s="1016"/>
      <c r="H6943" s="808" t="s">
        <v>1928</v>
      </c>
      <c r="I6943" s="808"/>
      <c r="J6943" s="810"/>
      <c r="K6943" s="887"/>
      <c r="L6943" s="808" t="s">
        <v>28</v>
      </c>
      <c r="M6943" s="808">
        <v>486</v>
      </c>
      <c r="N6943" s="778">
        <v>0.45833333333333331</v>
      </c>
      <c r="O6943" s="898" t="s">
        <v>1992</v>
      </c>
    </row>
    <row r="6944" spans="1:17" x14ac:dyDescent="0.25">
      <c r="A6944" s="944">
        <f>MAX(A6863:A6943)+1</f>
        <v>4317</v>
      </c>
      <c r="B6944" s="760" t="s">
        <v>1891</v>
      </c>
      <c r="C6944" s="564" t="s">
        <v>47</v>
      </c>
      <c r="D6944" s="565">
        <v>16.506</v>
      </c>
      <c r="E6944" s="566"/>
      <c r="F6944" s="567" t="s">
        <v>16</v>
      </c>
      <c r="G6944" s="968" t="s">
        <v>1633</v>
      </c>
      <c r="H6944" s="567" t="s">
        <v>1928</v>
      </c>
      <c r="I6944" s="569"/>
      <c r="J6944" s="570"/>
      <c r="K6944" s="563"/>
      <c r="L6944" s="567" t="s">
        <v>28</v>
      </c>
      <c r="M6944" s="567">
        <v>16702.310000000001</v>
      </c>
      <c r="N6944" s="571">
        <v>0.5</v>
      </c>
      <c r="O6944" s="898" t="s">
        <v>1940</v>
      </c>
      <c r="P6944" s="867">
        <v>6289280</v>
      </c>
      <c r="Q6944" s="847">
        <v>-1046</v>
      </c>
    </row>
    <row r="6945" spans="1:15" ht="19.5" thickBot="1" x14ac:dyDescent="0.3">
      <c r="A6945" s="945"/>
      <c r="B6945" s="785" t="s">
        <v>1926</v>
      </c>
      <c r="C6945" s="786" t="s">
        <v>47</v>
      </c>
      <c r="D6945" s="787">
        <v>1.05</v>
      </c>
      <c r="E6945" s="787"/>
      <c r="F6945" s="788" t="s">
        <v>16</v>
      </c>
      <c r="G6945" s="951"/>
      <c r="H6945" s="788" t="s">
        <v>1928</v>
      </c>
      <c r="I6945" s="788"/>
      <c r="J6945" s="790"/>
      <c r="K6945" s="877"/>
      <c r="L6945" s="788" t="s">
        <v>28</v>
      </c>
      <c r="M6945" s="788">
        <v>1053</v>
      </c>
      <c r="N6945" s="784">
        <v>0.5</v>
      </c>
      <c r="O6945" s="898" t="s">
        <v>1991</v>
      </c>
    </row>
    <row r="6946" spans="1:15" x14ac:dyDescent="0.25">
      <c r="A6946" s="946">
        <f>MAX(A6864:A6944)+1</f>
        <v>4318</v>
      </c>
      <c r="B6946" s="479" t="s">
        <v>1926</v>
      </c>
      <c r="C6946" s="480" t="s">
        <v>55</v>
      </c>
      <c r="D6946" s="481">
        <v>2.66</v>
      </c>
      <c r="E6946" s="482"/>
      <c r="F6946" s="483" t="s">
        <v>16</v>
      </c>
      <c r="G6946" s="549" t="s">
        <v>844</v>
      </c>
      <c r="H6946" s="483" t="s">
        <v>1986</v>
      </c>
      <c r="I6946" s="484"/>
      <c r="J6946" s="485"/>
      <c r="K6946" s="479"/>
      <c r="L6946" s="483" t="s">
        <v>266</v>
      </c>
      <c r="M6946" s="483">
        <v>2721.37</v>
      </c>
      <c r="N6946" s="486">
        <v>0.5</v>
      </c>
      <c r="O6946" s="898" t="s">
        <v>1988</v>
      </c>
    </row>
    <row r="6947" spans="1:15" ht="19.5" thickBot="1" x14ac:dyDescent="0.3">
      <c r="A6947" s="947"/>
      <c r="B6947" s="645" t="s">
        <v>1926</v>
      </c>
      <c r="C6947" s="646" t="s">
        <v>55</v>
      </c>
      <c r="D6947" s="647">
        <v>13.019</v>
      </c>
      <c r="E6947" s="648"/>
      <c r="F6947" s="649" t="s">
        <v>16</v>
      </c>
      <c r="G6947" s="650" t="s">
        <v>845</v>
      </c>
      <c r="H6947" s="649" t="s">
        <v>1986</v>
      </c>
      <c r="I6947" s="651"/>
      <c r="J6947" s="652"/>
      <c r="K6947" s="645"/>
      <c r="L6947" s="649" t="s">
        <v>266</v>
      </c>
      <c r="M6947" s="649">
        <v>13142.089999999997</v>
      </c>
      <c r="N6947" s="653">
        <v>0.5</v>
      </c>
      <c r="O6947" s="898" t="s">
        <v>1987</v>
      </c>
    </row>
    <row r="6948" spans="1:15" ht="19.5" thickBot="1" x14ac:dyDescent="0.3">
      <c r="A6948" s="503">
        <f t="shared" ref="A6948:A6955" si="208">MAX(A6866:A6947)+1</f>
        <v>4319</v>
      </c>
      <c r="B6948" s="504" t="s">
        <v>1926</v>
      </c>
      <c r="C6948" s="505" t="s">
        <v>47</v>
      </c>
      <c r="D6948" s="506">
        <v>13.087999999999999</v>
      </c>
      <c r="E6948" s="507"/>
      <c r="F6948" s="508" t="s">
        <v>30</v>
      </c>
      <c r="G6948" s="509"/>
      <c r="H6948" s="508" t="s">
        <v>1986</v>
      </c>
      <c r="I6948" s="510"/>
      <c r="J6948" s="511"/>
      <c r="K6948" s="504"/>
      <c r="L6948" s="508" t="s">
        <v>28</v>
      </c>
      <c r="M6948" s="508">
        <v>13088.68</v>
      </c>
      <c r="N6948" s="512">
        <v>0.41666666666666669</v>
      </c>
      <c r="O6948" s="898" t="s">
        <v>1993</v>
      </c>
    </row>
    <row r="6949" spans="1:15" x14ac:dyDescent="0.25">
      <c r="A6949" s="676">
        <f t="shared" si="208"/>
        <v>4320</v>
      </c>
      <c r="B6949" s="676"/>
      <c r="C6949" s="473"/>
      <c r="D6949" s="474"/>
      <c r="E6949" s="475"/>
      <c r="F6949" s="676"/>
      <c r="G6949" s="476"/>
      <c r="H6949" s="676"/>
      <c r="I6949" s="477"/>
      <c r="J6949" s="478"/>
      <c r="K6949" s="676"/>
      <c r="L6949" s="676"/>
      <c r="M6949" s="676"/>
      <c r="N6949" s="676"/>
    </row>
    <row r="6950" spans="1:15" x14ac:dyDescent="0.25">
      <c r="A6950" s="676">
        <f t="shared" si="208"/>
        <v>4321</v>
      </c>
      <c r="B6950" s="676"/>
      <c r="C6950" s="473"/>
      <c r="D6950" s="474"/>
      <c r="E6950" s="475"/>
      <c r="F6950" s="676"/>
      <c r="G6950" s="476"/>
      <c r="H6950" s="676"/>
      <c r="I6950" s="477"/>
      <c r="J6950" s="478"/>
      <c r="K6950" s="676"/>
      <c r="L6950" s="676"/>
      <c r="M6950" s="676"/>
      <c r="N6950" s="676"/>
    </row>
    <row r="6951" spans="1:15" x14ac:dyDescent="0.25">
      <c r="A6951" s="676">
        <f t="shared" si="208"/>
        <v>4322</v>
      </c>
      <c r="B6951" s="676"/>
      <c r="C6951" s="473"/>
      <c r="D6951" s="474"/>
      <c r="E6951" s="475"/>
      <c r="F6951" s="676"/>
      <c r="G6951" s="476"/>
      <c r="H6951" s="676"/>
      <c r="I6951" s="477"/>
      <c r="J6951" s="478"/>
      <c r="K6951" s="676"/>
      <c r="L6951" s="676"/>
      <c r="M6951" s="676"/>
      <c r="N6951" s="676"/>
    </row>
    <row r="6952" spans="1:15" x14ac:dyDescent="0.25">
      <c r="A6952" s="676">
        <f t="shared" si="208"/>
        <v>4323</v>
      </c>
      <c r="B6952" s="676"/>
      <c r="C6952" s="473"/>
      <c r="D6952" s="474"/>
      <c r="E6952" s="475"/>
      <c r="F6952" s="676"/>
      <c r="G6952" s="476"/>
      <c r="H6952" s="676"/>
      <c r="I6952" s="477"/>
      <c r="J6952" s="478"/>
      <c r="K6952" s="676"/>
      <c r="L6952" s="676"/>
      <c r="M6952" s="676"/>
      <c r="N6952" s="676"/>
    </row>
    <row r="6953" spans="1:15" x14ac:dyDescent="0.25">
      <c r="A6953" s="676">
        <f t="shared" si="208"/>
        <v>4324</v>
      </c>
      <c r="B6953" s="676"/>
      <c r="C6953" s="473"/>
      <c r="D6953" s="474"/>
      <c r="E6953" s="475"/>
      <c r="F6953" s="676"/>
      <c r="G6953" s="476"/>
      <c r="H6953" s="676"/>
      <c r="I6953" s="477"/>
      <c r="J6953" s="478"/>
      <c r="K6953" s="676"/>
      <c r="L6953" s="676"/>
      <c r="M6953" s="676"/>
      <c r="N6953" s="676"/>
    </row>
    <row r="6954" spans="1:15" x14ac:dyDescent="0.25">
      <c r="A6954" s="676">
        <f t="shared" si="208"/>
        <v>4325</v>
      </c>
      <c r="B6954" s="676"/>
      <c r="C6954" s="473"/>
      <c r="D6954" s="474"/>
      <c r="E6954" s="475"/>
      <c r="F6954" s="676"/>
      <c r="G6954" s="476"/>
      <c r="H6954" s="676"/>
      <c r="I6954" s="477"/>
      <c r="J6954" s="478"/>
      <c r="K6954" s="676"/>
      <c r="L6954" s="676"/>
      <c r="M6954" s="676"/>
      <c r="N6954" s="676"/>
    </row>
    <row r="6955" spans="1:15" x14ac:dyDescent="0.25">
      <c r="A6955" s="676">
        <f t="shared" si="208"/>
        <v>4326</v>
      </c>
      <c r="B6955" s="676"/>
      <c r="C6955" s="473"/>
      <c r="D6955" s="474"/>
      <c r="E6955" s="475"/>
      <c r="F6955" s="676"/>
      <c r="G6955" s="476"/>
      <c r="H6955" s="676"/>
      <c r="I6955" s="477"/>
      <c r="J6955" s="478"/>
      <c r="K6955" s="676"/>
      <c r="L6955" s="676"/>
      <c r="M6955" s="676"/>
      <c r="N6955" s="676"/>
    </row>
  </sheetData>
  <autoFilter ref="A2:R6955" xr:uid="{9E4C531E-AD50-422A-AC7C-8C5AF4C19268}">
    <filterColumn colId="10">
      <filters blank="1"/>
    </filterColumn>
  </autoFilter>
  <mergeCells count="1818">
    <mergeCell ref="A6944:A6945"/>
    <mergeCell ref="G6944:G6945"/>
    <mergeCell ref="G6932:G6933"/>
    <mergeCell ref="A6928:A6931"/>
    <mergeCell ref="A6932:A6933"/>
    <mergeCell ref="A6946:A6947"/>
    <mergeCell ref="A6924:A6925"/>
    <mergeCell ref="A6926:A6927"/>
    <mergeCell ref="A6934:A6935"/>
    <mergeCell ref="A6941:A6943"/>
    <mergeCell ref="G6941:G6943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771:A6774"/>
    <mergeCell ref="A6833:A6835"/>
    <mergeCell ref="A6908:A6911"/>
    <mergeCell ref="A6912:A6913"/>
    <mergeCell ref="G6876:G6877"/>
    <mergeCell ref="A6891:A6892"/>
    <mergeCell ref="A6881:A688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861:A6863"/>
    <mergeCell ref="G5549:G5550"/>
    <mergeCell ref="A5549:A5550"/>
    <mergeCell ref="A5595:A5596"/>
    <mergeCell ref="A6836:A6838"/>
    <mergeCell ref="G6718:G672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G6878:G6879"/>
    <mergeCell ref="A6856:A6859"/>
    <mergeCell ref="G6861:G6863"/>
    <mergeCell ref="A6693:A6694"/>
    <mergeCell ref="A6673:A6674"/>
    <mergeCell ref="A6703:A6706"/>
    <mergeCell ref="A5539:A5541"/>
    <mergeCell ref="A5527:A5528"/>
    <mergeCell ref="A5504:A5505"/>
    <mergeCell ref="A5452:A5453"/>
    <mergeCell ref="A6668:A6669"/>
    <mergeCell ref="A5577:A5578"/>
    <mergeCell ref="A6654:A6655"/>
    <mergeCell ref="G5489:G5490"/>
    <mergeCell ref="G5534:G5538"/>
    <mergeCell ref="A5542:A5546"/>
    <mergeCell ref="A5518:A5522"/>
    <mergeCell ref="A5497:A5498"/>
    <mergeCell ref="A5499:A5500"/>
    <mergeCell ref="A6617:A6618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5575:A5576"/>
    <mergeCell ref="A6817:A6821"/>
    <mergeCell ref="A6822:A6828"/>
    <mergeCell ref="A5551:A5552"/>
    <mergeCell ref="A5553:A5555"/>
    <mergeCell ref="A5584:A5587"/>
    <mergeCell ref="A5564:A5565"/>
    <mergeCell ref="A5570:A5572"/>
    <mergeCell ref="A5561:A556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791:A6793"/>
    <mergeCell ref="A6789:A6790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229:A5230"/>
    <mergeCell ref="A5142:A5144"/>
    <mergeCell ref="A5150:A5152"/>
    <mergeCell ref="A5146:A5147"/>
    <mergeCell ref="G5202:G5203"/>
    <mergeCell ref="G5232:G5233"/>
    <mergeCell ref="G5436:G5437"/>
    <mergeCell ref="A5172:A5175"/>
    <mergeCell ref="A5183:A518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2:A5213"/>
    <mergeCell ref="A5321:A5325"/>
    <mergeCell ref="A5270:A5271"/>
    <mergeCell ref="G5408:G5409"/>
    <mergeCell ref="G5275:G5276"/>
    <mergeCell ref="A5326:A5327"/>
    <mergeCell ref="A5196:A5197"/>
    <mergeCell ref="A5188:A5189"/>
    <mergeCell ref="A5176:A5178"/>
    <mergeCell ref="A5385:A5386"/>
    <mergeCell ref="A5387:A5388"/>
    <mergeCell ref="A5199:A5200"/>
    <mergeCell ref="A5298:A5299"/>
    <mergeCell ref="A5342:A5343"/>
    <mergeCell ref="A5348:A5350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5029:A5030"/>
    <mergeCell ref="A5063:A5064"/>
    <mergeCell ref="A5065:A5069"/>
    <mergeCell ref="G5091:G5092"/>
    <mergeCell ref="A5102:A5104"/>
    <mergeCell ref="G5116:G511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A5059:A5060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G5196:G5197"/>
    <mergeCell ref="G5126:G5127"/>
    <mergeCell ref="A5338:A5341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515:A5516"/>
    <mergeCell ref="A5412:A5413"/>
    <mergeCell ref="A5534:A5538"/>
    <mergeCell ref="A6939:A6940"/>
    <mergeCell ref="A6937:A6938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A5140:A5141"/>
    <mergeCell ref="G6604:G6605"/>
    <mergeCell ref="A6608:A6609"/>
    <mergeCell ref="A6589:A6590"/>
    <mergeCell ref="A5331:A5334"/>
    <mergeCell ref="A5234:A523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2026-08-10T15:35:53Z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