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CB2C4C4-DF16-413A-91DF-9805A8C14CFF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Лист1!$A$2:$R$7622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493" i="1" l="1"/>
  <c r="K7494" i="1"/>
  <c r="K7495" i="1"/>
  <c r="K7496" i="1"/>
  <c r="K7497" i="1"/>
  <c r="K7498" i="1"/>
  <c r="K7499" i="1"/>
  <c r="K7492" i="1"/>
  <c r="K7479" i="1" l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78" i="1"/>
  <c r="K7461" i="1" l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31" i="1"/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l="1"/>
  <c r="A7318" i="1" s="1"/>
  <c r="A7321" i="1" s="1"/>
  <c r="A7325" i="1" s="1"/>
  <c r="A7328" i="1" s="1"/>
  <c r="A7330" i="1" s="1"/>
  <c r="A7332" i="1" s="1"/>
  <c r="A7335" i="1" s="1"/>
  <c r="A7337" i="1" l="1"/>
  <c r="A7338" i="1" l="1"/>
  <c r="A7341" i="1" l="1"/>
  <c r="A7343" i="1" l="1"/>
  <c r="A7344" i="1" l="1"/>
  <c r="A7346" i="1" l="1"/>
  <c r="A7348" i="1" l="1"/>
  <c r="A7349" i="1" l="1"/>
  <c r="A7350" i="1" l="1"/>
  <c r="A7351" i="1" l="1"/>
  <c r="A7355" i="1" l="1"/>
  <c r="A7356" i="1" l="1"/>
  <c r="A7357" i="1" l="1"/>
  <c r="A7360" i="1" l="1"/>
  <c r="A7363" i="1" l="1"/>
  <c r="A7364" i="1" l="1"/>
  <c r="A7365" i="1" l="1"/>
  <c r="A7367" i="1" l="1"/>
  <c r="A7370" i="1" l="1"/>
  <c r="A7375" i="1" s="1"/>
  <c r="A7380" i="1" s="1"/>
  <c r="A7381" i="1" l="1"/>
  <c r="A7385" i="1" l="1"/>
  <c r="A7386" i="1" l="1"/>
  <c r="A7389" i="1" l="1"/>
  <c r="A7392" i="1" l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s="1"/>
  <c r="A7451" i="1" s="1"/>
  <c r="A7453" i="1" s="1"/>
  <c r="A7454" i="1" s="1"/>
  <c r="A7457" i="1" s="1"/>
  <c r="A7458" i="1" s="1"/>
  <c r="A7460" i="1" s="1"/>
  <c r="A7461" i="1" s="1"/>
  <c r="A7463" i="1" s="1"/>
  <c r="A7464" i="1" s="1"/>
  <c r="A7465" i="1" s="1"/>
  <c r="A7466" i="1" s="1"/>
  <c r="A7467" i="1" s="1"/>
  <c r="A7469" i="1" s="1"/>
  <c r="A7470" i="1" s="1"/>
  <c r="A7471" i="1" s="1"/>
  <c r="A7472" i="1" s="1"/>
  <c r="A7474" i="1" s="1"/>
  <c r="A7476" i="1" s="1"/>
  <c r="A7478" i="1" s="1"/>
  <c r="A7481" i="1" s="1"/>
  <c r="A7483" i="1" s="1"/>
  <c r="A7486" i="1" s="1"/>
  <c r="A7487" i="1" s="1"/>
  <c r="A7488" i="1" s="1"/>
  <c r="A7491" i="1" s="1"/>
  <c r="A7492" i="1" s="1"/>
  <c r="A7493" i="1" s="1"/>
  <c r="A7494" i="1" s="1"/>
  <c r="A7495" i="1" s="1"/>
  <c r="A7497" i="1" s="1"/>
  <c r="A7498" i="1" s="1"/>
  <c r="A7499" i="1" s="1"/>
  <c r="A7500" i="1" s="1"/>
  <c r="A7501" i="1" s="1"/>
  <c r="A7504" i="1" s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4" i="1" s="1"/>
  <c r="A7526" i="1" s="1"/>
  <c r="A7527" i="1" s="1"/>
  <c r="A7528" i="1" s="1"/>
  <c r="A7529" i="1" s="1"/>
  <c r="A7532" i="1" s="1"/>
  <c r="A7534" i="1" l="1"/>
  <c r="A7536" i="1" s="1"/>
  <c r="A7539" i="1" s="1"/>
  <c r="A7541" i="1" s="1"/>
  <c r="A7542" i="1" s="1"/>
  <c r="A7543" i="1" s="1"/>
  <c r="A7544" i="1" s="1"/>
  <c r="A7545" i="1" s="1"/>
  <c r="A7548" i="1" s="1"/>
  <c r="A7549" i="1" s="1"/>
  <c r="A7551" i="1" s="1"/>
  <c r="A7553" i="1" s="1"/>
  <c r="A7555" i="1" s="1"/>
  <c r="A7556" i="1" s="1"/>
  <c r="A7557" i="1" s="1"/>
  <c r="A7558" i="1" s="1"/>
  <c r="A7559" i="1" s="1"/>
  <c r="A7560" i="1" s="1"/>
  <c r="A7561" i="1" s="1"/>
  <c r="A7563" i="1" s="1"/>
  <c r="A7564" i="1" l="1"/>
  <c r="A7567" i="1" s="1"/>
  <c r="A7568" i="1" s="1"/>
  <c r="A7570" i="1" l="1"/>
  <c r="A7571" i="1" l="1"/>
  <c r="A7576" i="1" s="1"/>
  <c r="A7578" i="1" s="1"/>
  <c r="A7581" i="1" l="1"/>
  <c r="A7582" i="1" l="1"/>
  <c r="A7583" i="1" s="1"/>
  <c r="A7585" i="1" s="1"/>
  <c r="A7590" i="1" l="1"/>
  <c r="A7592" i="1" l="1"/>
  <c r="A7594" i="1" s="1"/>
  <c r="A7597" i="1" l="1"/>
  <c r="A7598" i="1" s="1"/>
  <c r="A7599" i="1" s="1"/>
  <c r="A7600" i="1" s="1"/>
  <c r="A7602" i="1" s="1"/>
  <c r="A7604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l="1"/>
  <c r="A7618" i="1" s="1"/>
  <c r="A7619" i="1" s="1"/>
  <c r="A7620" i="1" s="1"/>
  <c r="A7621" i="1" s="1"/>
  <c r="A7622" i="1" s="1"/>
</calcChain>
</file>

<file path=xl/sharedStrings.xml><?xml version="1.0" encoding="utf-8"?>
<sst xmlns="http://schemas.openxmlformats.org/spreadsheetml/2006/main" count="49746" uniqueCount="3407">
  <si>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</si>
  <si>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</si>
  <si>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</si>
  <si>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</si>
  <si>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</si>
  <si>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</si>
  <si>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</si>
  <si>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</si>
  <si>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</si>
  <si>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</si>
  <si>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</si>
  <si>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</si>
  <si>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</si>
  <si>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</si>
  <si>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</si>
  <si>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</si>
  <si>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</si>
  <si>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</si>
  <si>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</si>
  <si>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</si>
  <si>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</si>
  <si>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</si>
  <si>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</si>
  <si>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</si>
  <si>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</si>
  <si>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</si>
  <si>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</si>
  <si>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</si>
  <si>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</si>
  <si>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</si>
  <si>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</si>
  <si>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</si>
  <si>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</si>
  <si>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</si>
  <si>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</si>
  <si>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</si>
  <si>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</si>
  <si>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</si>
  <si>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</si>
  <si>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</si>
  <si>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</si>
  <si>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</si>
  <si>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</si>
  <si>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</si>
  <si>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</si>
  <si>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</si>
  <si>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</si>
  <si>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</si>
  <si>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</si>
  <si>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</si>
  <si>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</si>
  <si>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</si>
  <si>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</si>
  <si>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</si>
  <si>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</si>
  <si>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</si>
  <si>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</si>
  <si>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</si>
  <si>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</si>
  <si>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</si>
  <si>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</si>
  <si>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</si>
  <si>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</si>
  <si>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</si>
  <si>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</si>
  <si>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</si>
  <si>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</si>
  <si>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</si>
  <si>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</si>
  <si>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</si>
  <si>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</si>
  <si>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</si>
  <si>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</si>
  <si>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</si>
  <si>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</si>
  <si>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</si>
  <si>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</si>
  <si>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</si>
  <si>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</si>
  <si>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</si>
  <si>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</si>
  <si>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</si>
  <si>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</si>
  <si>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</si>
  <si>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</si>
  <si>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</si>
  <si>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</si>
  <si>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</si>
  <si>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</si>
  <si>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</si>
  <si>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</si>
  <si>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</si>
  <si>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</si>
  <si>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</si>
  <si>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</si>
  <si>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</si>
  <si>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</si>
  <si>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</si>
  <si>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</si>
  <si>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</si>
  <si>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</si>
  <si>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</si>
  <si>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</si>
  <si>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</si>
  <si>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</si>
  <si>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</si>
  <si>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</si>
  <si>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</si>
  <si>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</si>
  <si>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</si>
  <si>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</si>
  <si>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</si>
  <si>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</si>
  <si>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</si>
  <si>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</si>
  <si>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</si>
  <si>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</si>
  <si>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</si>
  <si>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</si>
  <si>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</si>
  <si>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</si>
  <si>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</si>
  <si>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</si>
  <si>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</si>
  <si>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</si>
  <si>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</si>
  <si>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</si>
  <si>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</si>
  <si>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</si>
  <si>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</si>
  <si>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</si>
  <si>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</si>
  <si>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</si>
  <si>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</si>
  <si>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</si>
  <si>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</si>
  <si>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</si>
  <si>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</si>
  <si>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</si>
  <si>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</si>
  <si>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</si>
  <si>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</si>
  <si>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</si>
  <si>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</si>
  <si>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</si>
  <si>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</si>
  <si>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</si>
  <si>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</si>
  <si>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</si>
  <si>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</si>
  <si>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</si>
  <si>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</si>
  <si>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</si>
  <si>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</si>
  <si>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</si>
  <si>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</si>
  <si>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</si>
  <si>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</si>
  <si>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</si>
  <si>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</si>
  <si>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</si>
  <si>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</si>
  <si>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</si>
  <si>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</si>
  <si>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</si>
  <si>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</si>
  <si>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</si>
  <si>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</si>
  <si>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</si>
  <si>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</si>
  <si>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</si>
  <si>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</si>
  <si>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</si>
  <si>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</si>
  <si>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</si>
  <si>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</si>
  <si>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</si>
  <si>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</si>
  <si>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</si>
  <si>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</si>
  <si>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</si>
  <si>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</si>
  <si>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</si>
  <si>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</si>
  <si>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</si>
  <si>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</si>
  <si>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</si>
  <si>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</si>
  <si>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</si>
  <si>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</si>
  <si>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</si>
  <si>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</si>
  <si>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</si>
  <si>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</si>
  <si>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</si>
  <si>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</si>
  <si>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</si>
  <si>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</si>
  <si>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</si>
  <si>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</si>
  <si>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</si>
  <si>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</si>
  <si>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</si>
  <si>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</si>
  <si>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</si>
  <si>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</si>
  <si>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</si>
  <si>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</si>
  <si>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</si>
  <si>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</si>
  <si>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</si>
  <si>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</si>
  <si>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</si>
  <si>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</si>
  <si>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</si>
  <si>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</si>
  <si>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</si>
  <si>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</si>
  <si>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</si>
  <si>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</si>
  <si>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</si>
  <si>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</si>
  <si>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</si>
  <si>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</si>
  <si>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</si>
  <si>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</si>
  <si>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</si>
  <si>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</si>
  <si>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</si>
  <si>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</si>
  <si>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</si>
  <si>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</si>
  <si>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</si>
  <si>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</si>
  <si>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</si>
  <si>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</si>
  <si>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</si>
  <si>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</si>
  <si>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</si>
  <si>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</si>
  <si>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</si>
  <si>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</si>
  <si>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</si>
  <si>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</si>
  <si>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</si>
  <si>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</si>
  <si>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</si>
  <si>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</si>
  <si>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</si>
  <si>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</si>
  <si>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</si>
  <si>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</si>
  <si>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</si>
  <si>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</si>
  <si>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</si>
  <si>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</si>
  <si>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</si>
  <si>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</si>
  <si>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</si>
  <si>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</si>
  <si>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</si>
  <si>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</si>
  <si>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</si>
  <si>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</si>
  <si>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</si>
  <si>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</si>
  <si>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</si>
  <si>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</si>
  <si>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</si>
  <si>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</si>
  <si>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</si>
  <si>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</si>
  <si>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</si>
  <si>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</si>
  <si>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</si>
  <si>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</si>
  <si>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</si>
  <si>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</si>
  <si>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</si>
  <si>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</si>
  <si>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</si>
  <si>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</si>
  <si>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</si>
  <si>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</si>
  <si>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</si>
  <si>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</si>
  <si>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</si>
  <si>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</si>
  <si>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</si>
  <si>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</si>
  <si>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</si>
  <si>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</si>
  <si>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</si>
  <si>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</si>
  <si>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</si>
  <si>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</si>
  <si>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</si>
  <si>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</si>
  <si>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</si>
  <si>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</si>
  <si>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</si>
  <si>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</si>
  <si>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</si>
  <si>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</si>
  <si>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</si>
  <si>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</si>
  <si>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</si>
  <si>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</si>
  <si>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</si>
  <si>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</si>
  <si>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</si>
  <si>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</si>
  <si>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</si>
  <si>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</si>
  <si>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</si>
  <si>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</si>
  <si>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</si>
  <si>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</si>
  <si>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</si>
  <si>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</si>
  <si>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</si>
  <si>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</si>
  <si>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</si>
  <si>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</si>
  <si>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</si>
  <si>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</si>
  <si>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</si>
  <si>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</si>
  <si>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</si>
  <si>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</si>
  <si>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</si>
  <si>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</si>
  <si>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</si>
  <si>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</si>
  <si>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</si>
  <si>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</si>
  <si>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</si>
  <si>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</si>
  <si>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</si>
  <si>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</si>
  <si>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</si>
  <si>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</si>
  <si>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</si>
  <si>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</si>
  <si>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</si>
  <si>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</si>
  <si>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</si>
  <si>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</si>
  <si>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</si>
  <si>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</si>
  <si>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</si>
  <si>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</si>
  <si>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</si>
  <si>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</si>
  <si>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</si>
  <si>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</si>
  <si>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</si>
  <si>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</si>
  <si>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</si>
  <si>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</si>
  <si>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</si>
  <si>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</si>
  <si>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</si>
  <si>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</si>
  <si>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</si>
  <si>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</si>
  <si>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</si>
  <si>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</si>
  <si>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</si>
  <si>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</si>
  <si>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</si>
  <si>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</si>
  <si>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</si>
  <si>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</si>
  <si>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</si>
  <si>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</si>
  <si>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</si>
  <si>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</si>
  <si>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</si>
  <si>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</si>
  <si>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</si>
  <si>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</si>
  <si>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</si>
  <si>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</si>
  <si>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</si>
  <si>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</si>
  <si>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</si>
  <si>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</si>
  <si>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</si>
  <si>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</si>
  <si>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</si>
  <si>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</si>
  <si>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</si>
  <si>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</si>
  <si>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</si>
  <si>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</si>
  <si>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</si>
  <si>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</si>
  <si>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</si>
  <si>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</si>
  <si>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</si>
  <si>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</si>
  <si>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</si>
  <si>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</si>
  <si>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</si>
  <si>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</si>
  <si>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</si>
  <si>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</si>
  <si>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</si>
  <si>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</si>
  <si>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</si>
  <si>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</si>
  <si>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</si>
  <si>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</si>
  <si>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</si>
  <si>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</si>
  <si>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</si>
  <si>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</si>
  <si>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</si>
  <si>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</si>
  <si>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</si>
  <si>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</si>
  <si>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</si>
  <si>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</si>
  <si>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</si>
  <si>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</si>
  <si>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</si>
  <si>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</si>
  <si>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</si>
  <si>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</si>
  <si>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</si>
  <si>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</si>
  <si>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</si>
  <si>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</si>
  <si>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</si>
  <si>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</si>
  <si>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</si>
  <si>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</si>
  <si>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</si>
  <si>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</si>
  <si>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</si>
  <si>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</si>
  <si>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</si>
  <si>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</si>
  <si>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</si>
  <si>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</si>
  <si>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</si>
  <si>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</si>
  <si>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</si>
  <si>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</si>
  <si>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</si>
  <si>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</si>
  <si>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</si>
  <si>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</si>
  <si>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</si>
  <si>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</si>
  <si>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</si>
  <si>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</si>
  <si>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</si>
  <si>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</si>
  <si>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</si>
  <si>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</si>
  <si>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</si>
  <si>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</si>
  <si>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</si>
  <si>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</si>
  <si>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</si>
  <si>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</si>
  <si>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</si>
  <si>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</si>
  <si>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</si>
  <si>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</si>
  <si>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</si>
  <si>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</si>
  <si>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</si>
  <si>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</si>
  <si>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</si>
  <si>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</si>
  <si>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</si>
  <si>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</si>
  <si>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</si>
  <si>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</si>
  <si>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</si>
  <si>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</si>
  <si>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</si>
  <si>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</si>
  <si>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</si>
  <si>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</si>
  <si>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</si>
  <si>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</si>
  <si>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</si>
  <si>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</si>
  <si>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</si>
  <si>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</si>
  <si>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</si>
  <si>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</si>
  <si>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</si>
  <si>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</si>
  <si>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</si>
  <si>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</si>
  <si>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</si>
  <si>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</si>
  <si>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</si>
  <si>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</si>
  <si>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</si>
  <si>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</si>
  <si>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</si>
  <si>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</si>
  <si>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</si>
  <si>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</si>
  <si>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</si>
  <si>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</si>
  <si>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</si>
  <si>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</si>
  <si>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</si>
  <si>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</si>
  <si>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</si>
  <si>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</si>
  <si>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</si>
  <si>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</si>
  <si>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</si>
  <si>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</si>
  <si>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</si>
  <si>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</si>
  <si>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</si>
  <si>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</si>
  <si>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</si>
  <si>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</si>
  <si>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</si>
  <si>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</si>
  <si>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</si>
  <si>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</si>
  <si>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</si>
  <si>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</si>
  <si>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</si>
  <si>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</si>
  <si>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</si>
  <si>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</si>
  <si>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</si>
  <si>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</si>
  <si>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</si>
  <si>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</si>
  <si>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</si>
  <si>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</si>
  <si>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</si>
  <si>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</si>
  <si>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</si>
  <si>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</si>
  <si>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</si>
  <si>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</si>
  <si>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</si>
  <si>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</si>
  <si>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</si>
  <si>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</si>
  <si>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</si>
  <si>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</si>
  <si>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</si>
  <si>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</si>
  <si>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</si>
  <si>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</si>
  <si>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</si>
  <si>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</si>
  <si>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</si>
  <si>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</si>
  <si>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</si>
  <si>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</si>
  <si>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</si>
  <si>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</si>
  <si>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</si>
  <si>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</si>
  <si>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</si>
  <si>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</si>
  <si>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</si>
  <si>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</si>
  <si>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</si>
  <si>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</si>
  <si>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</si>
  <si>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</si>
  <si>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</si>
  <si>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</si>
  <si>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</si>
  <si>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</si>
  <si>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</si>
  <si>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</si>
  <si>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</si>
  <si>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</si>
  <si>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</si>
  <si>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</si>
  <si>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</si>
  <si>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</si>
  <si>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</si>
  <si>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</si>
  <si>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</si>
  <si>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</si>
  <si>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</si>
  <si>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</si>
  <si>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</si>
  <si>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</si>
  <si>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</si>
  <si>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</si>
  <si>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</si>
  <si>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</si>
  <si>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</si>
  <si>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</si>
  <si>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</si>
  <si>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</si>
  <si>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</si>
  <si>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</si>
  <si>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</si>
  <si>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</si>
  <si>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</si>
  <si>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</si>
  <si>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</si>
  <si>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</si>
  <si>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</si>
  <si>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</si>
  <si>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</si>
  <si>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</si>
  <si>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</si>
  <si>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</si>
  <si>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</si>
  <si>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</si>
  <si>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</si>
  <si>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</si>
  <si>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</si>
  <si>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</si>
  <si>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</si>
  <si>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</si>
  <si>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</si>
  <si>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</si>
  <si>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</si>
  <si>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</si>
  <si>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</si>
  <si>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</si>
  <si>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</si>
  <si>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</si>
  <si>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</si>
  <si>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</si>
  <si>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</si>
  <si>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</si>
  <si>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</si>
  <si>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</si>
  <si>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</si>
  <si>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</si>
  <si>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</si>
  <si>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</si>
  <si>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</si>
  <si>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</si>
  <si>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</si>
  <si>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</si>
  <si>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</si>
  <si>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</si>
  <si>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</si>
  <si>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</si>
  <si>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</si>
  <si>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</si>
  <si>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</si>
  <si>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</si>
  <si>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</si>
  <si>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</si>
  <si>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</si>
  <si>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</si>
  <si>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</si>
  <si>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</si>
  <si>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</si>
  <si>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</si>
  <si>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</si>
  <si>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</si>
  <si>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</si>
  <si>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</si>
  <si>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</si>
  <si>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</si>
  <si>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</si>
  <si>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</si>
  <si>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</si>
  <si>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</si>
  <si>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</si>
  <si>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</si>
  <si>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</si>
  <si>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</si>
  <si>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</si>
  <si>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</si>
  <si>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</si>
  <si>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</si>
  <si>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</si>
  <si>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</si>
  <si>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</si>
  <si>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</si>
  <si>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</si>
  <si>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</si>
  <si>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</si>
  <si>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</si>
  <si>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</si>
  <si>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</si>
  <si>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</si>
  <si>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</si>
  <si>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</si>
  <si>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</si>
  <si>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</si>
  <si>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</si>
  <si>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</si>
  <si>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</si>
  <si>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</si>
  <si>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</si>
  <si>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</si>
  <si>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</si>
  <si>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</si>
  <si>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</si>
  <si>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</si>
  <si>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</si>
  <si>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</si>
  <si>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</si>
  <si>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</si>
  <si>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</si>
  <si>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</si>
  <si>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</si>
  <si>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</si>
  <si>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</si>
  <si>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</si>
  <si>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</si>
  <si>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</si>
  <si>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</si>
  <si>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</si>
  <si>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</si>
  <si>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</si>
  <si>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</si>
  <si>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</si>
  <si>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</si>
  <si>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</si>
  <si>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</si>
  <si>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</si>
  <si>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</si>
  <si>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</si>
  <si>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</si>
  <si>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</si>
  <si>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</si>
  <si>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</si>
  <si>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</si>
  <si>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</si>
  <si>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</si>
  <si>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</si>
  <si>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</si>
  <si>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</si>
  <si>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</si>
  <si>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</si>
  <si>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</si>
  <si>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</si>
  <si>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</si>
  <si>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</si>
  <si>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</si>
  <si>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</si>
  <si>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</si>
  <si>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</si>
  <si>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</si>
  <si>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</si>
  <si>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</si>
  <si>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</si>
  <si>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</si>
  <si>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</si>
  <si>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</si>
  <si>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</si>
  <si>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</si>
  <si>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</si>
  <si>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</si>
  <si>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</si>
  <si>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</si>
  <si>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</si>
  <si>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</si>
  <si>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</si>
  <si>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</si>
  <si>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</si>
  <si>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</si>
  <si>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</si>
  <si>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</si>
  <si>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</si>
  <si>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</si>
  <si>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</si>
  <si>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</si>
  <si>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</si>
  <si>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</si>
  <si>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</si>
  <si>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</si>
  <si>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</si>
  <si>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</si>
  <si>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</si>
  <si>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</si>
  <si>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</si>
  <si>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</si>
  <si>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</si>
  <si>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</si>
  <si>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</si>
  <si>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</si>
  <si>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</si>
  <si>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</si>
  <si>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</si>
  <si>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</si>
  <si>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</si>
  <si>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</si>
  <si>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</si>
  <si>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</si>
  <si>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</si>
  <si>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</si>
  <si>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</si>
  <si>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</si>
  <si>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</si>
  <si>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</si>
  <si>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</si>
  <si>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</si>
  <si>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</si>
  <si>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</si>
  <si>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</si>
  <si>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</si>
  <si>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</si>
  <si>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</si>
  <si>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</si>
  <si>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</si>
  <si>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</si>
  <si>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</si>
  <si>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</si>
  <si>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</si>
  <si>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</si>
  <si>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</si>
  <si>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</si>
  <si>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</si>
  <si>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</si>
  <si>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</si>
  <si>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</si>
  <si>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</si>
  <si>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</si>
  <si>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</si>
  <si>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</si>
  <si>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</si>
  <si>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</si>
  <si>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</si>
  <si>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</si>
  <si>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</si>
  <si>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</si>
  <si>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</si>
  <si>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</si>
  <si>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</si>
  <si>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</si>
  <si>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</si>
  <si>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</si>
  <si>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</si>
  <si>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</si>
  <si>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</si>
  <si>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</si>
  <si>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</si>
  <si>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</si>
  <si>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</si>
  <si>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</si>
  <si>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</si>
  <si>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</si>
  <si>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</si>
  <si>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</si>
  <si>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</si>
  <si>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</si>
  <si>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</si>
  <si>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</si>
  <si>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</si>
  <si>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</si>
  <si>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</si>
  <si>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</si>
  <si>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</si>
  <si>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</si>
  <si>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</si>
  <si>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</si>
  <si>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</si>
  <si>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</si>
  <si>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</si>
  <si>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</si>
  <si>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</si>
  <si>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</si>
  <si>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</si>
  <si>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</si>
  <si>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</si>
  <si>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</si>
  <si>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</si>
  <si>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</si>
  <si>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</si>
  <si>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</si>
  <si>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</si>
  <si>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</si>
  <si>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</si>
  <si>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</si>
  <si>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</si>
  <si>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</si>
  <si>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</si>
  <si>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</si>
  <si>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</si>
  <si>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</si>
  <si>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</si>
  <si>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</si>
  <si>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</si>
  <si>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</si>
  <si>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</si>
  <si>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</si>
  <si>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</si>
  <si>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</si>
  <si>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</si>
  <si>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</si>
  <si>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</si>
  <si>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</si>
  <si>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</si>
  <si>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</si>
  <si>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</si>
  <si>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</si>
  <si>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</si>
  <si>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</si>
  <si>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</si>
  <si>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</si>
  <si>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</si>
  <si>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</si>
  <si>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</si>
  <si>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</si>
  <si>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</si>
  <si>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</si>
  <si>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</si>
  <si>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</si>
  <si>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</si>
  <si>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</si>
  <si>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</si>
  <si>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</si>
  <si>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</si>
  <si>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</si>
  <si>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</si>
  <si>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</si>
  <si>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</si>
  <si>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</si>
  <si>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</si>
  <si>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</si>
  <si>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</si>
  <si>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</si>
  <si>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</si>
  <si>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</si>
  <si>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</si>
  <si>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</si>
  <si>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</si>
  <si>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</si>
  <si>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</si>
  <si>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</si>
  <si>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</si>
  <si>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</si>
  <si>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</si>
  <si>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</si>
  <si>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</si>
  <si>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</si>
  <si>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</si>
  <si>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</si>
  <si>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</si>
  <si>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</si>
  <si>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</si>
  <si>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</si>
  <si>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</si>
  <si>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</si>
  <si>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</si>
  <si>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</si>
  <si>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</si>
  <si>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</si>
  <si>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</si>
  <si>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</si>
  <si>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</si>
  <si>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</si>
  <si>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</si>
  <si>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</si>
  <si>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</si>
  <si>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</si>
  <si>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</si>
  <si>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</si>
  <si>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</si>
  <si>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</si>
  <si>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</si>
  <si>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</si>
  <si>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</si>
  <si>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</si>
  <si>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</si>
  <si>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</si>
  <si>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</si>
  <si>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</si>
  <si>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</si>
  <si>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</si>
  <si>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</si>
  <si>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</si>
  <si>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</si>
  <si>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</si>
  <si>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</si>
  <si>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</si>
  <si>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</si>
  <si>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</si>
  <si>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</si>
  <si>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</si>
  <si>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</si>
  <si>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</si>
  <si>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</si>
  <si>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</si>
  <si>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</si>
  <si>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</si>
  <si>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</si>
  <si>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</si>
  <si>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</si>
  <si>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</si>
  <si>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</si>
  <si>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</si>
  <si>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</si>
  <si>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</si>
  <si>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</si>
  <si>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</si>
  <si>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</si>
  <si>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</si>
  <si>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</si>
  <si>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</si>
  <si>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</si>
  <si>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</si>
  <si>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</si>
  <si>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</si>
  <si>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</si>
  <si>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</si>
  <si>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</si>
  <si>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</si>
  <si>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</si>
  <si>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</si>
  <si>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</si>
  <si>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</si>
  <si>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</si>
  <si>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</si>
  <si>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</si>
  <si>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</si>
  <si>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</si>
  <si>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</si>
  <si>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</si>
  <si>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</si>
  <si>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</si>
  <si>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</si>
  <si>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</si>
  <si>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</si>
  <si>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</si>
  <si>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</si>
  <si>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</si>
  <si>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</si>
  <si>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</si>
  <si>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</si>
  <si>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</si>
  <si>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</si>
  <si>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</si>
  <si>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</si>
  <si>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</si>
  <si>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</si>
  <si>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</si>
  <si>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</si>
  <si>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</si>
  <si>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</si>
  <si>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</si>
  <si>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</si>
  <si>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</si>
  <si>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</si>
  <si>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</si>
  <si>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</si>
  <si>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</si>
  <si>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</si>
  <si>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</si>
  <si>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</si>
  <si>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</si>
  <si>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</si>
  <si>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</si>
  <si>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</si>
  <si>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</si>
  <si>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</si>
  <si>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</si>
  <si>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</si>
  <si>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</si>
  <si>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</si>
  <si>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</si>
  <si>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</si>
  <si>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</si>
  <si>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</si>
  <si>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</si>
  <si>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</si>
  <si>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</si>
  <si>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</si>
  <si>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</si>
  <si>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</si>
  <si>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</si>
  <si>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</si>
  <si>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</si>
  <si>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</si>
  <si>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</si>
  <si>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</si>
  <si>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</si>
  <si>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</si>
  <si>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</si>
  <si>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</si>
  <si>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</si>
  <si>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</si>
  <si>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</si>
  <si>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</si>
  <si>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</si>
  <si>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</si>
  <si>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</si>
  <si>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</si>
  <si>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</si>
  <si>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</si>
  <si>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</si>
  <si>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</si>
  <si>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</si>
  <si>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</si>
  <si>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</si>
  <si>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</si>
  <si>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</si>
  <si>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</si>
  <si>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</si>
  <si>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</si>
  <si>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</si>
  <si>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</si>
  <si>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</si>
  <si>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</si>
  <si>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</si>
  <si>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</si>
  <si>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</si>
  <si>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</si>
  <si>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</si>
  <si>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</si>
  <si>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</si>
  <si>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</si>
  <si>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</si>
  <si>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</si>
  <si>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</si>
  <si>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</si>
  <si>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</si>
  <si>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</si>
  <si>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</si>
  <si>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</si>
  <si>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</si>
  <si>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</si>
  <si>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</si>
  <si>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</si>
  <si>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</si>
  <si>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</si>
  <si>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</si>
  <si>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</si>
  <si>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</si>
  <si>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</si>
  <si>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</si>
  <si>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</si>
  <si>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</si>
  <si>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</si>
  <si>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</si>
  <si>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</si>
  <si>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</si>
  <si>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</si>
  <si>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</si>
  <si>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</si>
  <si>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</si>
  <si>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</si>
  <si>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</si>
  <si>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</si>
  <si>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</si>
  <si>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</si>
  <si>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</si>
  <si>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</si>
  <si>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</si>
  <si>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</si>
  <si>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</si>
  <si>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</si>
  <si>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</si>
  <si>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</si>
  <si>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</si>
  <si>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</si>
  <si>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</si>
  <si>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</si>
  <si>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</si>
  <si>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</si>
  <si>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</si>
  <si>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</si>
  <si>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</si>
  <si>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</si>
  <si>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</si>
  <si>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</si>
  <si>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</si>
  <si>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</si>
  <si>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</si>
  <si>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</si>
  <si>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</si>
  <si>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</si>
  <si>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</si>
  <si>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</si>
  <si>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</si>
  <si>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</si>
  <si>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</si>
  <si>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</si>
  <si>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</si>
  <si>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</si>
  <si>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</si>
  <si>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</si>
  <si>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</si>
  <si>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</si>
  <si>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</si>
  <si>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</si>
  <si>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</si>
  <si>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</si>
  <si>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</si>
  <si>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</si>
  <si>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</si>
  <si>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</si>
  <si>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</si>
  <si>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</si>
  <si>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</si>
  <si>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</si>
  <si>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</si>
  <si>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</si>
  <si>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</si>
  <si>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</si>
  <si>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</si>
  <si>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</si>
  <si>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</si>
  <si>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</si>
  <si>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</si>
  <si>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</si>
  <si>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</si>
  <si>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</si>
  <si>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</si>
  <si>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</si>
  <si>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</si>
  <si>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</si>
  <si>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</si>
  <si>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</si>
  <si>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</si>
  <si>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</si>
  <si>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</si>
  <si>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</si>
  <si>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</si>
  <si>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</si>
  <si>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</si>
  <si>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</si>
  <si>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</si>
  <si>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</si>
  <si>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</si>
  <si>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</si>
  <si>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</si>
  <si>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</si>
  <si>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</si>
  <si>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</si>
  <si>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</si>
  <si>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</si>
  <si>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</si>
  <si>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</si>
  <si>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</si>
  <si>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</si>
  <si>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</si>
  <si>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</si>
  <si>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</si>
  <si>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</si>
  <si>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</si>
  <si>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</si>
  <si>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</si>
  <si>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</si>
  <si>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</si>
  <si>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</si>
  <si>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</si>
  <si>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</si>
  <si>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</si>
  <si>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</si>
  <si>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</si>
  <si>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</si>
  <si>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</si>
  <si>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</si>
  <si>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</si>
  <si>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</si>
  <si>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</si>
  <si>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</si>
  <si>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</si>
  <si>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</si>
  <si>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</si>
  <si>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</si>
  <si>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</si>
  <si>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</si>
  <si>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</si>
  <si>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</si>
  <si>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</si>
  <si>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</si>
  <si>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</si>
  <si>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</si>
  <si>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</si>
  <si>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</si>
  <si>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</si>
  <si>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</si>
  <si>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</si>
  <si>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</si>
  <si>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</si>
  <si>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</si>
  <si>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</si>
  <si>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</si>
  <si>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</si>
  <si>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</si>
  <si>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</si>
  <si>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</si>
  <si>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</si>
  <si>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</si>
  <si>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</si>
  <si>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</si>
  <si>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</si>
  <si>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</si>
  <si>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</si>
  <si>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</si>
  <si>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</si>
  <si>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</si>
  <si>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</si>
  <si>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</si>
  <si>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</si>
  <si>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</si>
  <si>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</si>
  <si>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</si>
  <si>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</si>
  <si>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</si>
  <si>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</si>
  <si>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</si>
  <si>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</si>
  <si>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</si>
  <si>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</si>
  <si>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</si>
  <si>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</si>
  <si>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</si>
  <si>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</si>
  <si>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</si>
  <si>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</si>
  <si>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</si>
  <si>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</si>
  <si>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</si>
  <si>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</si>
  <si>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</si>
  <si>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</si>
  <si>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</si>
  <si>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</si>
  <si>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</si>
  <si>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</si>
  <si>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</si>
  <si>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</si>
  <si>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</si>
  <si>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</si>
  <si>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</si>
  <si>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</si>
  <si>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</si>
  <si>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</si>
  <si>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</si>
  <si>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</si>
  <si>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</si>
  <si>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</si>
  <si>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</si>
  <si>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</si>
  <si>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</si>
  <si>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</si>
  <si>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</si>
  <si>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</si>
  <si>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</si>
  <si>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</si>
  <si>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</si>
  <si>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</si>
  <si>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</si>
  <si>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</si>
  <si>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</si>
  <si>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</si>
  <si>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</si>
  <si>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</si>
  <si>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</si>
  <si>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</si>
  <si>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</si>
  <si>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</si>
  <si>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</si>
  <si>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</si>
  <si>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</si>
  <si>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</si>
  <si>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</si>
  <si>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</si>
  <si>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</si>
  <si>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</si>
  <si>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</si>
  <si>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</si>
  <si>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</si>
  <si>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</si>
  <si>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</si>
  <si>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</si>
  <si>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</si>
  <si>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</si>
  <si>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</si>
  <si>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</si>
  <si>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</si>
  <si>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</si>
  <si>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</si>
  <si>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</si>
  <si>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</si>
  <si>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</si>
  <si>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</si>
  <si>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</si>
  <si>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</si>
  <si>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</si>
  <si>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</si>
  <si>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</si>
  <si>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</si>
  <si>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</si>
  <si>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</si>
  <si>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</si>
  <si>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</si>
  <si>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</si>
  <si>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</si>
  <si>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</si>
  <si>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</si>
  <si>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</si>
  <si>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</si>
  <si>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</si>
  <si>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</si>
  <si>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</si>
  <si>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</si>
  <si>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</si>
  <si>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</si>
  <si>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</si>
  <si>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</si>
  <si>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</si>
  <si>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</si>
  <si>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</si>
  <si>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</si>
  <si>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</si>
  <si>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</si>
  <si>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</si>
  <si>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</si>
  <si>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</si>
  <si>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</si>
  <si>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</si>
  <si>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</si>
  <si>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</si>
  <si>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</si>
  <si>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</si>
  <si>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</si>
  <si>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</si>
  <si>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</si>
  <si>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</si>
  <si>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</si>
  <si>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</si>
  <si>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</si>
  <si>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</si>
  <si>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</si>
  <si>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</si>
  <si>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</si>
  <si>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</si>
  <si>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</si>
  <si>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</si>
  <si>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</si>
  <si>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</si>
  <si>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</si>
  <si>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</si>
  <si>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</si>
  <si>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</si>
  <si>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</si>
  <si>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</si>
  <si>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</si>
  <si>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</si>
  <si>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</si>
  <si>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</si>
  <si>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</si>
  <si>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</si>
  <si>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</si>
  <si>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</si>
  <si>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</si>
  <si>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</si>
  <si>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</si>
  <si>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</si>
  <si>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</si>
  <si>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</si>
  <si>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</si>
  <si>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</si>
  <si>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</si>
  <si>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</si>
  <si>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</si>
  <si>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</si>
  <si>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</si>
  <si>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</si>
  <si>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</si>
  <si>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</si>
  <si>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</si>
  <si>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</si>
  <si>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</si>
  <si>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</si>
  <si>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</si>
  <si>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</si>
  <si>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</si>
  <si>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</si>
  <si>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</si>
  <si>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</si>
  <si>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</si>
  <si>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</si>
  <si>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</si>
  <si>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</si>
  <si>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</si>
  <si>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</si>
  <si>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</si>
  <si>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</si>
  <si>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</si>
  <si>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</si>
  <si>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</si>
  <si>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</si>
  <si>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</si>
  <si>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</si>
  <si>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</si>
  <si>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</si>
  <si>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</si>
  <si>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</si>
  <si>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</si>
  <si>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</si>
  <si>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</si>
  <si>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</si>
  <si>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</si>
  <si>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</si>
  <si>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</si>
  <si>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</si>
  <si>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</si>
  <si>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</si>
  <si>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</si>
  <si>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</si>
  <si>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</si>
  <si>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</si>
  <si>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</si>
  <si>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</si>
  <si>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</si>
  <si>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</si>
  <si>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</si>
  <si>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</si>
  <si>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</si>
  <si>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</si>
  <si>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</si>
  <si>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</si>
  <si>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</si>
  <si>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</si>
  <si>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</si>
  <si>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</si>
  <si>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</si>
  <si>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</si>
  <si>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</si>
  <si>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</si>
  <si>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</si>
  <si>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</si>
  <si>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</si>
  <si>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</si>
  <si>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</si>
  <si>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</si>
  <si>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</si>
  <si>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</si>
  <si>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</si>
  <si>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</si>
  <si>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</si>
  <si>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</si>
  <si>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</si>
  <si>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</si>
  <si>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</si>
  <si>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</si>
  <si>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</si>
  <si>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</si>
  <si>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</si>
  <si>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</si>
  <si>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</si>
  <si>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</si>
  <si>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</si>
  <si>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</si>
  <si>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</si>
  <si>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</si>
  <si>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</si>
  <si>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</si>
  <si>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</si>
  <si>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</si>
  <si>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</si>
  <si>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</si>
  <si>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</si>
  <si>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</si>
  <si>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</si>
  <si>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</si>
  <si>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</si>
  <si>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</si>
  <si>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</si>
  <si>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</si>
  <si>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</si>
  <si>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</si>
  <si>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</si>
  <si>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</si>
  <si>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</si>
  <si>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</si>
  <si>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</si>
  <si>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</si>
  <si>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</si>
  <si>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</si>
  <si>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</si>
  <si>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</si>
  <si>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</si>
  <si>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</si>
  <si>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</si>
  <si>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</si>
  <si>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</si>
  <si>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</si>
  <si>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</si>
  <si>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</si>
  <si>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</si>
  <si>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</si>
  <si>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</si>
  <si>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</si>
  <si>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</si>
  <si>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</si>
  <si>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</si>
  <si>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</si>
  <si>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</si>
  <si>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</si>
  <si>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</si>
  <si>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</si>
  <si>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</si>
  <si>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</si>
  <si>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</si>
  <si>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</si>
  <si>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</si>
  <si>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</si>
  <si>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</si>
  <si>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</si>
  <si>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</si>
  <si>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</si>
  <si>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</si>
  <si>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</si>
  <si>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</si>
  <si>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</si>
  <si>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</si>
  <si>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</si>
  <si>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</si>
  <si>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</si>
  <si>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</si>
  <si>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</si>
  <si>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</si>
  <si>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</si>
  <si>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</si>
  <si>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</si>
  <si>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</si>
  <si>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</si>
  <si>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</si>
  <si>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</si>
  <si>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</si>
  <si>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</si>
  <si>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</si>
  <si>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</si>
  <si>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</si>
  <si>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</si>
  <si>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</si>
  <si>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</si>
  <si>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</si>
  <si>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</si>
  <si>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</si>
  <si>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</si>
  <si>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</si>
  <si>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</si>
  <si>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</si>
  <si>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</si>
  <si>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</si>
  <si>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</si>
  <si>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</si>
  <si>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</si>
  <si>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</si>
  <si>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</si>
  <si>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</si>
  <si>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</si>
  <si>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</si>
  <si>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</si>
  <si>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</si>
  <si>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</si>
  <si>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</si>
  <si>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</si>
  <si>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</si>
  <si>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</si>
  <si>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</si>
  <si>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</si>
  <si>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</si>
  <si>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</si>
  <si>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</si>
  <si>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</si>
  <si>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</si>
  <si>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</si>
  <si>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</si>
  <si>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</si>
  <si>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</si>
  <si>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</si>
  <si>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</si>
  <si>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</si>
  <si>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</si>
  <si>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</si>
  <si>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</si>
  <si>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</si>
  <si>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</si>
  <si>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</si>
  <si>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</si>
  <si>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</si>
  <si>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</si>
  <si>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</si>
  <si>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</si>
  <si>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</si>
  <si>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</si>
  <si>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</si>
  <si>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</si>
  <si>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</si>
  <si>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</si>
  <si>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</si>
  <si>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</si>
  <si>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</si>
  <si>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</si>
  <si>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</si>
  <si>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</si>
  <si>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</si>
  <si>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</si>
  <si>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</si>
  <si>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</si>
  <si>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</si>
  <si>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</si>
  <si>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</si>
  <si>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</si>
  <si>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</si>
  <si>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</si>
  <si>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</si>
  <si>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</si>
  <si>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</si>
  <si>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</si>
  <si>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</si>
  <si>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</si>
  <si>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</si>
  <si>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</si>
  <si>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</si>
  <si>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</si>
  <si>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</si>
  <si>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</si>
  <si>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</si>
  <si>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</si>
  <si>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</si>
  <si>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</si>
  <si>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</si>
  <si>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</si>
  <si>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</si>
  <si>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</si>
  <si>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</si>
  <si>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</si>
  <si>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</si>
  <si>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</si>
  <si>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</si>
  <si>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</si>
  <si>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</si>
  <si>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</si>
  <si>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</si>
  <si>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</si>
  <si>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</si>
  <si>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</si>
  <si>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</si>
  <si>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</si>
  <si>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</si>
  <si>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</si>
  <si>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</si>
  <si>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</si>
  <si>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</si>
  <si>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</si>
  <si>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</si>
  <si>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</si>
  <si>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</si>
  <si>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</si>
  <si>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</si>
  <si>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</si>
  <si>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</si>
  <si>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</si>
  <si>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</si>
  <si>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</si>
  <si>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</si>
  <si>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</si>
  <si>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</si>
  <si>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</si>
  <si>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</si>
  <si>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</si>
  <si>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</si>
  <si>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</si>
  <si>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</si>
  <si>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</si>
  <si>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</si>
  <si>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</si>
  <si>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</si>
  <si>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</si>
  <si>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</si>
  <si>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</si>
  <si>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</si>
  <si>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</si>
  <si>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</si>
  <si>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</si>
  <si>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</si>
  <si>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</si>
  <si>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</si>
  <si>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</si>
  <si>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</si>
  <si>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</si>
  <si>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</si>
  <si>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</si>
  <si>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</si>
  <si>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</si>
  <si>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</si>
  <si>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</si>
  <si>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</si>
  <si>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</si>
  <si>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</si>
  <si>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</si>
  <si>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</si>
  <si>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</si>
  <si>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</si>
  <si>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</si>
  <si>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</si>
  <si>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</si>
  <si>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</si>
  <si>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</si>
  <si>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</si>
  <si>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</si>
  <si>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</si>
  <si>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</si>
  <si>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</si>
  <si>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</si>
  <si>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</si>
  <si>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</si>
  <si>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</si>
  <si>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</si>
  <si>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</si>
  <si>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</si>
  <si>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</si>
  <si>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</si>
  <si>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</si>
  <si>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</si>
  <si>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</si>
  <si>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</si>
  <si>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</si>
  <si>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</si>
  <si>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</si>
  <si>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</si>
  <si>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</si>
  <si>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</si>
  <si>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</si>
  <si>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</si>
  <si>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</si>
  <si>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</si>
  <si>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</si>
  <si>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</si>
  <si>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</si>
  <si>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</si>
  <si>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</si>
  <si>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</si>
  <si>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</si>
  <si>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</si>
  <si>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</si>
  <si>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</si>
  <si>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</si>
  <si>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</si>
  <si>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</si>
  <si>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</si>
  <si>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</si>
  <si>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</si>
  <si>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</si>
  <si>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</si>
  <si>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</si>
  <si>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</si>
  <si>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</si>
  <si>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</si>
  <si>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</si>
  <si>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</si>
  <si>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</si>
  <si>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</si>
  <si>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</si>
  <si>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</si>
  <si>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</si>
  <si>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</si>
  <si>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</si>
  <si>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</si>
  <si>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</si>
  <si>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</si>
  <si>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</si>
  <si>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</si>
  <si>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</si>
  <si>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</si>
  <si>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</si>
  <si>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</si>
  <si>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</si>
  <si>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</si>
  <si>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</si>
  <si>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</si>
  <si>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</si>
  <si>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</si>
  <si>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</si>
  <si>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</si>
  <si>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</si>
  <si>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</si>
  <si>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</si>
  <si>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</si>
  <si>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</si>
  <si>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</si>
  <si>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</si>
  <si>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</si>
  <si>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</si>
  <si>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</si>
  <si>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</si>
  <si>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</si>
  <si>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</si>
  <si>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</si>
  <si>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</si>
  <si>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</si>
  <si>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</si>
  <si>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</si>
  <si>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</si>
  <si>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</si>
  <si>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</si>
  <si>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</si>
  <si>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</si>
  <si>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</si>
  <si>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</si>
  <si>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</si>
  <si>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</si>
  <si>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</si>
  <si>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</si>
  <si>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</si>
  <si>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</si>
  <si>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</si>
  <si>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</si>
  <si>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</si>
  <si>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</si>
  <si>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</si>
  <si>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</si>
  <si>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</si>
  <si>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</si>
  <si>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</si>
  <si>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</si>
  <si>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</si>
  <si>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</si>
  <si>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</si>
  <si>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</si>
  <si>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</si>
  <si>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</si>
  <si>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</si>
  <si>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</si>
  <si>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</si>
  <si>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</si>
  <si>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</si>
  <si>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</si>
  <si>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</si>
  <si>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</si>
  <si>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</si>
  <si>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</si>
  <si>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</si>
  <si>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</si>
  <si>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</si>
  <si>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</si>
  <si>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</si>
  <si>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</si>
  <si>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</si>
  <si>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</si>
  <si>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</si>
  <si>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</si>
  <si>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</si>
  <si>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</si>
  <si>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</si>
  <si>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</si>
  <si>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</si>
  <si>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</si>
  <si>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</si>
  <si>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</si>
  <si>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</si>
  <si>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</si>
  <si>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</si>
  <si>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</si>
  <si>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</si>
  <si>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</si>
  <si>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</si>
  <si>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</si>
  <si>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</si>
  <si>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</si>
  <si>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</si>
  <si>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</si>
  <si>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</si>
  <si>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</si>
  <si>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</si>
  <si>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</si>
  <si>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</si>
  <si>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</si>
  <si>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</si>
  <si>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</si>
  <si>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</si>
  <si>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</si>
  <si>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</si>
  <si>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</si>
  <si>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</si>
  <si>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</si>
  <si>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</si>
  <si>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</si>
  <si>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</si>
  <si>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</si>
  <si>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</si>
  <si>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</si>
  <si>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</si>
  <si>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</si>
  <si>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</si>
  <si>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</si>
  <si>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</si>
  <si>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</si>
  <si>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</si>
  <si>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</si>
  <si>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</si>
  <si>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</si>
  <si>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</si>
  <si>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</si>
  <si>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</si>
  <si>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</si>
  <si>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</si>
  <si>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</si>
  <si>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</si>
  <si>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</si>
  <si>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</si>
  <si>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</si>
  <si>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</si>
  <si>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</si>
  <si>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</si>
  <si>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</si>
  <si>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</si>
  <si>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</si>
  <si>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</si>
  <si>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</si>
  <si>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</si>
  <si>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</si>
  <si>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</si>
  <si>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</si>
  <si>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</si>
  <si>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</si>
  <si>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</si>
  <si>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</si>
  <si>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</si>
  <si>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</si>
  <si>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</si>
  <si>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</si>
  <si>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</si>
  <si>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</si>
  <si>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</si>
  <si>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</si>
  <si>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</si>
  <si>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</si>
  <si>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</si>
  <si>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</si>
  <si>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</si>
  <si>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</si>
  <si>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</si>
  <si>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</si>
  <si>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</si>
  <si>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</si>
  <si>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</si>
  <si>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</si>
  <si>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</si>
  <si>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</si>
  <si>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</si>
  <si>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</si>
  <si>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</si>
  <si>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</si>
  <si>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</si>
  <si>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</si>
  <si>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</si>
  <si>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</si>
  <si>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</si>
  <si>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</si>
  <si>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</si>
  <si>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</si>
  <si>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</si>
  <si>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</si>
  <si>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</si>
  <si>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</si>
  <si>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</si>
  <si>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</si>
  <si>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</si>
  <si>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</si>
  <si>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</si>
  <si>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</si>
  <si>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</si>
  <si>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</si>
  <si>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</si>
  <si>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</si>
  <si>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</si>
  <si>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</si>
  <si>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</si>
  <si>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</si>
  <si>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</si>
  <si>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</si>
  <si>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</si>
  <si>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</si>
  <si>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</si>
  <si>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</si>
  <si>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</si>
  <si>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</si>
  <si>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</si>
  <si>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</si>
  <si>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</si>
  <si>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</si>
  <si>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</si>
  <si>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</si>
  <si>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</si>
  <si>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</si>
  <si>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</si>
  <si>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</si>
  <si>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</si>
  <si>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</si>
  <si>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</si>
  <si>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</si>
  <si>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</si>
  <si>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</si>
  <si>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</si>
  <si>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</si>
  <si>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</si>
  <si>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</si>
  <si>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</si>
  <si>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</si>
  <si>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</si>
  <si>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</si>
  <si>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</si>
  <si>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</si>
  <si>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</si>
  <si>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</si>
  <si>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</si>
  <si>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</si>
  <si>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</si>
  <si>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</si>
  <si>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</si>
  <si>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</si>
  <si>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</si>
  <si>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</si>
  <si>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</si>
  <si>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</si>
  <si>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</si>
  <si>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</si>
  <si>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</si>
  <si>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</si>
  <si>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</si>
  <si>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</si>
  <si>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</si>
  <si>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</si>
  <si>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</si>
  <si>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</si>
  <si>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</si>
  <si>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</si>
  <si>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</si>
  <si>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</si>
  <si>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</si>
  <si>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</si>
  <si>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</si>
  <si>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</si>
  <si>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</si>
  <si>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</si>
  <si>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</si>
  <si>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</si>
  <si>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</si>
  <si>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</si>
  <si>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</si>
  <si>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</si>
  <si>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</si>
  <si>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</si>
  <si>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</si>
  <si>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</si>
  <si>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</si>
  <si>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</si>
  <si>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</si>
  <si>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</si>
  <si>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</si>
  <si>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</si>
  <si>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</si>
  <si>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</si>
  <si>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</si>
  <si>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</si>
  <si>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</si>
  <si>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</si>
  <si>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</si>
  <si>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</si>
  <si>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</si>
  <si>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</si>
  <si>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</si>
  <si>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</si>
  <si>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</si>
  <si>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</si>
  <si>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</si>
  <si>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</si>
  <si>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</si>
  <si>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</si>
  <si>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</si>
  <si>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</si>
  <si>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</si>
  <si>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</si>
  <si>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</si>
  <si>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</si>
  <si>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</si>
  <si>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</si>
  <si>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</si>
  <si>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</si>
  <si>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</si>
  <si>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</si>
  <si>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</si>
  <si>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</si>
  <si>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</si>
  <si>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</si>
  <si>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</si>
  <si>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</si>
  <si>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</si>
  <si>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</si>
  <si>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</si>
  <si>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</si>
  <si>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</si>
  <si>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</si>
  <si>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</si>
  <si>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</si>
  <si>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</si>
  <si>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</si>
  <si>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</si>
  <si>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</si>
  <si>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</si>
  <si>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</si>
  <si>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</si>
  <si>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</si>
  <si>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</si>
  <si>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</si>
  <si>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</si>
  <si>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</si>
  <si>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</si>
  <si>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</si>
  <si>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</si>
  <si>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</si>
  <si>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</si>
  <si>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</si>
  <si>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</si>
  <si>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</si>
  <si>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</si>
  <si>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</si>
  <si>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</si>
  <si>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</si>
  <si>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</si>
  <si>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</si>
  <si>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</si>
  <si>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</si>
  <si>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</si>
  <si>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</si>
  <si>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</si>
  <si>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</si>
  <si>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</si>
  <si>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</si>
  <si>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</si>
  <si>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</si>
  <si>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</si>
  <si>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</si>
  <si>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</si>
  <si>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</si>
  <si>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</si>
  <si>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</si>
  <si>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</si>
  <si>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</si>
  <si>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</si>
  <si>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</si>
  <si>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</si>
  <si>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</si>
  <si>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</si>
  <si>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</si>
  <si>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</si>
  <si>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</si>
  <si>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</si>
  <si>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</si>
  <si>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</si>
  <si>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</si>
  <si>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</si>
  <si>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</si>
  <si>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</si>
  <si>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</si>
  <si>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</si>
  <si>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</si>
  <si>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</si>
  <si>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</si>
  <si>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</si>
  <si>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</si>
  <si>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</si>
  <si>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</si>
  <si>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</si>
  <si>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</si>
  <si>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</si>
  <si>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</si>
  <si>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</si>
  <si>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</si>
  <si>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</si>
  <si>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</si>
  <si>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</si>
  <si>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</si>
  <si>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</si>
  <si>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</si>
  <si>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</si>
  <si>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</si>
  <si>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</si>
  <si>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</si>
  <si>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</si>
  <si>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</si>
  <si>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</si>
  <si>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</si>
  <si>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</si>
  <si>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</si>
  <si>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</si>
  <si>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</si>
  <si>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</si>
  <si>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</si>
  <si>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</si>
  <si>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</si>
  <si>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</si>
  <si>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</si>
  <si>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</si>
  <si>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</si>
  <si>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</si>
  <si>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</si>
  <si>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</si>
  <si>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</si>
  <si>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</si>
  <si>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</si>
  <si>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</si>
  <si>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</si>
  <si>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</si>
  <si>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</si>
  <si>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</si>
  <si>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</si>
  <si>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</si>
  <si>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</si>
  <si>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</si>
  <si>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</si>
  <si>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</si>
  <si>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</si>
  <si>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</si>
  <si>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</si>
  <si>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</si>
  <si>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</si>
  <si>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</si>
  <si>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</si>
  <si>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</si>
  <si>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</si>
  <si>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</si>
  <si>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</si>
  <si>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</si>
  <si>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</si>
  <si>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</si>
  <si>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</si>
  <si>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</si>
  <si>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</si>
  <si>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</si>
  <si>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</si>
  <si>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</si>
  <si>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</si>
  <si>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</si>
  <si>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</si>
  <si>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</si>
  <si>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</si>
  <si>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</si>
  <si>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</si>
  <si>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</si>
  <si>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</si>
  <si>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</si>
  <si>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</si>
  <si>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</si>
  <si>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</si>
  <si>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</si>
  <si>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</si>
  <si>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</si>
  <si>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</si>
  <si>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</si>
  <si>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</si>
  <si>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</si>
  <si>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</si>
  <si>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</si>
  <si>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</si>
  <si>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</si>
  <si>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</si>
  <si>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</si>
  <si>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</si>
  <si>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</si>
  <si>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</si>
  <si>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</si>
  <si>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</si>
  <si>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</si>
  <si>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</si>
  <si>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</si>
  <si>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</si>
  <si>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</si>
  <si>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</si>
  <si>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</si>
  <si>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</si>
  <si>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</si>
  <si>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</si>
  <si>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</si>
  <si>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</si>
  <si>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</si>
  <si>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</si>
  <si>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</si>
  <si>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</si>
  <si>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</si>
  <si>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</si>
  <si>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</si>
  <si>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</si>
  <si>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</si>
  <si>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</si>
  <si>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</si>
  <si>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</si>
  <si>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</si>
  <si>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</si>
  <si>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</si>
  <si>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</si>
  <si>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</si>
  <si>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</si>
  <si>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</si>
  <si>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</si>
  <si>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</si>
  <si>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</si>
  <si>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</si>
  <si>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</si>
  <si>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</si>
  <si>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</si>
  <si>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</si>
  <si>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</si>
  <si>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</si>
  <si>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</si>
  <si>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</si>
  <si>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</si>
  <si>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</si>
  <si>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</si>
  <si>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</si>
  <si>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</si>
  <si>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</si>
  <si>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</si>
  <si>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</si>
  <si>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</si>
  <si>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</si>
  <si>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</si>
  <si>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</si>
  <si>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</si>
  <si>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</si>
  <si>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</si>
  <si>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</si>
  <si>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</si>
  <si>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</si>
  <si>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</si>
  <si>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</si>
  <si>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</si>
  <si>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</si>
  <si>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</si>
  <si>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</si>
  <si>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</si>
  <si>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</si>
  <si>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</si>
  <si>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</si>
  <si>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</si>
  <si>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</si>
  <si>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</si>
  <si>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</si>
  <si>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</si>
  <si>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</si>
  <si>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</si>
  <si>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</si>
  <si>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</si>
  <si>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</si>
  <si>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</si>
  <si>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</si>
  <si>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</si>
  <si>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</si>
  <si>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</si>
  <si>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</si>
  <si>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</si>
  <si>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</si>
  <si>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</si>
  <si>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</si>
  <si>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</si>
  <si>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</si>
  <si>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</si>
  <si>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</si>
  <si>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</si>
  <si>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</si>
  <si>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</si>
  <si>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</si>
  <si>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</si>
  <si>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</si>
  <si>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</si>
  <si>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</si>
  <si>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</si>
  <si>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</si>
  <si>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</si>
  <si>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</si>
  <si>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</si>
  <si>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</si>
  <si>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</si>
  <si>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</si>
  <si>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</si>
  <si>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</si>
  <si>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</si>
  <si>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</si>
  <si>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</si>
  <si>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</si>
  <si>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</si>
  <si>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</si>
  <si>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</si>
  <si>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</si>
  <si>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</si>
  <si>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</si>
  <si>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</si>
  <si>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</si>
  <si>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</si>
  <si>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</si>
  <si>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</si>
  <si>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</si>
  <si>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</si>
  <si>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</si>
  <si>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</si>
  <si>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</si>
  <si>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</si>
  <si>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</si>
  <si>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</si>
  <si>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</si>
  <si>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</si>
  <si>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</si>
  <si>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</si>
  <si>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</si>
  <si>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</si>
  <si>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</si>
  <si>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</si>
  <si>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</si>
  <si>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</si>
  <si>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</si>
  <si>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</si>
  <si>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</si>
  <si>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</si>
  <si>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</si>
  <si>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</si>
  <si>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</si>
  <si>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</si>
  <si>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</si>
  <si>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</si>
  <si>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</si>
  <si>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</si>
  <si>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</si>
  <si>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</si>
  <si>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</si>
  <si>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</si>
  <si>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</si>
  <si>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</si>
  <si>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</si>
  <si>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</si>
  <si>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</si>
  <si>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</si>
  <si>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</si>
  <si>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</si>
  <si>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</si>
  <si>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</si>
  <si>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</si>
  <si>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</si>
  <si>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</si>
  <si>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</si>
  <si>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</si>
  <si>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</si>
  <si>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</si>
  <si>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</si>
  <si>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</si>
  <si>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</si>
  <si>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</si>
  <si>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</si>
  <si>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</si>
  <si>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</si>
  <si>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</si>
  <si>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</si>
  <si>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</si>
  <si>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</si>
  <si>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</si>
  <si>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</si>
  <si>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</si>
  <si>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</si>
  <si>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</si>
  <si>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</si>
  <si>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</si>
  <si>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</si>
  <si>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</si>
  <si>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</si>
  <si>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</si>
  <si>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</si>
  <si>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</si>
  <si>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</si>
  <si>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</si>
  <si>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</si>
  <si>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</si>
  <si>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</si>
  <si>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</si>
  <si>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</si>
  <si>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</si>
  <si>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</si>
  <si>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</si>
  <si>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</si>
  <si>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</si>
  <si>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</si>
  <si>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</si>
  <si>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</si>
  <si>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</si>
  <si>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</si>
  <si>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</si>
  <si>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</si>
  <si>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</si>
  <si>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</si>
  <si>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</si>
  <si>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</si>
  <si>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</si>
  <si>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</si>
  <si>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</si>
  <si>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</si>
  <si>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</si>
  <si>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</si>
  <si>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</si>
  <si>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</si>
  <si>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</si>
  <si>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</si>
  <si>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</si>
  <si>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</si>
  <si>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</si>
  <si>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</si>
  <si>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</si>
  <si>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</si>
  <si>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</si>
  <si>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</si>
  <si>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</si>
  <si>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</si>
  <si>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</si>
  <si>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</si>
  <si>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</si>
  <si>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</si>
  <si>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</si>
  <si>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</si>
  <si>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</si>
  <si>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</si>
  <si>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</si>
  <si>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</si>
  <si>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</si>
  <si>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</si>
  <si>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</si>
  <si>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</si>
  <si>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</si>
  <si>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</si>
  <si>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</si>
  <si>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</si>
  <si>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</si>
  <si>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</si>
  <si>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</si>
  <si>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</si>
  <si>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</si>
  <si>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</si>
  <si>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</si>
  <si>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</si>
  <si>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</si>
  <si>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</si>
  <si>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</si>
  <si>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</si>
  <si>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</si>
  <si>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</si>
  <si>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</si>
  <si>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</si>
  <si>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</si>
  <si>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</si>
  <si>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</si>
  <si>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</si>
  <si>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</si>
  <si>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</si>
  <si>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</si>
  <si>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</si>
  <si>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</si>
  <si>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</si>
  <si>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</si>
  <si>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</si>
  <si>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</si>
  <si>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</si>
  <si>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</si>
  <si>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</si>
  <si>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</si>
  <si>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</si>
  <si>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</si>
  <si>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</si>
  <si>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</si>
  <si>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</si>
  <si>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</si>
  <si>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</si>
  <si>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</si>
  <si>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</si>
  <si>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</si>
  <si>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</si>
  <si>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</si>
  <si>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</si>
  <si>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</si>
  <si>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</si>
  <si>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</si>
  <si>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</si>
  <si>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</si>
  <si>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</si>
  <si>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</si>
  <si>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</si>
  <si>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</si>
  <si>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</si>
  <si>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</si>
  <si>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</si>
  <si>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</si>
  <si>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</si>
  <si>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</si>
  <si>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</si>
  <si>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</si>
  <si>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</si>
  <si>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</si>
  <si>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</si>
  <si>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</si>
  <si>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</si>
  <si>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</si>
  <si>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</si>
  <si>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</si>
  <si>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</si>
  <si>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</si>
  <si>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</si>
  <si>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</si>
  <si>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</si>
  <si>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</si>
  <si>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</si>
  <si>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</si>
  <si>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</si>
  <si>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</si>
  <si>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</si>
  <si>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</si>
  <si>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</si>
  <si>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</si>
  <si>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</si>
  <si>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</si>
  <si>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</si>
  <si>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</si>
  <si>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</si>
  <si>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</si>
  <si>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</si>
  <si>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</si>
  <si>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</si>
  <si>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</si>
  <si>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</si>
  <si>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</si>
  <si>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</si>
  <si>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</si>
  <si>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</si>
  <si>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</si>
  <si>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</si>
  <si>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</si>
  <si>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</si>
  <si>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</si>
  <si>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</si>
  <si>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</si>
  <si>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</si>
  <si>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</si>
  <si>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</si>
  <si>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</si>
  <si>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</si>
  <si>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</si>
  <si>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</si>
  <si>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</si>
  <si>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</si>
  <si>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</si>
  <si>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</si>
  <si>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</si>
  <si>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</si>
  <si>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</si>
  <si>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</si>
  <si>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</si>
  <si>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</si>
  <si>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</si>
  <si>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</si>
  <si>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</si>
  <si>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</si>
  <si>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</si>
  <si>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</si>
  <si>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</si>
  <si>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</si>
  <si>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</si>
  <si>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</si>
  <si>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</si>
  <si>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</si>
  <si>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</si>
  <si>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</si>
  <si>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</si>
  <si>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</si>
  <si>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</si>
  <si>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</si>
  <si>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</si>
  <si>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</si>
  <si>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</si>
  <si>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</si>
  <si>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</si>
  <si>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</si>
  <si>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</si>
  <si>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</si>
  <si>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</si>
  <si>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</si>
  <si>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</si>
  <si>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</si>
  <si>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</si>
  <si>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</si>
  <si>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</si>
  <si>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</si>
  <si>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</si>
  <si>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</si>
  <si>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</si>
  <si>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</si>
  <si>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</si>
  <si>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</si>
  <si>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</si>
  <si>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</si>
  <si>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</si>
  <si>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</si>
  <si>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</si>
  <si>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</si>
  <si>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</si>
  <si>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</si>
  <si>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</si>
  <si>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</si>
  <si>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</si>
  <si>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</si>
  <si>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</si>
  <si>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</si>
  <si>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</si>
  <si>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</si>
  <si>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</si>
  <si>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</si>
  <si>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</si>
  <si>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</si>
  <si>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</si>
  <si>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</si>
  <si>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</si>
  <si>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</si>
  <si>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</si>
  <si>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</si>
  <si>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</si>
  <si>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</si>
  <si>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</si>
  <si>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</si>
  <si>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</si>
  <si>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</si>
  <si>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</si>
  <si>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</si>
  <si>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</si>
  <si>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</si>
  <si>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</si>
  <si>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</si>
  <si>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</si>
  <si>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</si>
  <si>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</si>
  <si>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</si>
  <si>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</si>
  <si>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</si>
  <si>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</si>
  <si>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</si>
  <si>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</si>
  <si>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</si>
  <si>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</si>
  <si>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</si>
  <si>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</si>
  <si>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</si>
  <si>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</si>
  <si>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</si>
  <si>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</si>
  <si>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</si>
  <si>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</si>
  <si>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</si>
  <si>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</si>
  <si>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</si>
  <si>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</si>
  <si>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</si>
  <si>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</si>
  <si>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</si>
  <si>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</si>
  <si>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</si>
  <si>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</si>
  <si>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</si>
  <si>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</si>
  <si>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</si>
  <si>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</si>
  <si>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</si>
  <si>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</si>
  <si>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</si>
  <si>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</si>
  <si>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</si>
  <si>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</si>
  <si>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</si>
  <si>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</si>
  <si>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</si>
  <si>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</si>
  <si>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</si>
  <si>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</si>
  <si>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</si>
  <si>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</si>
  <si>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</si>
  <si>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</si>
  <si>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</si>
  <si>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</si>
  <si>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</si>
  <si>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</si>
  <si>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</si>
  <si>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</si>
  <si>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</si>
  <si>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</si>
  <si>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</si>
  <si>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</si>
  <si>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</si>
  <si>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</si>
  <si>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</si>
  <si>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</si>
  <si>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</si>
  <si>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</si>
  <si>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</si>
  <si>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</si>
  <si>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</si>
  <si>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</si>
  <si>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</si>
  <si>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</si>
  <si>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</si>
  <si>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</si>
  <si>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</si>
  <si>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</si>
  <si>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</si>
  <si>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</si>
  <si>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</si>
  <si>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</si>
  <si>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</si>
  <si>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</si>
  <si>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</si>
  <si>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</si>
  <si>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</si>
  <si>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</si>
  <si>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</si>
  <si>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</si>
  <si>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</si>
  <si>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</si>
  <si>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</si>
  <si>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</si>
  <si>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</si>
  <si>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</si>
  <si>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</si>
  <si>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</si>
  <si>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</si>
  <si>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</si>
  <si>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</si>
  <si>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</si>
  <si>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</si>
  <si>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</si>
  <si>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</si>
  <si>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</si>
  <si>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</si>
  <si>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</si>
  <si>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</si>
  <si>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</si>
  <si>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</si>
  <si>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</si>
  <si>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</si>
  <si>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</si>
  <si>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</si>
  <si>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</si>
  <si>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</si>
  <si>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</si>
  <si>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</si>
  <si>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</si>
  <si>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</si>
  <si>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</si>
  <si>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</si>
  <si>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</si>
  <si>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</si>
  <si>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</si>
  <si>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</si>
  <si>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</si>
  <si>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</si>
  <si>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</si>
  <si>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</si>
  <si>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</si>
  <si>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</si>
  <si>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</si>
  <si>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</si>
  <si>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</si>
  <si>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</si>
  <si>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</si>
  <si>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</si>
  <si>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</si>
  <si>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</si>
  <si>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</si>
  <si>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</si>
  <si>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</si>
  <si>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</si>
  <si>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</si>
  <si>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</si>
  <si>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</si>
  <si>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</si>
  <si>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</si>
  <si>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</si>
  <si>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</si>
  <si>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</si>
  <si>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</si>
  <si>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</si>
  <si>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</si>
  <si>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</si>
  <si>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</si>
  <si>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</si>
  <si>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</si>
  <si>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</si>
  <si>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</si>
  <si>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</si>
  <si>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</si>
  <si>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</si>
  <si>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</si>
  <si>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</si>
  <si>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</si>
  <si>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</si>
  <si>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</si>
  <si>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</si>
  <si>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</si>
  <si>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</si>
  <si>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</si>
  <si>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</si>
  <si>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</si>
  <si>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</si>
  <si>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</si>
  <si>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</si>
  <si>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</si>
  <si>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</si>
  <si>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</si>
  <si>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</si>
  <si>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</si>
  <si>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</si>
  <si>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</si>
  <si>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</si>
  <si>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</si>
  <si>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</si>
  <si>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</si>
  <si>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</si>
  <si>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</si>
  <si>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</si>
  <si>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</si>
  <si>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</si>
  <si>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</si>
  <si>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</si>
  <si>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</si>
  <si>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</si>
  <si>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</si>
  <si>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</si>
  <si>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</si>
  <si>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</si>
  <si>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</si>
  <si>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</si>
  <si>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</si>
  <si>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</si>
  <si>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</si>
  <si>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</si>
  <si>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</si>
  <si>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</si>
  <si>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</si>
  <si>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</si>
  <si>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</si>
  <si>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</si>
  <si>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</si>
  <si>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</si>
  <si>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</si>
  <si>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</si>
  <si>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</si>
  <si>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</si>
  <si>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</si>
  <si>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</si>
  <si>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</si>
  <si>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</si>
  <si>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</si>
  <si>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</si>
  <si>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</si>
  <si>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</si>
  <si>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</si>
  <si>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</si>
  <si>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</si>
  <si>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</si>
  <si>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</si>
  <si>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</si>
  <si>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</si>
  <si>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</si>
  <si>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</si>
  <si>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</si>
  <si>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</si>
  <si>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</si>
  <si>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</si>
  <si>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</si>
  <si>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</si>
  <si>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</si>
  <si>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</si>
  <si>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</si>
  <si>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</si>
  <si>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</si>
  <si>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</si>
  <si>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</si>
  <si>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</si>
  <si>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</si>
  <si>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</si>
  <si>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</si>
  <si>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</si>
  <si>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</si>
  <si>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</si>
  <si>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</si>
  <si>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</si>
  <si>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</si>
  <si>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</si>
  <si>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</si>
  <si>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</si>
  <si>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</si>
  <si>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</si>
  <si>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</si>
  <si>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</si>
  <si>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</si>
  <si>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</si>
  <si>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</si>
  <si>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</si>
  <si>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</si>
  <si>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</si>
  <si>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</si>
  <si>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</si>
  <si>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</si>
  <si>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</si>
  <si>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</si>
  <si>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</si>
  <si>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</si>
  <si>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</si>
  <si>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</si>
  <si>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</si>
  <si>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</si>
  <si>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</si>
  <si>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</si>
  <si>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</si>
  <si>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</si>
  <si>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</si>
  <si>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</si>
  <si>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</si>
  <si>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</si>
  <si>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</si>
  <si>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</si>
  <si>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</si>
  <si>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</si>
  <si>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</si>
  <si>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</si>
  <si>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</si>
  <si>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</si>
  <si>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</si>
  <si>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</si>
  <si>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</si>
  <si>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</si>
  <si>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</si>
  <si>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</si>
  <si>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</si>
  <si>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</si>
  <si>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</si>
  <si>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</si>
  <si>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</si>
  <si>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</si>
  <si>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</si>
  <si>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</si>
  <si>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</si>
  <si>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</si>
  <si>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</si>
  <si>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</si>
  <si>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</si>
  <si>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</si>
  <si>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</si>
  <si>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</si>
  <si>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</si>
  <si>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</si>
  <si>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</si>
  <si>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</si>
  <si>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</si>
  <si>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</si>
  <si>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</si>
  <si>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</si>
  <si>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</si>
  <si>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</si>
  <si>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</si>
  <si>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</si>
  <si>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</si>
  <si>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</si>
  <si>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</si>
  <si>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</si>
  <si>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</si>
  <si>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</si>
  <si>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</si>
  <si>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</si>
  <si>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</si>
  <si>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</si>
  <si>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</si>
  <si>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</si>
  <si>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</si>
  <si>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</si>
  <si>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</si>
  <si>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</si>
  <si>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</si>
  <si>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</si>
  <si>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</si>
  <si>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</si>
  <si>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</si>
  <si>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</si>
  <si>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</si>
  <si>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</si>
  <si>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</si>
  <si>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</si>
  <si>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</si>
  <si>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</si>
  <si>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</si>
  <si>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</si>
  <si>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</si>
  <si>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</si>
  <si>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</si>
  <si>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</si>
  <si>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</si>
  <si>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</si>
  <si>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</si>
  <si>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</si>
  <si>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</si>
  <si>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</si>
  <si>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TSO001137363</t>
  </si>
  <si>
    <t>ООО КСК ТРЕЙД Тс222457-26 14.10.2026 Крым 17190кг (Астапкин)</t>
  </si>
  <si>
    <t>ООО КСК ТРЕЙД Тс221787-26 15.10.2026 Патяка 4190кг (Галкин)</t>
  </si>
  <si>
    <t>ООО НВ Тс223477-26 15.10.2026 Бердянск 8555кг (Галкин)</t>
  </si>
  <si>
    <t>ООО НВ Тс223479-26 15.10.2026 Мелитополь 4890кг (Галкин)</t>
  </si>
  <si>
    <t>ООО НВ Тс222851-26 14.10.2026 Луганск 17847кг (Решетников)</t>
  </si>
  <si>
    <t>TSO001137590</t>
  </si>
  <si>
    <t>ООО ЛП Тс223311-26 15.10.2026 Пушкарный 18085кг (Головчанский)</t>
  </si>
  <si>
    <t>18,10,26</t>
  </si>
  <si>
    <t>TSO001137635</t>
  </si>
  <si>
    <t>TSO001137637</t>
  </si>
  <si>
    <t>TSO001137644</t>
  </si>
  <si>
    <t>TSO001137648</t>
  </si>
  <si>
    <t>TSO001137645</t>
  </si>
  <si>
    <t>19,10,26</t>
  </si>
  <si>
    <t>TSO001138184</t>
  </si>
  <si>
    <t>20,10,26</t>
  </si>
  <si>
    <t>TSO001138257</t>
  </si>
  <si>
    <t>TSO001138277</t>
  </si>
  <si>
    <t>TSO001138332</t>
  </si>
  <si>
    <t>TSO001138379</t>
  </si>
  <si>
    <t>TSO001138380</t>
  </si>
  <si>
    <t>TSO001138395</t>
  </si>
  <si>
    <t>TSO001138400</t>
  </si>
  <si>
    <t>TSO001138411</t>
  </si>
  <si>
    <t>TSO001138417</t>
  </si>
  <si>
    <t>TSO001138420</t>
  </si>
  <si>
    <t>TSO001138424</t>
  </si>
  <si>
    <t>TSO001138425</t>
  </si>
  <si>
    <t>TSO001138437</t>
  </si>
  <si>
    <t>TSO001138582</t>
  </si>
  <si>
    <t>TSO001138593</t>
  </si>
  <si>
    <t>TSO001138594</t>
  </si>
  <si>
    <t>TSO001138603</t>
  </si>
  <si>
    <t>TSO001138612</t>
  </si>
  <si>
    <t>TSO001138614</t>
  </si>
  <si>
    <t>TSO001138616</t>
  </si>
  <si>
    <t>TSO001138621</t>
  </si>
  <si>
    <t>TSO001138619</t>
  </si>
  <si>
    <t>ООО НВ Тс222906-26 18.10.2026 Бердянск 3386кг (Абдрахимов)</t>
  </si>
  <si>
    <t>ООО НВ Тс224919-26 18.10.2026 Мелитополь 10153кг (Абдрахимов)</t>
  </si>
  <si>
    <t>ООО НВ Тс224920-26 18.10.2026 Мариуполь 3942кг (Абдрахимов)</t>
  </si>
  <si>
    <t>ООО НВ Тс224110-26 17.10.2026 Донецк 16666кг (Голубев)</t>
  </si>
  <si>
    <t>ООО КСК ТРЕЙД Тс223511-26 16.10.2026 Крым(2) 403кг (Ерохов)</t>
  </si>
  <si>
    <t>ООО КСК ТРЕЙД Тс224913-26 16.10.2026 Крым 17598кг (Ерохов)</t>
  </si>
  <si>
    <t>ООО НВ ЮТс-05212-26 18.10.2026 Луганск 11918кг (Заратуйченко)</t>
  </si>
  <si>
    <t>ООО КСК ТРЕЙД Тс224915-26 16.10.2026 Крым 17979кг (Левин)</t>
  </si>
  <si>
    <t>ООО КСК ТРЕЙД Тс223931-26 17.10.2026 Крым 14425кг (Митин)</t>
  </si>
  <si>
    <t>ООО ЛП Тс223310-26 16.10.2026 Малахутин 16627кг (Некрасов)</t>
  </si>
  <si>
    <t>ООО НВ Тс224918-26 17.10.2026 Луганск 17334кг (Чирков)</t>
  </si>
  <si>
    <t>ООО НВ ЮТс-05191-26 17.10.2026 Бердянск 5655кг (Шестиненков)</t>
  </si>
  <si>
    <t>ООО НВ ЮТс-05190-26 17.10.2026 Мелитополь 5778кг (Шестиненков)</t>
  </si>
  <si>
    <t>ООО НВ ЮТс-05192-26 17.10.2026 Мариуполь 3639кг (Шестиненков)</t>
  </si>
  <si>
    <t>доставка на 23,10</t>
  </si>
  <si>
    <t>TSO001138382</t>
  </si>
  <si>
    <t>TSO001138851</t>
  </si>
  <si>
    <t>TSO001138856</t>
  </si>
  <si>
    <t>21,10,26</t>
  </si>
  <si>
    <t>TSO001138975</t>
  </si>
  <si>
    <t>TSO001138977</t>
  </si>
  <si>
    <t>ООО КСК ТРЕЙД Тс224823-26 19.10.2026 Крым 15376кг (Агафонов)</t>
  </si>
  <si>
    <t>ООО ЛП Тс223783-26 19.10.2026 Вояж 2000кг (Бабенко)</t>
  </si>
  <si>
    <t>ООО НВ ЮТс-05254-26 19.10.2026 Луганск 9704кг (Бабенко)</t>
  </si>
  <si>
    <t>ООО КСК ТРЕЙД Тс225959-26 19.10.2026 Крым 17608кг (Галкин)</t>
  </si>
  <si>
    <t>ООО НВ Тс226758-26 20.10.2026 Донецк 17745кг (Должков)</t>
  </si>
  <si>
    <t>ООО НВ ЮТс-05213-26 19.10.2026 Горняк-Донецк 12260кг (Кокшин)</t>
  </si>
  <si>
    <t>ООО КСК ТРЕЙД Тс225976-26 19.10.2026 Поляков 16887кг (Надеин)</t>
  </si>
  <si>
    <t>ООО КСК ТРЕЙД Тс226741-26 19.10.2026 Крым 17391кг (Павленко)</t>
  </si>
  <si>
    <t>22,10,26</t>
  </si>
  <si>
    <t>TSO001139808</t>
  </si>
  <si>
    <t>TSO001139809</t>
  </si>
  <si>
    <t>ООО КСК ТРЕЙД Тс225975-26 21.10.2026 Патяка 3295кг (Грушецкий)</t>
  </si>
  <si>
    <t>ООО НВ Тс223521-26 21.10.2026 Мелитополь 5773кг (Грушецкий)</t>
  </si>
  <si>
    <t>ООО НВ Тс225681-26 21.10.2026 Мариуполь 3211кг (Грушецкий)</t>
  </si>
  <si>
    <t>ООО НВ Тс225682-26 21.10.2026 Патяка(2) 5383кг (Грушецкий)</t>
  </si>
  <si>
    <t>ООО КСК ТРЕЙД Тс228206-26 21.10.2026 Николаенко 2060кг (Некрасов)</t>
  </si>
  <si>
    <t>ООО КСК ТРЕЙД Тс228207-26 21.10.2026 Крым 15692кг (Некрасов)</t>
  </si>
  <si>
    <t>ООО КСК ТРЕЙД Тс228209-26 21.10.2026 Крым 17409кг (Лохов)</t>
  </si>
  <si>
    <t>23,10,26</t>
  </si>
  <si>
    <t>24,10,26</t>
  </si>
  <si>
    <t>TSO001140349</t>
  </si>
  <si>
    <t>TSO001140280</t>
  </si>
  <si>
    <t>TSO001140325</t>
  </si>
  <si>
    <t>TSO001140341</t>
  </si>
  <si>
    <t>TSO001140389</t>
  </si>
  <si>
    <t>TSO001140395</t>
  </si>
  <si>
    <t>ООО НВ ЮТс-05334-26 21.10.2026 Горняк-Луганск 7074кг (Антонов)</t>
  </si>
  <si>
    <t>ООО НВ ЮТс-05338-26 21.10.2026 Луганск 6281кг (Антонов).pdf</t>
  </si>
  <si>
    <t>ООО НВ ЮТс-05236-26 21.10.2026 Мариуполь 1425кг (Карслян)</t>
  </si>
  <si>
    <t>ООО НВ ЮТс-05332-26 21.10.2026 Мелитополь 7673кг (Карслян)</t>
  </si>
  <si>
    <t>ООО НВ ЮТс-05333-26 21.10.2026 Бердянск 5844кг (Карслян)</t>
  </si>
  <si>
    <t>ООО НВ ЮТс-05340-26 21.10.2026 Донецк 12984кг (Лодырев)</t>
  </si>
  <si>
    <t>ООО КСК ТРЕЙД Тс228210-26 21.10.2026 Крым 17620кг (Пусташев)</t>
  </si>
  <si>
    <t>Архипов</t>
  </si>
  <si>
    <t>25,10,26</t>
  </si>
  <si>
    <t>TSO001140837</t>
  </si>
  <si>
    <t>TSO001140832</t>
  </si>
  <si>
    <t>TSO001140835</t>
  </si>
  <si>
    <t>TSO001140853</t>
  </si>
  <si>
    <t>TSO001140858</t>
  </si>
  <si>
    <t>TSO001140859</t>
  </si>
  <si>
    <t>TSO001140860</t>
  </si>
  <si>
    <t>TSO001140870</t>
  </si>
  <si>
    <t>TSO001140872</t>
  </si>
  <si>
    <t>TSO001140874</t>
  </si>
  <si>
    <t>TSO001140875</t>
  </si>
  <si>
    <t>TSO001140852</t>
  </si>
  <si>
    <t>TSO001140851</t>
  </si>
  <si>
    <t>TSO001140871</t>
  </si>
  <si>
    <t>TSO001140866</t>
  </si>
  <si>
    <t>ООО НВ Тс228208-26 23.10.2026 Донецк 17408кг (Бакалюк)</t>
  </si>
  <si>
    <t>ООО НВ Тс228201-26 23.10.2026 Донецк(2) 104кг (Бакалюк)</t>
  </si>
  <si>
    <t>ООО НВ Тс228205-26 22.10.2026 Донецк 17820кг (Васильченко)</t>
  </si>
  <si>
    <t>ООО КСК ТРЕЙД Тс228204-26 22.10.2026 Крым 17745кг (Власов)</t>
  </si>
  <si>
    <t>ООО ЛП Тс228856-26 22.10.2026 Пушкарный 18105кг (Евсеев)</t>
  </si>
  <si>
    <t>ООО ЛП Тс228220-26 22.10.2026 Пушкарный 18085кг (Козимиренко)</t>
  </si>
  <si>
    <t>ООО НВ Тс228192-26 23.10.2026 Мелитополь 4879кг (Новожилов)</t>
  </si>
  <si>
    <t>ООО НВ Тс228200-26 23.10.2026 Бердянск 8681кг (Новожилов)</t>
  </si>
  <si>
    <t>ООО НВ Тс228203-26 23.10.2026 Мариуполь 4363кг (Новожилов)</t>
  </si>
  <si>
    <t>ООО НВ Тс228193-26 22.10.2026 Луганск 11985кг (Промзелев)</t>
  </si>
  <si>
    <t>ООО НВ Тс228194-26 22.10.2026 Горняк-Луганск 5650кг (Промзелев)</t>
  </si>
  <si>
    <t>ООО НВ ЮТс-05339-26 22.10.2026 Горняк-Донецк 12357кг (Соболев)</t>
  </si>
  <si>
    <t>ООО ЛП ЮТс-05308-26 22.10.2026 ПРС 9987кг (Чирков)</t>
  </si>
  <si>
    <t>ООО НВ Тс225036-26 22.10.2026 Донецк 4849кг (Чирков)</t>
  </si>
  <si>
    <t>ООО ЛП Тс228221-26 23.10.2026 Бычков 11366кг (Митин)</t>
  </si>
  <si>
    <t>ООО ЛП Тс228218-26 23.10.2026 Бычков(2) 2873кг (Митин)</t>
  </si>
  <si>
    <t>26,10,26</t>
  </si>
  <si>
    <t>27,10,26</t>
  </si>
  <si>
    <t>TSO001141496</t>
  </si>
  <si>
    <t>TSO001141499</t>
  </si>
  <si>
    <t>TSO001141507</t>
  </si>
  <si>
    <t>TSO001141537</t>
  </si>
  <si>
    <t>TSO001141547</t>
  </si>
  <si>
    <t>TSO001141572</t>
  </si>
  <si>
    <t>TSO001141615</t>
  </si>
  <si>
    <t>TSO001141667</t>
  </si>
  <si>
    <t>TSO001141671</t>
  </si>
  <si>
    <t>TSO001141676</t>
  </si>
  <si>
    <t>TSO001141680</t>
  </si>
  <si>
    <t>TSO001141681</t>
  </si>
  <si>
    <t>TSO001141686</t>
  </si>
  <si>
    <t>TSO001141714</t>
  </si>
  <si>
    <t>TSO001141576</t>
  </si>
  <si>
    <t>TSO001141577</t>
  </si>
  <si>
    <t>TSO001141581</t>
  </si>
  <si>
    <t>TSO001141584</t>
  </si>
  <si>
    <t>TSO001141585</t>
  </si>
  <si>
    <t>TSO001141596</t>
  </si>
  <si>
    <t>TSO001141614</t>
  </si>
  <si>
    <t>TSO001141618</t>
  </si>
  <si>
    <t>TSO001141619</t>
  </si>
  <si>
    <t>TSO001141623</t>
  </si>
  <si>
    <t>TSO001141626</t>
  </si>
  <si>
    <t>TSO001141631</t>
  </si>
  <si>
    <t>TSO001141772</t>
  </si>
  <si>
    <t>ООО ЛП Тс229770-26 24.10.2026 Обрыньба 4150кг (Агафонов)</t>
  </si>
  <si>
    <t>ООО ЛП Тс229778-26 24.10.2026 Кочевой 7778кг (Агафонов)</t>
  </si>
  <si>
    <t>ООО ЛП Тс229776-26 24.10.2026 Пушкарный(ВВ) 5427кг (Агафонов)</t>
  </si>
  <si>
    <t>ООО ЛП Тс228191-26 24.10.2026 ПРС 2549кг (Голубев)</t>
  </si>
  <si>
    <t>ООО НВ Тс227413-26 24.10.2026 Донецк 11239кг (Голубев)</t>
  </si>
  <si>
    <t>ООО НВ Тс227418-26 24.10.2026 Бутырин 4057кг (Голубев)</t>
  </si>
  <si>
    <t>ООО НВ Тс228757-26 25.10.2026 Донецк 17714кг (Грушецкий)</t>
  </si>
  <si>
    <t>25,10,29</t>
  </si>
  <si>
    <t>ООО КСК ТРЕЙД ЮТс-05320-26 23.10.2026 Крым 14388кг (Жуков)</t>
  </si>
  <si>
    <t>ООО НВ Тс228211-26 24.10.2026 Луганск 16971кг (Заратуйченко)</t>
  </si>
  <si>
    <t>ООО НВ Тс228202-26 24.10.2026 Луганск(2) 361кг (Заратуйченко)</t>
  </si>
  <si>
    <t>ООО КСК ТРЕЙД Тс228788-26 24.10.2026 Крым 17685кг (Исаков)</t>
  </si>
  <si>
    <t>ООО НВ Тс228197-26 24.10.2026 Луганск 17877кг (Левин)</t>
  </si>
  <si>
    <t>ООО КСК ТРЕЙД Тс228808-26 24.10.2026 Крым 17562кг (Мазур)</t>
  </si>
  <si>
    <t>ООО КСК ТРЕЙД Тс229502-26 25.10.2026 Крым 15773кг (Некрасов)</t>
  </si>
  <si>
    <t>ООО КСК ТРЕЙД Тс229521-26 25.10.2026 Николаенко 2537кг (Некрасов)</t>
  </si>
  <si>
    <t>ООО КСК ТРЕЙД Тс230168-26 25.10.2026 Крым 14771кг (Павленко)</t>
  </si>
  <si>
    <t>ООО КСК ТРЕЙД Тс228825-26 24.10.2026 Крым 17504кг (Петренко)</t>
  </si>
  <si>
    <t>ООО НВ Тс228756-26 25.10.2026 Луганск 17622кг (Хлыстов)</t>
  </si>
  <si>
    <t>ООО НВ Тс230574-26 25.10.2026 Луганск(2) 265кг (Хлыстов)</t>
  </si>
  <si>
    <t>ООО НВ Тс228198-26 23.10.2026 Мелитополь 9600кг (Швырев)</t>
  </si>
  <si>
    <t>ООО НВ Тс228199-26 23.10.2026 Бердянск 8127кг (Швырев)</t>
  </si>
  <si>
    <t>урезан на 1,9т</t>
  </si>
  <si>
    <t>TSO001142285</t>
  </si>
  <si>
    <t>TSO001142329</t>
  </si>
  <si>
    <t>TSO001142330</t>
  </si>
  <si>
    <t>TSO001142340</t>
  </si>
  <si>
    <t>TSO001142464</t>
  </si>
  <si>
    <t>ООО КСК ТРЕЙД Тс230409-26 26.10.2026 Вердиева 2342кг (Кокшин)</t>
  </si>
  <si>
    <t>ООО КСК ТРЕЙД Тс230467-26 26.10.2026 Крым 15336кг (Кокшин)</t>
  </si>
  <si>
    <t>ООО КСК ТРЕЙД Тс229445-26 26.10.2026 Патяка 4330кг (Новожилов)</t>
  </si>
  <si>
    <t>ООО НВ Тс229523-26 26.10.2026 Патяка 3744кг (Новожилов)</t>
  </si>
  <si>
    <t>ООО НВ Тс229522-26 26.10.2026 Мелитополь 4354кг (Новожилов)</t>
  </si>
  <si>
    <t>ООО НВ Тс229475-26 26.10.2026 Мариуполь 5036кг (Новожилов)</t>
  </si>
  <si>
    <t>ООО ЛП Тс231324-26 26.10.2026 Архипов 3976кг (Семенишин)</t>
  </si>
  <si>
    <t>29,10,26</t>
  </si>
  <si>
    <t>30,10,26</t>
  </si>
  <si>
    <t>TSO001143191</t>
  </si>
  <si>
    <t>TSO001143201</t>
  </si>
  <si>
    <t>TSO001143219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</si>
</sst>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medium">
        <color auto="1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207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6" borderId="81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3" borderId="85" xfId="0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vertical="center" wrapText="1"/>
    </xf>
    <xf numFmtId="164" fontId="16" fillId="43" borderId="86" xfId="0" applyNumberFormat="1" applyFont="1" applyFill="1" applyBorder="1" applyAlignment="1">
      <alignment horizontal="center" vertical="center" wrapText="1"/>
    </xf>
    <xf numFmtId="164" fontId="17" fillId="43" borderId="86" xfId="0" applyNumberFormat="1" applyFont="1" applyFill="1" applyBorder="1" applyAlignment="1">
      <alignment horizontal="center" vertical="center" wrapText="1"/>
    </xf>
    <xf numFmtId="0" fontId="16" fillId="43" borderId="86" xfId="0" applyFont="1" applyFill="1" applyBorder="1" applyAlignment="1">
      <alignment horizontal="center" vertical="center" wrapText="1"/>
    </xf>
    <xf numFmtId="0" fontId="18" fillId="43" borderId="86" xfId="0" applyFont="1" applyFill="1" applyBorder="1" applyAlignment="1">
      <alignment horizontal="center" vertical="center" wrapText="1"/>
    </xf>
    <xf numFmtId="49" fontId="16" fillId="43" borderId="87" xfId="0" applyNumberFormat="1" applyFont="1" applyFill="1" applyBorder="1" applyAlignment="1">
      <alignment horizontal="center" vertical="center" wrapText="1"/>
    </xf>
    <xf numFmtId="0" fontId="16" fillId="43" borderId="42" xfId="0" applyFont="1" applyFill="1" applyBorder="1" applyAlignment="1">
      <alignment horizontal="center" vertical="center" wrapText="1"/>
    </xf>
    <xf numFmtId="0" fontId="18" fillId="43" borderId="16" xfId="0" applyFont="1" applyFill="1" applyBorder="1" applyAlignment="1">
      <alignment horizontal="center" vertical="center" wrapText="1"/>
    </xf>
    <xf numFmtId="0" fontId="46" fillId="40" borderId="79" xfId="0" applyFont="1" applyFill="1" applyBorder="1" applyAlignment="1">
      <alignment horizontal="center" vertical="center" wrapText="1"/>
    </xf>
    <xf numFmtId="0" fontId="46" fillId="40" borderId="72" xfId="0" applyFont="1" applyFill="1" applyBorder="1" applyAlignment="1">
      <alignment vertical="center" wrapText="1"/>
    </xf>
    <xf numFmtId="164" fontId="46" fillId="40" borderId="72" xfId="0" applyNumberFormat="1" applyFont="1" applyFill="1" applyBorder="1" applyAlignment="1">
      <alignment horizontal="center" vertical="center" wrapText="1"/>
    </xf>
    <xf numFmtId="0" fontId="46" fillId="40" borderId="72" xfId="0" applyFont="1" applyFill="1" applyBorder="1" applyAlignment="1">
      <alignment horizontal="center" vertical="center" wrapText="1"/>
    </xf>
    <xf numFmtId="49" fontId="46" fillId="40" borderId="72" xfId="0" applyNumberFormat="1" applyFont="1" applyFill="1" applyBorder="1" applyAlignment="1">
      <alignment horizontal="left" vertical="center" wrapText="1"/>
    </xf>
    <xf numFmtId="49" fontId="46" fillId="40" borderId="80" xfId="0" applyNumberFormat="1" applyFont="1" applyFill="1" applyBorder="1" applyAlignment="1">
      <alignment horizontal="center" vertical="center" wrapText="1"/>
    </xf>
    <xf numFmtId="0" fontId="46" fillId="40" borderId="81" xfId="0" applyFont="1" applyFill="1" applyBorder="1" applyAlignment="1">
      <alignment horizontal="center" vertical="center" wrapText="1"/>
    </xf>
    <xf numFmtId="20" fontId="16" fillId="40" borderId="80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90" xfId="0" applyNumberFormat="1" applyFont="1" applyFill="1" applyBorder="1" applyAlignment="1">
      <alignment horizontal="center" vertical="center" wrapText="1"/>
    </xf>
    <xf numFmtId="0" fontId="16" fillId="17" borderId="2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49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622"/>
  <sheetViews>
    <sheetView tabSelected="1" zoomScale="70" zoomScaleNormal="70" workbookViewId="0">
      <pane ySplit="2" topLeftCell="A7591" activePane="bottomLeft" state="frozen"/>
      <selection pane="bottomLeft" activeCell="O7613" sqref="O761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21" width="16.140625" style="2" customWidth="1"/>
    <col min="22" max="1018" width="9.140625" style="2"/>
  </cols>
  <sheetData>
    <row r="1" spans="1:18" ht="19.5" customHeight="1" thickBot="1" x14ac:dyDescent="0.3">
      <c r="A1" s="1168" t="s">
        <v>0</v>
      </c>
      <c r="B1" s="1168"/>
      <c r="C1" s="1168"/>
      <c r="D1" s="1168"/>
      <c r="E1" s="1168"/>
      <c r="F1" s="1168"/>
      <c r="G1" s="1168"/>
      <c r="H1" s="1168"/>
      <c r="I1" s="1168"/>
      <c r="J1" s="1168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69">
        <v>1</v>
      </c>
      <c r="B3" s="116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69"/>
      <c r="B4" s="116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65">
        <v>3</v>
      </c>
      <c r="B6" s="116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65"/>
      <c r="B7" s="116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65"/>
      <c r="B8" s="116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65">
        <v>5</v>
      </c>
      <c r="B10" s="116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65"/>
      <c r="B11" s="116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63">
        <v>8</v>
      </c>
      <c r="B14" s="1163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63"/>
      <c r="B15" s="1163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65">
        <v>11</v>
      </c>
      <c r="B18" s="116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65"/>
      <c r="B19" s="116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65"/>
      <c r="B20" s="116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65"/>
      <c r="B21" s="116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65">
        <v>13</v>
      </c>
      <c r="B23" s="116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65"/>
      <c r="B24" s="116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63">
        <v>14</v>
      </c>
      <c r="B25" s="1163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63"/>
      <c r="B26" s="1163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65">
        <v>15</v>
      </c>
      <c r="B27" s="116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65"/>
      <c r="B28" s="116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65"/>
      <c r="B29" s="116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65"/>
      <c r="B30" s="116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63">
        <v>16</v>
      </c>
      <c r="B31" s="1163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63"/>
      <c r="B32" s="1163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63"/>
      <c r="B33" s="1163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63"/>
      <c r="B34" s="1163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65">
        <v>17</v>
      </c>
      <c r="B35" s="116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65"/>
      <c r="B36" s="116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65">
        <v>21</v>
      </c>
      <c r="B40" s="116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65"/>
      <c r="B41" s="116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65">
        <v>23</v>
      </c>
      <c r="B43" s="116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65"/>
      <c r="B44" s="116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65"/>
      <c r="B45" s="116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63">
        <v>24</v>
      </c>
      <c r="B46" s="1163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63"/>
      <c r="B47" s="1163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65">
        <v>25</v>
      </c>
      <c r="B48" s="116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65"/>
      <c r="B49" s="116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65"/>
      <c r="B50" s="116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63">
        <v>26</v>
      </c>
      <c r="B51" s="1163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63"/>
      <c r="B52" s="1163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65">
        <v>29</v>
      </c>
      <c r="B55" s="116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65"/>
      <c r="B56" s="116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63">
        <v>32</v>
      </c>
      <c r="B59" s="1163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63"/>
      <c r="B60" s="1163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63">
        <v>34</v>
      </c>
      <c r="B62" s="1163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63"/>
      <c r="B63" s="1163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63"/>
      <c r="B64" s="1163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63"/>
      <c r="B65" s="1163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63"/>
      <c r="B66" s="1163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65">
        <v>35</v>
      </c>
      <c r="B67" s="116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65"/>
      <c r="B68" s="116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52">
        <v>40</v>
      </c>
      <c r="B73" s="1163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52"/>
      <c r="B74" s="1163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51">
        <v>41</v>
      </c>
      <c r="B75" s="116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51"/>
      <c r="B76" s="116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51"/>
      <c r="B77" s="116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52">
        <v>42</v>
      </c>
      <c r="B78" s="1163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52"/>
      <c r="B79" s="1163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51">
        <v>49</v>
      </c>
      <c r="B86" s="116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51"/>
      <c r="B87" s="116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51"/>
      <c r="B88" s="116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52">
        <v>50</v>
      </c>
      <c r="B89" s="1163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52"/>
      <c r="B90" s="1163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51">
        <v>51</v>
      </c>
      <c r="B91" s="116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51"/>
      <c r="B92" s="116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51">
        <v>53</v>
      </c>
      <c r="B94" s="116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51"/>
      <c r="B95" s="116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52">
        <v>54</v>
      </c>
      <c r="B96" s="1163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52"/>
      <c r="B97" s="1163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52"/>
      <c r="B98" s="1163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52">
        <v>58</v>
      </c>
      <c r="B102" s="1163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52"/>
      <c r="B103" s="1163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52">
        <v>60</v>
      </c>
      <c r="B105" s="1163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52"/>
      <c r="B106" s="1163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52"/>
      <c r="B107" s="1163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51">
        <v>61</v>
      </c>
      <c r="B108" s="116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51"/>
      <c r="B109" s="116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51"/>
      <c r="B110" s="116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52">
        <v>64</v>
      </c>
      <c r="B113" s="1163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52"/>
      <c r="B114" s="1163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52">
        <v>66</v>
      </c>
      <c r="B116" s="1163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52"/>
      <c r="B117" s="1163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51">
        <v>67</v>
      </c>
      <c r="B118" s="116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51"/>
      <c r="B119" s="116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51"/>
      <c r="B120" s="116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52">
        <v>68</v>
      </c>
      <c r="B121" s="1163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52"/>
      <c r="B122" s="1163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51">
        <v>69</v>
      </c>
      <c r="B123" s="116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51"/>
      <c r="B124" s="116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52">
        <v>72</v>
      </c>
      <c r="B127" s="1163" t="s">
        <v>65</v>
      </c>
      <c r="C127" s="119" t="s">
        <v>26</v>
      </c>
      <c r="D127" s="120">
        <v>3.3</v>
      </c>
      <c r="E127" s="121"/>
      <c r="F127" s="122" t="s">
        <v>30</v>
      </c>
      <c r="G127" s="1162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52"/>
      <c r="B128" s="1163"/>
      <c r="C128" s="103" t="s">
        <v>26</v>
      </c>
      <c r="D128" s="88">
        <v>12.9</v>
      </c>
      <c r="E128" s="106"/>
      <c r="F128" s="107" t="s">
        <v>16</v>
      </c>
      <c r="G128" s="1162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52">
        <v>76</v>
      </c>
      <c r="B132" s="1164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52"/>
      <c r="B133" s="1164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52"/>
      <c r="B134" s="1164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52"/>
      <c r="B135" s="1164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52">
        <v>78</v>
      </c>
      <c r="B137" s="117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52"/>
      <c r="B138" s="117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6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6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52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52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52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51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51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52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52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51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51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51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51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51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51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51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51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52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52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52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52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52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52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51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67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51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67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52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52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52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52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52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52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52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52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52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51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51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52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52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51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51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52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52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51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51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51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51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51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52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52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51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51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51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52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52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51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51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52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52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51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51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52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52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52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51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51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52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62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52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62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52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52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51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51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51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51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52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52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52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52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52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52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51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51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52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52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52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52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51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51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52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52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52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52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52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51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51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52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52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51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51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52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7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52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72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51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51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52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62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52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62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52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52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52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52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52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52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52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52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51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51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52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52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51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51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52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52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52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52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51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51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51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51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51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51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51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51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52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52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51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67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51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67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51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51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51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51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51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51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51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51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51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51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51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51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51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51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52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52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51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51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52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52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52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52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51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51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51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51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51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51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52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52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51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51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51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51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53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51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53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52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52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52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52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52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52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52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52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52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52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52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52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51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51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52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52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51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51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51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51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51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51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51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51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52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52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51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51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51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52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52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51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51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51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53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51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53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52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52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52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52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52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52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70" t="s">
        <v>133</v>
      </c>
      <c r="J420" s="1170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51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51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52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52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51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51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52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52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52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52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51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51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51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51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51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52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52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52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51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51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52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52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51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51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52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54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52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54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51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51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52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52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52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52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52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52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5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5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5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52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52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51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51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52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52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52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52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52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52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52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52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51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51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51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51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52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52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52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51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51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51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53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51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53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52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52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51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7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51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7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52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7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52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7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52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7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52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52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52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52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52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52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51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51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51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52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52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52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51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51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51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51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51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52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52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52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51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51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51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51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51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51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52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52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52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51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51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51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51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52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52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52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51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51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51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52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54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52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54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52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52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52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52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52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51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51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51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51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52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52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52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51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51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51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52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52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52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52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52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52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51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51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51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51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51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51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51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51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52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52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52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51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53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51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53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51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51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52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52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52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52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52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52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52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52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52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52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52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52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51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51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51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52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52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52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51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51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51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51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51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52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52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51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51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51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52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52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52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52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51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51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51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51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51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51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52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52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52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51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53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51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53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51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51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73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51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73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51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52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52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52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51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51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51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52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52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51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51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51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51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51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51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52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52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51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51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52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52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52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52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52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52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52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52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52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51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53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51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53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6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6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6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51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51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51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6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6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51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51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51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6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6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52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52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52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51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51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51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52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52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52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52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52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52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52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52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51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51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51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51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51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51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51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52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7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52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7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52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52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52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52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52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51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51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51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51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51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51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51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52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52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52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52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61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61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61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61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61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61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51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53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51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53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52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52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52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51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51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51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5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5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5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5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5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51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51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51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51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51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5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5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51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51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51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52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52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51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51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52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52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52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52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51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51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51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51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51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51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51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52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52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52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52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51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51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52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54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52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54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51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51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51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51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51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51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51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51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51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51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51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51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51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52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52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52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51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51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51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52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52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51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51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51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51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52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52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52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51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51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51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51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51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51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51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51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51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52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52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52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52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52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52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52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52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52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52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51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51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51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52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52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52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52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52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51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51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52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52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52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51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51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51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52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52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52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52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52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52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52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51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51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52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52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52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51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51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51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52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52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51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51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52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52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51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51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52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52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51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51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51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51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52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54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52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54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51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51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51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51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51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52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52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51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51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51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51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51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51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51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51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52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52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52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52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52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52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5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5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52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52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51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51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52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52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52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52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52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51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51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51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51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51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52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52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52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51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51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51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52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52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52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51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53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51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53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52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52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52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51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51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52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52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52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51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51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51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51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51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52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52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5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5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52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52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51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51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52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52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52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52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52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52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52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51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51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52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52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51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51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52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52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52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51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51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52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52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51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53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51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53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52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52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52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51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51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52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52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51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51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51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52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52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51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51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51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51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51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51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51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51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52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52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52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52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52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51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51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52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52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51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51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51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52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52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52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51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51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52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54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52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54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51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51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51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51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51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51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51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51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52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52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51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51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51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51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52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52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51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51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51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52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52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51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51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51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51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52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54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52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54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51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51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52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52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52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52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51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51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52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52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51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51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52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52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51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51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51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51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52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52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52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52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52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52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52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52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51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51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51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51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52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54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52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54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52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52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51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51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52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52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52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52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51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51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52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52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51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51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51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51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51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51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51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52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52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52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52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52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52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52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54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52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54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52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52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51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51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52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52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51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51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51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51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52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52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52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52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51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51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51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51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51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51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51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51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51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51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51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51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51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52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52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51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51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52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52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51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51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52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54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52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54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51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51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51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51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52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52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52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52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51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51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51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51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52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52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52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52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52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52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52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52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52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52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51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51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52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52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52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52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51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53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51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53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51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51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52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52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52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51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51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52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52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51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51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51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51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51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51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51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51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51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51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51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51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51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52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52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51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51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51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55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51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55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52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52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52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51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51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51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52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52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52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52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51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51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51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51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52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52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51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51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52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52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52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52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52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52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51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51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51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53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51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53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51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51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52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52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51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51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52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52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51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51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51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51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52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52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51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53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51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53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51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53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51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53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52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52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51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51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51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51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51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51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51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53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51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53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51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51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51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51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52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52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51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51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51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51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51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52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52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52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52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52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52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52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52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51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51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52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52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52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51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53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51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53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51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51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51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51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52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52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51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51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51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51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51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51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51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51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51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52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52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51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51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52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54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52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54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51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51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52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52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52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51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51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51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51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51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51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51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51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52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52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51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51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52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52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52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51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53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51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53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51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51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51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52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52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52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52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52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51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51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52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52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52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52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52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51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51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52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52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52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51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51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52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52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51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51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52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52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52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52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52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52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51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51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51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51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51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51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51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51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52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52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51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51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52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52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52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54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52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54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52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52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52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51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51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51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51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51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51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51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51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51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51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51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52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52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52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52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51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51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51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51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51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52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52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51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53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51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53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52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52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52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52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52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52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52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52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51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51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51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52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54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52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54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52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52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52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52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52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51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51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51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51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51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51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51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52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52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52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52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52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51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51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52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52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52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51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53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51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53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51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51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52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52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52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52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52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52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52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51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51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52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52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52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52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51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51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52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52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51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51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52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52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51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53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51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53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51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53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52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52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51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51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51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52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52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51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51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51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51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52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54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52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54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51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51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51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51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51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51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51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51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52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52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52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52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52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52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52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52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52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52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51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51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51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51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51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51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52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52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51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51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51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51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53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51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53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52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52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52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51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51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51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51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51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51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51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51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51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51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51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51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51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51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52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52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51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53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51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53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52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52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51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51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52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52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52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51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51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51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51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51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51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51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51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51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51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51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51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52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52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51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53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51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53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51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51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52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52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52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52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51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51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51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51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52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52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52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51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51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51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51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51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51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52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54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52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54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51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51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51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51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52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52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52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52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51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51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52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52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52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52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52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52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52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51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51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51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52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52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52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52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52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52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52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52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52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51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51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52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52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52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52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51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51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52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52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52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5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5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5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52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52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52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52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51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53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51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53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51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51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52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52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51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51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52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52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52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51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53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51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53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51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51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51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51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51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52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52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51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51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52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52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52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51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51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51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51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52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54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52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54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51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51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52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52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52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52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52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52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51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51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52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52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52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51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51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52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52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52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52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51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51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51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52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52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51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51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52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52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51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51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52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52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52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52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52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52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52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52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51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51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51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51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52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52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51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51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52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52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52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52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51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51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52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52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52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52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52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52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52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51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51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76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77" t="s">
        <v>467</v>
      </c>
      <c r="H2160" s="414" t="s">
        <v>515</v>
      </c>
      <c r="I2160" s="415" t="s">
        <v>516</v>
      </c>
      <c r="J2160" s="1178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76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77"/>
      <c r="H2161" s="421" t="s">
        <v>515</v>
      </c>
      <c r="I2161" s="422" t="s">
        <v>516</v>
      </c>
      <c r="J2161" s="1178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76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77"/>
      <c r="H2162" s="429" t="s">
        <v>515</v>
      </c>
      <c r="I2162" s="430" t="s">
        <v>516</v>
      </c>
      <c r="J2162" s="1178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76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77" t="s">
        <v>467</v>
      </c>
      <c r="H2165" s="414" t="s">
        <v>516</v>
      </c>
      <c r="I2165" s="415" t="s">
        <v>516</v>
      </c>
      <c r="J2165" s="1178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76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77"/>
      <c r="H2166" s="429" t="s">
        <v>516</v>
      </c>
      <c r="I2166" s="430" t="s">
        <v>516</v>
      </c>
      <c r="J2166" s="1178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51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51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51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52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52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51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51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52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52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52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52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51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53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51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53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51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51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51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52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54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52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54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51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7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51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7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52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7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52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7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51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51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51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51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52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52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51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51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52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52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52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52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52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51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51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51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52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52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52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51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51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52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52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52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52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52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52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51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51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51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51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52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52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51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51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51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52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52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52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52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52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52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51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51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51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51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51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51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51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52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52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52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52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52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52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52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51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51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51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51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51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52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52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52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52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52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5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5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52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52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52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51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51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52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52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52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52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52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52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52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51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51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51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51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51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51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51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51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57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5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5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51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51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51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51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51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52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52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51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51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51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52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52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52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52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52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51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51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51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51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51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5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5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5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51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51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5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5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51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51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51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52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52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52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52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51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51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51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51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51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52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52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52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52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52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52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51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51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52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52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5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5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52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52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52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52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52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52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52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51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51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51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51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51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52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52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51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51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52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52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5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5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52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52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52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52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52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52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52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51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51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51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52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52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51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51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51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51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51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56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5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5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52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52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52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51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51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52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52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52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52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52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52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54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52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54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52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54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5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5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5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5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51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51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52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52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5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5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52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54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52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54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52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52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51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51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52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52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51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51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51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51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51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51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8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8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8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81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52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52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51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53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51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53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51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51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5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5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52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52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52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51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51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52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52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5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5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52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52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52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52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5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82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5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82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52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52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52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54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52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54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51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51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51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51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5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5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52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52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51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51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52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52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52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51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51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51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51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51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51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51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52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52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52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54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52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54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52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52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52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52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5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5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5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52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52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51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51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51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51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51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52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52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5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5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5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5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5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5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51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51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83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83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52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52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52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52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51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51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52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52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52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52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52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52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51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51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56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5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5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5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5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5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52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52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51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51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51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51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5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5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52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52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52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51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51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52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52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52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52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51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51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51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51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52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54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52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54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52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54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5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5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5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5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52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52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51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51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52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52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51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51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51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51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51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52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52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52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51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51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52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52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5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5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5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5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5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52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52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51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51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51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51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52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52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5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5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52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52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52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52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5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5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51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51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51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51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51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5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84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5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84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51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51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51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53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51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53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52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52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51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51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51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5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5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51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51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52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52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52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51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51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51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52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52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52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52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57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5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5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5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5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51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51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52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54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52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54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51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51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51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51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52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52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5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5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52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52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52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51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51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51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51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5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5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5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51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53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51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53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5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5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5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5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51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51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51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53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51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53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51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51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52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52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52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5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5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52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52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52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52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5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5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52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52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57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5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5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5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5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51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51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51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51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52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52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52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5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53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5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53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51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51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52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52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51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51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51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5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5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5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5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5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5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5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5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5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51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51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52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52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52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52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52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51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51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51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5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54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5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54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5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54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51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51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52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52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51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51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51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52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52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51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51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5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5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51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51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52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52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51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51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52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54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52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54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52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54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52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54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5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5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5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5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5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52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52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52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54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52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54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52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54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51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51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5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5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5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51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51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52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52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51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51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52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52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52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51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51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51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51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51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52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5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52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54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5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5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52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52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51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51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52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52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51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51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5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5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5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5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5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5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5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5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51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51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51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51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52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52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52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52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52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51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51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51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5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5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51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51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52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52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51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51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51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51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52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52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52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52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51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51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51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51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52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52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52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52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5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5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5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51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51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52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52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51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5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51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53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51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53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51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53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52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52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51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51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52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52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52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51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51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51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52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52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51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51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52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52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52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52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5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5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5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52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52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52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52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52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51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51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51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51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51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52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52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5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5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52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52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51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51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52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52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5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82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5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82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5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82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5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82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5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82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5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82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52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52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52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52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51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51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52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52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5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5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5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5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52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52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52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51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51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51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52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52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51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51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52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52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5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5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5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51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51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52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52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5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5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5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5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5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5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5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5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51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51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52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52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52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52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5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5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5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52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52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52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52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52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51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51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52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52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51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51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51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51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5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5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52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52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51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51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5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5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5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5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5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5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5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5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5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51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51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56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5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5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51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51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51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5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5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51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51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5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5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51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51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5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5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5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5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5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52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52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51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51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52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52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5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5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5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5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5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5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5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5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52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52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51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51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52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52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5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53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5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53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52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52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52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51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51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52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52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52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52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51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53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51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53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56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5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5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5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5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5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51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51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52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52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52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52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51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53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51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53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5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5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5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5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52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52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52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52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52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52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52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52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5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5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51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51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51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51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51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51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51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51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51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52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52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5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82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5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82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5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82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52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52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52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52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51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51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52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52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52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51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51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51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51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57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5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5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5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5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51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51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52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54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52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54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51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51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5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5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51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51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52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52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52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52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52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51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51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51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57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5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5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5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5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5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5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51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51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52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54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52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54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51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51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52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52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52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52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5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5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52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52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52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52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52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51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51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52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54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52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54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110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33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10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41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110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33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10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41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10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41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10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41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107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8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110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86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110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33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86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87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110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10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10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10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107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10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10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10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8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110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86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107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8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110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10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10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10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10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10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107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24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8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8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110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86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107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24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8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8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110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10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10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86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110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10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107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10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10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8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107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10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10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110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10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10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10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10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10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107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8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110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33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86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87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110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33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86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87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110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86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107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8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110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10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110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86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107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8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110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10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86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107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10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8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107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10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10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10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10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10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110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86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107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24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8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8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110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86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107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8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110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10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10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86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110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33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86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87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107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10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8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110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86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107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24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8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8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110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10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10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10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10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10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107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8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107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8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107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24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8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8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110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10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86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107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10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8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110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10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86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107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10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10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10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107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8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110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10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86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110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10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10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10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107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10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107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10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10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10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10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10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110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86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110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33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10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41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86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87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11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10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86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107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10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8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11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10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10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11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33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86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87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107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10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10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8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110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86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110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86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107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8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107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10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10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10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10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110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86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110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10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86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107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8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110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86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107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8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110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33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86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87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107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10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110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10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86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107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8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110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86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107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8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110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86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110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10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10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10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10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10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10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10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110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86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110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86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107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10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10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8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110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10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10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10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10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86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110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86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107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10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10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8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107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10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10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10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10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10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110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86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110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33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86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87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107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10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8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110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10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10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86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107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10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8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110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33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10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41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86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87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107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24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8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8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110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86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107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8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110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10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10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10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10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10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107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8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110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86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107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10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8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110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10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10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86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107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8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110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33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86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87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110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86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107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10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8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107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8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110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10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107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10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107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10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10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10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10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110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86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110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10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107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24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8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8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110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10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10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10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10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10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86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107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10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10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10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110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10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86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110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86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107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8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110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10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86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110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86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89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9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9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110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10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10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10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10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86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107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8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110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10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86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107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8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110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86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110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86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107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10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10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110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10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10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107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10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110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33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10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34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110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10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107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24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10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25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110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10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10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10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10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107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10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110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10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110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10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10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107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10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110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10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10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107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24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10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45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10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25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107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10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107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10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10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110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10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10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107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10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10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10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10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110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10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107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10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10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110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10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10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10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107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10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110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10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10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10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110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10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107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10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10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110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10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107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10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10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10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10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110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10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107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10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10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110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10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107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10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110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10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110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10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10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110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10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107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10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107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10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10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110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10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10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10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10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110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10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107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10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107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10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107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10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110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10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10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107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10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10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10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110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10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10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110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33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10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34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107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10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10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107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10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10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110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10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10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10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110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10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107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24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10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45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10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45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10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25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110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10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10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110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10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107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10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10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110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10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107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10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10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107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24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10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25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110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10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107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10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10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107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10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110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10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107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10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110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10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107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10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10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10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10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110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10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10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110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33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10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41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10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41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10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34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107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10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110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10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110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10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107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10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10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110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10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107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24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10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25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107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10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107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10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10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10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10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10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110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10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107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10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10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110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10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110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10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10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107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10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10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110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10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10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107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10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10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107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10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110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10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107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10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10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11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10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10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10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107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24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10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25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11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10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10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107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10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110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10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10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10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107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10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110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10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107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10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10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10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110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10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107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10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107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10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11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10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107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10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110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10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10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10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110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10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110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10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10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10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107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10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107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10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110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10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10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107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10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10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107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10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10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107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10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10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110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10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110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10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10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10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107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24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10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45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110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10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107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10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110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10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107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10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110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10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110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10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10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107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10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110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10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107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10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10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110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10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10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107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10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110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10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110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10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107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10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10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110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10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10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110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10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110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10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107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10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110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10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107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10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110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10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10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107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10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10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107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10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10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110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10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107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10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10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110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33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10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41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10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34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107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10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10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107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10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107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10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110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10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10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110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10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107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10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110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10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10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10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110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10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110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33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10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34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107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10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107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10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107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10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110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10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10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10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107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10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110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10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110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10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110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10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10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107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10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10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110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10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107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10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10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110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10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107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10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110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10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107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10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10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10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10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107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10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110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10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107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10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10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10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110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10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107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10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110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10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110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33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10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34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110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10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10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107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10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10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110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10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10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107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10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107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10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110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10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107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10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110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10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107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24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10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45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10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45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10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25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107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10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10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107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24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10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25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110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10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110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10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10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107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10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10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110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33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10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34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110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10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107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10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107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10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10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10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110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33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10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41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107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10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107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10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110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10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107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10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110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33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10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34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110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10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10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107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10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10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107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24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10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25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110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10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110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10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110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10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107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10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10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10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110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10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107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10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110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10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107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24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10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45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10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25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110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10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110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33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10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34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107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10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110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10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10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10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107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24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10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25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110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10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107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10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110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10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107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10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110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33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10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34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107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10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10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110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10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110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33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10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34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107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10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10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10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110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10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107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10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10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110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10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10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10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107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10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110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10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107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10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110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33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10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34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107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10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107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10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10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110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33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10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41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107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10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107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10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10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110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10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10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110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10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110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10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107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10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10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10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110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33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10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34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110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10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107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24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10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25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110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10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10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107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10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110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10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107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10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110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3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10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34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107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10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110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10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107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24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10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25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110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10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107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10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10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110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10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107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10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10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107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24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10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25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110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10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107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10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10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110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10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110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10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10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107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10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10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107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24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10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25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107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24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10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25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110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10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110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10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10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107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10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10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110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10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107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10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107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24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10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25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107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10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10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110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10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107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24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10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25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110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10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107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10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10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110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33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10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41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10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41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107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24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10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25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10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10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10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10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10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10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110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10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107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10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110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33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10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2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10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10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10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107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10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110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10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10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107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10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110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10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110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10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107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24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10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45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10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25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110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10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107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24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10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25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107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10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10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10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107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10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10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110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10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10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110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33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10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41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10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41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10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41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107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10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110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33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10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34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110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10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107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10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10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110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33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10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34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107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10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110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10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10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10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107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10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110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33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10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34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107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10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10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107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10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110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10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10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107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10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107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10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10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10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107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10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107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10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110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10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10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10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107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10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10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110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10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107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10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110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10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110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33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10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41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107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10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10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10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110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33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10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34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110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10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110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33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10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34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110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10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10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107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10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110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10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107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24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10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25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107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10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10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110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10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10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10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107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10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10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110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10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110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33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10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34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107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10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110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10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10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107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10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110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10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10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107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10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110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10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107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10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110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10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110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10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107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10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10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110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10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107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10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107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24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10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45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110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10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10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107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10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110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10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10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10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107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10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10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107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10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11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10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107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10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10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110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10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10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10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107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10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110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10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110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10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110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33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10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41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10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41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10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41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10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41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107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10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107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10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10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10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107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10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10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10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110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10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107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10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10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110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10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10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110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10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10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107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10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107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24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10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25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107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24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10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45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10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45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10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45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110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10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107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10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110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10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110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10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107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10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107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10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10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10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10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10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107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10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10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41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10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41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107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10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110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33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10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34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107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10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110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33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10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41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107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10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110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10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107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10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110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10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107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10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110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33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10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34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110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10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107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10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110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10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107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10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110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10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10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107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10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107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10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107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10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10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110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10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110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10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107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10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10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107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10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10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110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10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10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107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10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10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110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10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107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24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10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25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110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10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10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110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10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107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10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110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10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110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33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10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34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110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10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107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10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110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10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107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24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10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25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107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10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10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10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10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110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10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10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110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10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107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24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10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25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107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24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10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45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10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45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10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45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10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25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110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10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10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107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10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10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10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10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11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33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10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34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107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10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11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10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10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110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10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110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10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107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10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10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110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10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107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10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110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10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110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10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10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10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107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10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110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10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10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107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10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110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10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107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24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10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25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107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10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110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10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110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10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110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10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10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10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110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10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107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10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110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10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107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24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10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25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110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10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4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4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9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9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9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107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10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9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19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4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9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5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9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9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107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10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89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10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200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9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12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93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98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99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89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200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107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10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107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10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10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10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10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107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10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107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13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10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14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110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10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110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10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110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10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10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107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10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107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10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107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10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10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110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10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103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107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10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10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110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103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107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10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10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107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10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10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10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107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10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10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11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103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107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24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10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25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107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10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89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200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12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12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116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10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106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110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103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110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10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10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106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115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116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10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10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10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106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115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12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116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10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106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115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116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10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10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106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115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116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10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10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106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110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10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10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10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107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10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10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10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115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116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115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13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12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13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116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13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107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45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10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45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115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33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116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41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10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106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110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103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107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10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110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10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89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9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115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116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115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116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115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12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116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107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10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10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110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10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103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107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10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10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107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10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115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12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116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10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10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10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106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115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12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12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107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10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107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10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115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12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12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116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10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10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10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115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116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10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10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10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115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33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116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34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107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24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10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25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110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103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107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10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10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10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10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10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10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110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10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110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10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10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103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107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10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10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10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107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10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10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10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10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110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10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10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10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10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10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103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10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10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10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106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110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10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103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10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10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106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10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10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10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10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110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10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103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10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10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10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10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106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115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116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10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106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115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126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126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116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115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136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126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137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116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138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107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10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110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103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10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10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106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115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126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116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10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45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106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45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110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33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103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34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110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103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10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106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110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103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107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10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110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10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103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10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10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106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115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126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116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107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109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109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109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110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10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10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103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19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21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107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109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109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109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10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110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10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103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110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103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10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106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110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10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10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103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10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24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10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45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10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45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106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25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110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103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110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103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10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106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115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136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126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137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126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4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126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4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116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138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10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45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10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45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106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25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110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103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110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10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103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10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106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110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10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10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10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103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10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106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110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10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10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10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103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107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109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109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109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110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10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10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103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10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106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110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103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107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109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10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110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10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10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103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10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10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106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115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33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126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41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126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41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126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41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116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34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10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106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110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103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110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10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103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10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24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106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25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10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10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106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110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103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107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109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10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107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109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10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110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103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10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106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110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103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110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10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10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10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103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10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10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106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110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10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10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103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10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106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110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103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107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109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109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10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10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13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10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35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10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35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106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14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110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33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103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34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107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109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109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108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107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10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110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103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10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106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110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17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103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18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107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10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110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103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107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108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10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106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110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103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107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109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109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109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109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108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10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106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115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126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126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116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10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106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110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10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103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107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24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109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45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109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45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108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25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107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109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109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109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107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24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108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25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110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33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103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41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107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109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109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108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110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42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10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42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103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43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107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108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110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103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107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109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109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108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110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17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10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44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103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44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10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10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106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10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106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115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116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107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108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115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116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107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109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109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107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39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109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40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109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40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108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40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115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126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116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107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109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109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115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126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116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104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105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106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115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136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126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137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126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137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116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138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110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102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103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104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106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115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126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126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31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27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32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28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110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29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103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30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110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102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115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116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104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106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2722</v>
      </c>
    </row>
    <row r="7221" spans="1:17" ht="19.5" hidden="1" thickBot="1" x14ac:dyDescent="0.3">
      <c r="A7221" s="1104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106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115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2685</v>
      </c>
      <c r="Q7223" s="847" t="s">
        <v>2687</v>
      </c>
    </row>
    <row r="7224" spans="1:17" ht="19.5" hidden="1" thickBot="1" x14ac:dyDescent="0.3">
      <c r="A7224" s="1116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2686</v>
      </c>
    </row>
    <row r="7225" spans="1:17" ht="19.5" hidden="1" thickBot="1" x14ac:dyDescent="0.3">
      <c r="A7225" s="1104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2666</v>
      </c>
    </row>
    <row r="7226" spans="1:17" ht="19.5" hidden="1" thickBot="1" x14ac:dyDescent="0.3">
      <c r="A7226" s="1106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2667</v>
      </c>
    </row>
    <row r="7227" spans="1:17" ht="19.5" hidden="1" thickBot="1" x14ac:dyDescent="0.3">
      <c r="A7227" s="1115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2676</v>
      </c>
    </row>
    <row r="7228" spans="1:17" ht="19.5" hidden="1" thickBot="1" x14ac:dyDescent="0.3">
      <c r="A7228" s="1116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2677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110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103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2678</v>
      </c>
    </row>
    <row r="7232" spans="1:17" ht="19.5" hidden="1" thickBot="1" x14ac:dyDescent="0.3">
      <c r="A7232" s="1107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2679</v>
      </c>
    </row>
    <row r="7233" spans="1:16" ht="19.5" hidden="1" thickBot="1" x14ac:dyDescent="0.3">
      <c r="A7233" s="1109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2680</v>
      </c>
    </row>
    <row r="7234" spans="1:16" ht="19.5" hidden="1" thickBot="1" x14ac:dyDescent="0.3">
      <c r="A7234" s="1108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2681</v>
      </c>
    </row>
    <row r="7235" spans="1:16" ht="57" hidden="1" thickBot="1" x14ac:dyDescent="0.3">
      <c r="A7235" s="1110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103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107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109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109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109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108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115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2683</v>
      </c>
    </row>
    <row r="7243" spans="1:16" ht="19.5" hidden="1" thickBot="1" x14ac:dyDescent="0.3">
      <c r="A7243" s="1116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2668</v>
      </c>
      <c r="P7243" s="867" t="s">
        <v>2682</v>
      </c>
    </row>
    <row r="7244" spans="1:16" ht="19.5" hidden="1" thickBot="1" x14ac:dyDescent="0.3">
      <c r="A7244" s="1107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2706</v>
      </c>
    </row>
    <row r="7245" spans="1:16" ht="19.5" hidden="1" thickBot="1" x14ac:dyDescent="0.3">
      <c r="A7245" s="1109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2704</v>
      </c>
    </row>
    <row r="7246" spans="1:16" ht="19.5" hidden="1" thickBot="1" x14ac:dyDescent="0.3">
      <c r="A7246" s="1109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2688</v>
      </c>
      <c r="P7246" s="867" t="s">
        <v>2707</v>
      </c>
    </row>
    <row r="7247" spans="1:16" ht="19.5" hidden="1" thickBot="1" x14ac:dyDescent="0.3">
      <c r="A7247" s="1108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2669</v>
      </c>
      <c r="P7247" s="867" t="s">
        <v>2705</v>
      </c>
    </row>
    <row r="7248" spans="1:16" ht="57" hidden="1" thickBot="1" x14ac:dyDescent="0.3">
      <c r="A7248" s="1110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2725</v>
      </c>
    </row>
    <row r="7249" spans="1:16" ht="19.5" hidden="1" thickBot="1" x14ac:dyDescent="0.3">
      <c r="A7249" s="1102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2726</v>
      </c>
    </row>
    <row r="7250" spans="1:16" ht="19.5" hidden="1" thickBot="1" x14ac:dyDescent="0.3">
      <c r="A7250" s="1102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2727</v>
      </c>
    </row>
    <row r="7251" spans="1:16" ht="19.5" hidden="1" thickBot="1" x14ac:dyDescent="0.3">
      <c r="A7251" s="1103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2728</v>
      </c>
    </row>
    <row r="7252" spans="1:16" ht="19.5" hidden="1" thickBot="1" x14ac:dyDescent="0.3">
      <c r="A7252" s="1107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109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2729</v>
      </c>
    </row>
    <row r="7254" spans="1:16" ht="19.5" hidden="1" thickBot="1" x14ac:dyDescent="0.3">
      <c r="A7254" s="1109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2673</v>
      </c>
      <c r="P7254" s="867" t="s">
        <v>2731</v>
      </c>
    </row>
    <row r="7255" spans="1:16" ht="19.5" hidden="1" thickBot="1" x14ac:dyDescent="0.3">
      <c r="A7255" s="1108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2730</v>
      </c>
    </row>
    <row r="7256" spans="1:16" ht="19.5" hidden="1" thickBot="1" x14ac:dyDescent="0.3">
      <c r="A7256" s="1115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2662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2735</v>
      </c>
    </row>
    <row r="7257" spans="1:16" ht="19.5" hidden="1" thickBot="1" x14ac:dyDescent="0.3">
      <c r="A7257" s="1116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2662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2736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110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2694</v>
      </c>
    </row>
    <row r="7260" spans="1:16" ht="19.5" hidden="1" thickBot="1" x14ac:dyDescent="0.3">
      <c r="A7260" s="1102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2689</v>
      </c>
      <c r="P7260" s="921" t="s">
        <v>1024</v>
      </c>
    </row>
    <row r="7261" spans="1:16" ht="19.5" hidden="1" thickBot="1" x14ac:dyDescent="0.3">
      <c r="A7261" s="1103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2670</v>
      </c>
      <c r="P7261" s="867" t="s">
        <v>2695</v>
      </c>
    </row>
    <row r="7262" spans="1:16" ht="19.5" hidden="1" thickBot="1" x14ac:dyDescent="0.3">
      <c r="A7262" s="1107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2703</v>
      </c>
    </row>
    <row r="7263" spans="1:16" ht="19.5" hidden="1" thickBot="1" x14ac:dyDescent="0.3">
      <c r="A7263" s="1109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2700</v>
      </c>
    </row>
    <row r="7264" spans="1:16" ht="19.5" hidden="1" thickBot="1" x14ac:dyDescent="0.3">
      <c r="A7264" s="1109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2701</v>
      </c>
    </row>
    <row r="7265" spans="1:16" ht="19.5" hidden="1" thickBot="1" x14ac:dyDescent="0.3">
      <c r="A7265" s="1109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2690</v>
      </c>
      <c r="P7265" s="867" t="s">
        <v>2699</v>
      </c>
    </row>
    <row r="7266" spans="1:16" ht="19.5" hidden="1" thickBot="1" x14ac:dyDescent="0.3">
      <c r="A7266" s="1108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2671</v>
      </c>
      <c r="P7266" s="867" t="s">
        <v>2702</v>
      </c>
    </row>
    <row r="7267" spans="1:16" ht="19.5" hidden="1" thickBot="1" x14ac:dyDescent="0.3">
      <c r="A7267" s="1110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2708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2772</v>
      </c>
    </row>
    <row r="7268" spans="1:16" ht="19.5" hidden="1" thickBot="1" x14ac:dyDescent="0.3">
      <c r="A7268" s="1102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2708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2773</v>
      </c>
    </row>
    <row r="7269" spans="1:16" ht="19.5" hidden="1" thickBot="1" x14ac:dyDescent="0.3">
      <c r="A7269" s="1102"/>
      <c r="B7269" s="944" t="s">
        <v>2708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2708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2761</v>
      </c>
      <c r="P7269" s="867" t="s">
        <v>2775</v>
      </c>
    </row>
    <row r="7270" spans="1:16" ht="19.5" hidden="1" thickBot="1" x14ac:dyDescent="0.3">
      <c r="A7270" s="1103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2708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2672</v>
      </c>
      <c r="P7270" s="867" t="s">
        <v>2774</v>
      </c>
    </row>
    <row r="7271" spans="1:16" ht="19.5" hidden="1" thickBot="1" x14ac:dyDescent="0.3">
      <c r="A7271" s="1104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2723</v>
      </c>
    </row>
    <row r="7272" spans="1:16" ht="19.5" hidden="1" thickBot="1" x14ac:dyDescent="0.3">
      <c r="A7272" s="1106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2674</v>
      </c>
      <c r="P7272" s="867" t="s">
        <v>2724</v>
      </c>
    </row>
    <row r="7273" spans="1:16" ht="19.5" hidden="1" thickBot="1" x14ac:dyDescent="0.3">
      <c r="A7273" s="1115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2720</v>
      </c>
    </row>
    <row r="7274" spans="1:16" ht="19.5" hidden="1" thickBot="1" x14ac:dyDescent="0.3">
      <c r="A7274" s="1116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2675</v>
      </c>
      <c r="P7274" s="867" t="s">
        <v>2721</v>
      </c>
    </row>
    <row r="7275" spans="1:16" ht="19.5" hidden="1" thickBot="1" x14ac:dyDescent="0.3">
      <c r="A7275" s="1107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2708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2826</v>
      </c>
    </row>
    <row r="7276" spans="1:16" ht="19.5" hidden="1" thickBot="1" x14ac:dyDescent="0.3">
      <c r="A7276" s="1108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2708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2827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2696</v>
      </c>
    </row>
    <row r="7278" spans="1:16" ht="19.5" hidden="1" thickBot="1" x14ac:dyDescent="0.3">
      <c r="A7278" s="1104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2697</v>
      </c>
    </row>
    <row r="7279" spans="1:16" ht="19.5" hidden="1" thickBot="1" x14ac:dyDescent="0.3">
      <c r="A7279" s="1106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2684</v>
      </c>
      <c r="P7279" s="867" t="s">
        <v>2698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2662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2732</v>
      </c>
    </row>
    <row r="7281" spans="1:16" ht="19.5" hidden="1" thickBot="1" x14ac:dyDescent="0.3">
      <c r="A7281" s="1104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13" t="s">
        <v>2618</v>
      </c>
      <c r="H7281" s="567" t="s">
        <v>2614</v>
      </c>
      <c r="I7281" s="569" t="s">
        <v>2691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2756</v>
      </c>
    </row>
    <row r="7282" spans="1:16" ht="19.5" hidden="1" thickBot="1" x14ac:dyDescent="0.3">
      <c r="A7282" s="1106"/>
      <c r="B7282" s="798" t="s">
        <v>2691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14"/>
      <c r="H7282" s="801" t="s">
        <v>2614</v>
      </c>
      <c r="I7282" s="801" t="s">
        <v>2691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2737</v>
      </c>
      <c r="P7282" s="867" t="s">
        <v>2757</v>
      </c>
    </row>
    <row r="7283" spans="1:16" ht="19.5" hidden="1" thickBot="1" x14ac:dyDescent="0.3">
      <c r="A7283" s="1110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2691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2759</v>
      </c>
    </row>
    <row r="7284" spans="1:16" ht="19.5" hidden="1" thickBot="1" x14ac:dyDescent="0.3">
      <c r="A7284" s="1103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2691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2758</v>
      </c>
    </row>
    <row r="7285" spans="1:16" ht="19.5" hidden="1" thickBot="1" x14ac:dyDescent="0.3">
      <c r="A7285" s="1107">
        <f>MAX(A7094:A7284)+1</f>
        <v>4473</v>
      </c>
      <c r="B7285" s="531" t="s">
        <v>2613</v>
      </c>
      <c r="C7285" s="532" t="s">
        <v>3305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2662</v>
      </c>
      <c r="I7285" s="537" t="s">
        <v>2662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2663</v>
      </c>
      <c r="P7285" s="867" t="s">
        <v>2733</v>
      </c>
    </row>
    <row r="7286" spans="1:16" ht="19.5" hidden="1" thickBot="1" x14ac:dyDescent="0.3">
      <c r="A7286" s="1108"/>
      <c r="B7286" s="636" t="s">
        <v>2613</v>
      </c>
      <c r="C7286" s="637" t="s">
        <v>3305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2662</v>
      </c>
      <c r="I7286" s="642" t="s">
        <v>2662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2664</v>
      </c>
      <c r="P7286" s="867" t="s">
        <v>2734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2662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2665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2691</v>
      </c>
      <c r="I7288" s="510" t="s">
        <v>2691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2692</v>
      </c>
      <c r="P7288" s="867" t="s">
        <v>2760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2691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2693</v>
      </c>
      <c r="P7289" s="921" t="s">
        <v>1024</v>
      </c>
    </row>
    <row r="7290" spans="1:16" ht="19.5" hidden="1" thickBot="1" x14ac:dyDescent="0.3">
      <c r="A7290" s="1104">
        <f t="shared" si="223"/>
        <v>4477</v>
      </c>
      <c r="B7290" s="759" t="s">
        <v>2662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2708</v>
      </c>
      <c r="I7290" s="537" t="s">
        <v>2708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2709</v>
      </c>
      <c r="P7290" s="867" t="s">
        <v>2782</v>
      </c>
    </row>
    <row r="7291" spans="1:16" ht="19.5" hidden="1" thickBot="1" x14ac:dyDescent="0.3">
      <c r="A7291" s="1105"/>
      <c r="B7291" s="852" t="s">
        <v>2708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2708</v>
      </c>
      <c r="I7291" s="839" t="s">
        <v>2708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2762</v>
      </c>
      <c r="P7291" s="867" t="s">
        <v>2783</v>
      </c>
    </row>
    <row r="7292" spans="1:16" ht="19.5" hidden="1" thickBot="1" x14ac:dyDescent="0.3">
      <c r="A7292" s="1106"/>
      <c r="B7292" s="785" t="s">
        <v>2691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2708</v>
      </c>
      <c r="I7292" s="788" t="s">
        <v>2708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2755</v>
      </c>
      <c r="P7292" s="867" t="s">
        <v>2784</v>
      </c>
    </row>
    <row r="7293" spans="1:16" ht="19.5" hidden="1" thickBot="1" x14ac:dyDescent="0.3">
      <c r="A7293" s="1115">
        <f>MAX(A7100:A7290)+1</f>
        <v>4478</v>
      </c>
      <c r="B7293" s="610" t="s">
        <v>2662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2708</v>
      </c>
      <c r="I7293" s="484" t="s">
        <v>2710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2711</v>
      </c>
      <c r="P7293" s="867" t="s">
        <v>2806</v>
      </c>
    </row>
    <row r="7294" spans="1:16" ht="19.5" hidden="1" thickBot="1" x14ac:dyDescent="0.3">
      <c r="A7294" s="1126"/>
      <c r="B7294" s="864" t="s">
        <v>2710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2708</v>
      </c>
      <c r="I7294" s="860" t="s">
        <v>2710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2792</v>
      </c>
      <c r="P7294" s="867" t="s">
        <v>2807</v>
      </c>
    </row>
    <row r="7295" spans="1:16" ht="19.5" hidden="1" thickBot="1" x14ac:dyDescent="0.3">
      <c r="A7295" s="1116"/>
      <c r="B7295" s="805" t="s">
        <v>2708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2708</v>
      </c>
      <c r="I7295" s="808" t="s">
        <v>2710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2791</v>
      </c>
      <c r="P7295" s="867" t="s">
        <v>2808</v>
      </c>
    </row>
    <row r="7296" spans="1:16" ht="19.5" hidden="1" thickBot="1" x14ac:dyDescent="0.3">
      <c r="A7296" s="1107">
        <f>MAX(A7101:A7293)+1</f>
        <v>4479</v>
      </c>
      <c r="B7296" s="531" t="s">
        <v>2662</v>
      </c>
      <c r="C7296" s="532" t="s">
        <v>2713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2708</v>
      </c>
      <c r="I7296" s="537" t="s">
        <v>2763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2715</v>
      </c>
      <c r="P7296" s="867" t="s">
        <v>2834</v>
      </c>
    </row>
    <row r="7297" spans="1:16" ht="19.5" hidden="1" thickBot="1" x14ac:dyDescent="0.3">
      <c r="A7297" s="1108"/>
      <c r="B7297" s="590" t="s">
        <v>2662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2708</v>
      </c>
      <c r="I7297" s="596" t="s">
        <v>2763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2714</v>
      </c>
      <c r="P7297" s="867" t="s">
        <v>2840</v>
      </c>
    </row>
    <row r="7298" spans="1:16" ht="19.5" hidden="1" thickBot="1" x14ac:dyDescent="0.3">
      <c r="A7298" s="1115">
        <f>MAX(A7104:A7297)+1</f>
        <v>4480</v>
      </c>
      <c r="B7298" s="610" t="s">
        <v>2662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2710</v>
      </c>
      <c r="I7298" s="484" t="s">
        <v>2710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2712</v>
      </c>
      <c r="P7298" s="867" t="s">
        <v>2809</v>
      </c>
    </row>
    <row r="7299" spans="1:16" ht="19.5" hidden="1" thickBot="1" x14ac:dyDescent="0.3">
      <c r="A7299" s="1126"/>
      <c r="B7299" s="864" t="s">
        <v>2710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2710</v>
      </c>
      <c r="I7299" s="860" t="s">
        <v>2710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2793</v>
      </c>
      <c r="P7299" s="867" t="s">
        <v>2811</v>
      </c>
    </row>
    <row r="7300" spans="1:16" ht="19.5" hidden="1" thickBot="1" x14ac:dyDescent="0.3">
      <c r="A7300" s="1116"/>
      <c r="B7300" s="805" t="s">
        <v>2708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2710</v>
      </c>
      <c r="I7300" s="808" t="s">
        <v>2710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2790</v>
      </c>
      <c r="P7300" s="867" t="s">
        <v>2810</v>
      </c>
    </row>
    <row r="7301" spans="1:16" ht="19.5" hidden="1" thickBot="1" x14ac:dyDescent="0.3">
      <c r="A7301" s="1104">
        <f>MAX(A7105:A7298)+1</f>
        <v>4481</v>
      </c>
      <c r="B7301" s="760" t="s">
        <v>2662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2710</v>
      </c>
      <c r="I7301" s="569" t="s">
        <v>2738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2718</v>
      </c>
      <c r="P7301" s="867" t="s">
        <v>2804</v>
      </c>
    </row>
    <row r="7302" spans="1:16" ht="19.5" hidden="1" thickBot="1" x14ac:dyDescent="0.3">
      <c r="A7302" s="1105"/>
      <c r="B7302" s="824" t="s">
        <v>2662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2710</v>
      </c>
      <c r="I7302" s="782" t="s">
        <v>2738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2717</v>
      </c>
      <c r="P7302" s="867" t="s">
        <v>2830</v>
      </c>
    </row>
    <row r="7303" spans="1:16" ht="19.5" hidden="1" thickBot="1" x14ac:dyDescent="0.3">
      <c r="A7303" s="1105"/>
      <c r="B7303" s="824" t="s">
        <v>2662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2710</v>
      </c>
      <c r="I7303" s="782" t="s">
        <v>2738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2716</v>
      </c>
      <c r="P7303" s="867" t="s">
        <v>2831</v>
      </c>
    </row>
    <row r="7304" spans="1:16" ht="19.5" hidden="1" thickBot="1" x14ac:dyDescent="0.3">
      <c r="A7304" s="1105"/>
      <c r="B7304" s="798" t="s">
        <v>2738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2710</v>
      </c>
      <c r="I7304" s="801" t="s">
        <v>2738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2797</v>
      </c>
      <c r="P7304" s="867" t="s">
        <v>2833</v>
      </c>
    </row>
    <row r="7305" spans="1:16" ht="19.5" hidden="1" thickBot="1" x14ac:dyDescent="0.3">
      <c r="A7305" s="1106"/>
      <c r="B7305" s="785" t="s">
        <v>2710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2710</v>
      </c>
      <c r="I7305" s="788" t="s">
        <v>2738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2794</v>
      </c>
      <c r="P7305" s="867" t="s">
        <v>2832</v>
      </c>
    </row>
    <row r="7306" spans="1:16" ht="19.5" hidden="1" thickBot="1" x14ac:dyDescent="0.3">
      <c r="A7306" s="1115">
        <f>MAX(A7108:A7303)+1</f>
        <v>4482</v>
      </c>
      <c r="B7306" s="610" t="s">
        <v>2662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2710</v>
      </c>
      <c r="I7306" s="484" t="s">
        <v>2738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2719</v>
      </c>
      <c r="P7306" s="867" t="s">
        <v>2824</v>
      </c>
    </row>
    <row r="7307" spans="1:16" ht="19.5" hidden="1" thickBot="1" x14ac:dyDescent="0.3">
      <c r="A7307" s="1126"/>
      <c r="B7307" s="994" t="s">
        <v>2738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2710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2796</v>
      </c>
      <c r="P7307" s="921" t="s">
        <v>1024</v>
      </c>
    </row>
    <row r="7308" spans="1:16" ht="19.5" hidden="1" thickBot="1" x14ac:dyDescent="0.3">
      <c r="A7308" s="1116"/>
      <c r="B7308" s="805" t="s">
        <v>2710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2710</v>
      </c>
      <c r="I7308" s="808" t="s">
        <v>2738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2795</v>
      </c>
      <c r="P7308" s="867" t="s">
        <v>2825</v>
      </c>
    </row>
    <row r="7309" spans="1:16" ht="19.5" hidden="1" thickBot="1" x14ac:dyDescent="0.3">
      <c r="A7309" s="503">
        <f>MAX(A7111:A7306)+1</f>
        <v>4483</v>
      </c>
      <c r="B7309" s="504" t="s">
        <v>2691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2710</v>
      </c>
      <c r="I7309" s="510" t="s">
        <v>2710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2739</v>
      </c>
      <c r="P7309" s="867" t="s">
        <v>2805</v>
      </c>
    </row>
    <row r="7310" spans="1:16" ht="19.5" hidden="1" thickBot="1" x14ac:dyDescent="0.3">
      <c r="A7310" s="513">
        <f>MAX(A7112:A7309)+1</f>
        <v>4484</v>
      </c>
      <c r="B7310" s="514" t="s">
        <v>2691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2710</v>
      </c>
      <c r="I7310" s="520" t="s">
        <v>2738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2740</v>
      </c>
      <c r="P7310" s="867" t="s">
        <v>2835</v>
      </c>
    </row>
    <row r="7311" spans="1:16" ht="19.5" hidden="1" thickBot="1" x14ac:dyDescent="0.3">
      <c r="A7311" s="1107">
        <f>MAX(A7113:A7310)+1</f>
        <v>4485</v>
      </c>
      <c r="B7311" s="750" t="s">
        <v>2691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2710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2743</v>
      </c>
      <c r="P7311" s="921" t="s">
        <v>1024</v>
      </c>
    </row>
    <row r="7312" spans="1:16" ht="19.5" hidden="1" thickBot="1" x14ac:dyDescent="0.3">
      <c r="A7312" s="1109"/>
      <c r="B7312" s="563" t="s">
        <v>2691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2710</v>
      </c>
      <c r="I7312" s="569" t="s">
        <v>2738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2748</v>
      </c>
      <c r="P7312" s="867" t="s">
        <v>2802</v>
      </c>
    </row>
    <row r="7313" spans="1:16" ht="19.5" hidden="1" thickBot="1" x14ac:dyDescent="0.3">
      <c r="A7313" s="1109"/>
      <c r="B7313" s="563" t="s">
        <v>2691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2710</v>
      </c>
      <c r="I7313" s="569" t="s">
        <v>2738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2749</v>
      </c>
      <c r="P7313" s="867" t="s">
        <v>2799</v>
      </c>
    </row>
    <row r="7314" spans="1:16" ht="19.5" hidden="1" thickBot="1" x14ac:dyDescent="0.3">
      <c r="A7314" s="1109"/>
      <c r="B7314" s="563" t="s">
        <v>2691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2710</v>
      </c>
      <c r="I7314" s="569" t="s">
        <v>2738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2745</v>
      </c>
      <c r="P7314" s="867" t="s">
        <v>2803</v>
      </c>
    </row>
    <row r="7315" spans="1:16" ht="19.5" hidden="1" thickBot="1" x14ac:dyDescent="0.3">
      <c r="A7315" s="1109"/>
      <c r="B7315" s="563" t="s">
        <v>2691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2710</v>
      </c>
      <c r="I7315" s="569" t="s">
        <v>2738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2744</v>
      </c>
      <c r="P7315" s="867" t="s">
        <v>2801</v>
      </c>
    </row>
    <row r="7316" spans="1:16" ht="19.5" hidden="1" thickBot="1" x14ac:dyDescent="0.3">
      <c r="A7316" s="1109"/>
      <c r="B7316" s="750" t="s">
        <v>2691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2710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2747</v>
      </c>
      <c r="P7316" s="921" t="s">
        <v>1024</v>
      </c>
    </row>
    <row r="7317" spans="1:16" ht="19.5" hidden="1" thickBot="1" x14ac:dyDescent="0.3">
      <c r="A7317" s="1108"/>
      <c r="B7317" s="590" t="s">
        <v>2691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2710</v>
      </c>
      <c r="I7317" s="596" t="s">
        <v>2710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2746</v>
      </c>
      <c r="P7317" s="867" t="s">
        <v>2800</v>
      </c>
    </row>
    <row r="7318" spans="1:16" ht="19.5" hidden="1" thickBot="1" x14ac:dyDescent="0.3">
      <c r="A7318" s="1115">
        <f>MAX(A7129:A7317)+1</f>
        <v>4486</v>
      </c>
      <c r="B7318" s="610" t="s">
        <v>2691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2738</v>
      </c>
      <c r="I7318" s="484" t="s">
        <v>2763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2742</v>
      </c>
      <c r="P7318" s="867" t="s">
        <v>2836</v>
      </c>
    </row>
    <row r="7319" spans="1:16" ht="19.5" hidden="1" thickBot="1" x14ac:dyDescent="0.3">
      <c r="A7319" s="1126"/>
      <c r="B7319" s="769" t="s">
        <v>2691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2738</v>
      </c>
      <c r="I7319" s="768" t="s">
        <v>2763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2741</v>
      </c>
      <c r="P7319" s="867" t="s">
        <v>2837</v>
      </c>
    </row>
    <row r="7320" spans="1:16" ht="19.5" hidden="1" thickBot="1" x14ac:dyDescent="0.3">
      <c r="A7320" s="1116"/>
      <c r="B7320" s="841" t="s">
        <v>2738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2738</v>
      </c>
      <c r="I7320" s="844" t="s">
        <v>2763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2798</v>
      </c>
      <c r="P7320" s="867" t="s">
        <v>2838</v>
      </c>
    </row>
    <row r="7321" spans="1:16" ht="19.5" hidden="1" thickBot="1" x14ac:dyDescent="0.3">
      <c r="A7321" s="1201">
        <f>MAX(A7131:A7320)+1</f>
        <v>4487</v>
      </c>
      <c r="B7321" s="1000" t="s">
        <v>2691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2841</v>
      </c>
      <c r="H7321" s="1004" t="s">
        <v>2738</v>
      </c>
      <c r="I7321" s="1005" t="s">
        <v>2765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2751</v>
      </c>
      <c r="P7321" s="867" t="s">
        <v>2876</v>
      </c>
    </row>
    <row r="7322" spans="1:16" ht="19.5" hidden="1" thickBot="1" x14ac:dyDescent="0.3">
      <c r="A7322" s="1202"/>
      <c r="B7322" s="1008" t="s">
        <v>2691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2738</v>
      </c>
      <c r="I7322" s="1014" t="s">
        <v>2765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2750</v>
      </c>
      <c r="P7322" s="867" t="s">
        <v>2875</v>
      </c>
    </row>
    <row r="7323" spans="1:16" ht="38.25" hidden="1" thickBot="1" x14ac:dyDescent="0.3">
      <c r="A7323" s="1202"/>
      <c r="B7323" s="1017" t="s">
        <v>2763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2842</v>
      </c>
      <c r="H7323" s="1020" t="s">
        <v>2738</v>
      </c>
      <c r="I7323" s="1020" t="s">
        <v>2765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2846</v>
      </c>
      <c r="P7323" s="867" t="s">
        <v>2877</v>
      </c>
    </row>
    <row r="7324" spans="1:16" ht="19.5" hidden="1" thickBot="1" x14ac:dyDescent="0.3">
      <c r="A7324" s="1203"/>
      <c r="B7324" s="1023" t="s">
        <v>2763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2738</v>
      </c>
      <c r="I7324" s="1026" t="s">
        <v>2765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2812</v>
      </c>
      <c r="P7324" s="867" t="s">
        <v>2878</v>
      </c>
    </row>
    <row r="7325" spans="1:16" ht="19.5" hidden="1" thickBot="1" x14ac:dyDescent="0.3">
      <c r="A7325" s="1110">
        <f>MAX(A7133:A7324)+1</f>
        <v>4488</v>
      </c>
      <c r="B7325" s="523" t="s">
        <v>2691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2738</v>
      </c>
      <c r="I7325" s="528" t="s">
        <v>2765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2753</v>
      </c>
      <c r="P7325" s="867" t="s">
        <v>2867</v>
      </c>
    </row>
    <row r="7326" spans="1:16" ht="19.5" hidden="1" thickBot="1" x14ac:dyDescent="0.3">
      <c r="A7326" s="1102"/>
      <c r="B7326" s="523" t="s">
        <v>2691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2738</v>
      </c>
      <c r="I7326" s="528" t="s">
        <v>2765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2752</v>
      </c>
      <c r="P7326" s="867" t="s">
        <v>2868</v>
      </c>
    </row>
    <row r="7327" spans="1:16" ht="19.5" hidden="1" thickBot="1" x14ac:dyDescent="0.3">
      <c r="A7327" s="1103"/>
      <c r="B7327" s="859" t="s">
        <v>2763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2738</v>
      </c>
      <c r="I7327" s="856" t="s">
        <v>2765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2813</v>
      </c>
      <c r="P7327" s="867" t="s">
        <v>2869</v>
      </c>
    </row>
    <row r="7328" spans="1:16" ht="19.5" hidden="1" thickBot="1" x14ac:dyDescent="0.3">
      <c r="A7328" s="1104">
        <f>MAX(A7135:A7327)+1</f>
        <v>4489</v>
      </c>
      <c r="B7328" s="760" t="s">
        <v>2691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2738</v>
      </c>
      <c r="I7328" s="569" t="s">
        <v>2765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2754</v>
      </c>
      <c r="P7328" s="867" t="s">
        <v>2883</v>
      </c>
    </row>
    <row r="7329" spans="1:17" ht="19.5" hidden="1" thickBot="1" x14ac:dyDescent="0.3">
      <c r="A7329" s="1106"/>
      <c r="B7329" s="798" t="s">
        <v>2763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2738</v>
      </c>
      <c r="I7329" s="801" t="s">
        <v>2765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2814</v>
      </c>
      <c r="P7329" s="867" t="s">
        <v>2884</v>
      </c>
    </row>
    <row r="7330" spans="1:17" ht="19.5" hidden="1" thickBot="1" x14ac:dyDescent="0.3">
      <c r="A7330" s="1115">
        <f>MAX(A7136:A7328)+1</f>
        <v>4490</v>
      </c>
      <c r="B7330" s="610" t="s">
        <v>2708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2763</v>
      </c>
      <c r="I7330" s="484" t="s">
        <v>2763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2766</v>
      </c>
      <c r="P7330" s="867" t="s">
        <v>2828</v>
      </c>
    </row>
    <row r="7331" spans="1:17" ht="19.5" hidden="1" thickBot="1" x14ac:dyDescent="0.3">
      <c r="A7331" s="1116"/>
      <c r="B7331" s="805" t="s">
        <v>2763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2763</v>
      </c>
      <c r="I7331" s="808" t="s">
        <v>2763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2816</v>
      </c>
      <c r="P7331" s="867" t="s">
        <v>2829</v>
      </c>
    </row>
    <row r="7332" spans="1:17" ht="26.25" hidden="1" customHeight="1" x14ac:dyDescent="0.25">
      <c r="A7332" s="1104">
        <f>MAX(A7137:A7330)+1</f>
        <v>4491</v>
      </c>
      <c r="B7332" s="759" t="s">
        <v>2708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204" t="s">
        <v>2764</v>
      </c>
      <c r="H7332" s="535" t="s">
        <v>2763</v>
      </c>
      <c r="I7332" s="537" t="s">
        <v>2843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2769</v>
      </c>
      <c r="P7332" s="867" t="s">
        <v>2898</v>
      </c>
      <c r="Q7332" s="847" t="s">
        <v>2899</v>
      </c>
    </row>
    <row r="7333" spans="1:17" ht="26.25" hidden="1" customHeight="1" x14ac:dyDescent="0.25">
      <c r="A7333" s="1105"/>
      <c r="B7333" s="824" t="s">
        <v>2708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205"/>
      <c r="H7333" s="819" t="s">
        <v>2763</v>
      </c>
      <c r="I7333" s="782" t="s">
        <v>2843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2768</v>
      </c>
      <c r="P7333" s="867" t="s">
        <v>2897</v>
      </c>
    </row>
    <row r="7334" spans="1:17" ht="26.25" hidden="1" customHeight="1" thickBot="1" x14ac:dyDescent="0.3">
      <c r="A7334" s="1106"/>
      <c r="B7334" s="798" t="s">
        <v>2763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206"/>
      <c r="H7334" s="801" t="s">
        <v>2763</v>
      </c>
      <c r="I7334" s="801" t="s">
        <v>2843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2823</v>
      </c>
      <c r="P7334" s="867" t="s">
        <v>2900</v>
      </c>
    </row>
    <row r="7335" spans="1:17" ht="19.5" hidden="1" thickBot="1" x14ac:dyDescent="0.3">
      <c r="A7335" s="1115">
        <f>MAX(A7139:A7334)+1</f>
        <v>4492</v>
      </c>
      <c r="B7335" s="610" t="s">
        <v>2708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136" t="s">
        <v>1633</v>
      </c>
      <c r="H7335" s="483" t="s">
        <v>2763</v>
      </c>
      <c r="I7335" s="484" t="s">
        <v>2853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2770</v>
      </c>
      <c r="P7335" s="867" t="s">
        <v>2941</v>
      </c>
    </row>
    <row r="7336" spans="1:17" ht="19.5" hidden="1" thickBot="1" x14ac:dyDescent="0.3">
      <c r="A7336" s="1116"/>
      <c r="B7336" s="805" t="s">
        <v>2763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138"/>
      <c r="H7336" s="808" t="s">
        <v>2763</v>
      </c>
      <c r="I7336" s="808" t="s">
        <v>2853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2815</v>
      </c>
      <c r="P7336" s="867" t="s">
        <v>2942</v>
      </c>
    </row>
    <row r="7337" spans="1:17" ht="19.5" hidden="1" thickBot="1" x14ac:dyDescent="0.3">
      <c r="A7337" s="503">
        <f>MAX(A7140:A7335)+1</f>
        <v>4493</v>
      </c>
      <c r="B7337" s="636" t="s">
        <v>2708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2763</v>
      </c>
      <c r="I7337" s="642" t="s">
        <v>2763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2776</v>
      </c>
      <c r="P7337" s="867" t="s">
        <v>2839</v>
      </c>
    </row>
    <row r="7338" spans="1:17" ht="19.5" hidden="1" thickBot="1" x14ac:dyDescent="0.3">
      <c r="A7338" s="1110">
        <f>MAX(A7141:A7337)+1</f>
        <v>4494</v>
      </c>
      <c r="B7338" s="479" t="s">
        <v>2708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2763</v>
      </c>
      <c r="I7338" s="484" t="s">
        <v>2765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2788</v>
      </c>
      <c r="P7338" s="867" t="s">
        <v>2880</v>
      </c>
    </row>
    <row r="7339" spans="1:17" ht="19.5" hidden="1" thickBot="1" x14ac:dyDescent="0.3">
      <c r="A7339" s="1102"/>
      <c r="B7339" s="523" t="s">
        <v>2708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2763</v>
      </c>
      <c r="I7339" s="528" t="s">
        <v>2765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2780</v>
      </c>
      <c r="P7339" s="867" t="s">
        <v>2881</v>
      </c>
    </row>
    <row r="7340" spans="1:17" ht="19.5" hidden="1" thickBot="1" x14ac:dyDescent="0.3">
      <c r="A7340" s="1103"/>
      <c r="B7340" s="645" t="s">
        <v>2708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2763</v>
      </c>
      <c r="I7340" s="651" t="s">
        <v>2765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2778</v>
      </c>
      <c r="P7340" s="867" t="s">
        <v>2882</v>
      </c>
    </row>
    <row r="7341" spans="1:17" ht="19.5" hidden="1" thickBot="1" x14ac:dyDescent="0.3">
      <c r="A7341" s="1107">
        <f>MAX(A7144:A7340)+1</f>
        <v>4495</v>
      </c>
      <c r="B7341" s="531" t="s">
        <v>2708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2763</v>
      </c>
      <c r="I7341" s="537" t="s">
        <v>2765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2789</v>
      </c>
      <c r="P7341" s="867" t="s">
        <v>2886</v>
      </c>
    </row>
    <row r="7342" spans="1:17" ht="19.5" hidden="1" thickBot="1" x14ac:dyDescent="0.3">
      <c r="A7342" s="1108"/>
      <c r="B7342" s="636" t="s">
        <v>2708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2763</v>
      </c>
      <c r="I7342" s="642" t="s">
        <v>2765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2787</v>
      </c>
      <c r="P7342" s="867" t="s">
        <v>2887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2708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2765</v>
      </c>
      <c r="I7343" s="520" t="s">
        <v>2765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2767</v>
      </c>
      <c r="P7343" s="867" t="s">
        <v>2847</v>
      </c>
    </row>
    <row r="7344" spans="1:17" ht="19.5" hidden="1" thickBot="1" x14ac:dyDescent="0.3">
      <c r="A7344" s="1104">
        <f t="shared" si="225"/>
        <v>4497</v>
      </c>
      <c r="B7344" s="760" t="s">
        <v>2708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2765</v>
      </c>
      <c r="I7344" s="569" t="s">
        <v>2765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2777</v>
      </c>
      <c r="P7344" s="867" t="s">
        <v>2879</v>
      </c>
    </row>
    <row r="7345" spans="1:18" ht="19.5" hidden="1" thickBot="1" x14ac:dyDescent="0.3">
      <c r="A7345" s="1106"/>
      <c r="B7345" s="1040" t="s">
        <v>2843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2765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2885</v>
      </c>
      <c r="P7345" s="921" t="s">
        <v>1024</v>
      </c>
    </row>
    <row r="7346" spans="1:18" ht="19.5" hidden="1" thickBot="1" x14ac:dyDescent="0.3">
      <c r="A7346" s="1115">
        <f>MAX(A7148:A7344)+1</f>
        <v>4498</v>
      </c>
      <c r="B7346" s="610" t="s">
        <v>2708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136" t="s">
        <v>1633</v>
      </c>
      <c r="H7346" s="483" t="s">
        <v>2765</v>
      </c>
      <c r="I7346" s="484" t="s">
        <v>2853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2785</v>
      </c>
      <c r="P7346" s="867" t="s">
        <v>2936</v>
      </c>
    </row>
    <row r="7347" spans="1:18" ht="19.5" hidden="1" thickBot="1" x14ac:dyDescent="0.3">
      <c r="A7347" s="1116"/>
      <c r="B7347" s="805" t="s">
        <v>2853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138"/>
      <c r="H7347" s="808" t="s">
        <v>2765</v>
      </c>
      <c r="I7347" s="808" t="s">
        <v>2904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2928</v>
      </c>
      <c r="P7347" s="867" t="s">
        <v>2963</v>
      </c>
    </row>
    <row r="7348" spans="1:18" ht="38.25" hidden="1" thickBot="1" x14ac:dyDescent="0.3">
      <c r="A7348" s="503">
        <f>MAX(A7149:A7346)+1</f>
        <v>4499</v>
      </c>
      <c r="B7348" s="504" t="s">
        <v>2708</v>
      </c>
      <c r="C7348" s="505" t="s">
        <v>2771</v>
      </c>
      <c r="D7348" s="506">
        <v>18.163</v>
      </c>
      <c r="E7348" s="507">
        <v>16.058</v>
      </c>
      <c r="F7348" s="508" t="s">
        <v>16</v>
      </c>
      <c r="G7348" s="509" t="s">
        <v>2779</v>
      </c>
      <c r="H7348" s="508" t="s">
        <v>2765</v>
      </c>
      <c r="I7348" s="510" t="s">
        <v>2817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2786</v>
      </c>
      <c r="P7348" s="867" t="s">
        <v>2866</v>
      </c>
    </row>
    <row r="7349" spans="1:18" ht="19.5" hidden="1" thickBot="1" x14ac:dyDescent="0.3">
      <c r="A7349" s="513">
        <f>MAX(A7150:A7348)+1</f>
        <v>4500</v>
      </c>
      <c r="B7349" s="514" t="s">
        <v>2708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2765</v>
      </c>
      <c r="I7349" s="520" t="s">
        <v>2817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2781</v>
      </c>
      <c r="P7349" s="867" t="s">
        <v>2874</v>
      </c>
    </row>
    <row r="7350" spans="1:18" ht="19.5" hidden="1" thickBot="1" x14ac:dyDescent="0.3">
      <c r="A7350" s="503">
        <f>MAX(A7151:A7349)+1</f>
        <v>4501</v>
      </c>
      <c r="B7350" s="504" t="s">
        <v>2763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2817</v>
      </c>
      <c r="I7350" s="510" t="s">
        <v>2969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2818</v>
      </c>
      <c r="P7350" s="867" t="s">
        <v>3009</v>
      </c>
      <c r="Q7350" s="847">
        <v>8493</v>
      </c>
      <c r="R7350" s="833" t="s">
        <v>3008</v>
      </c>
    </row>
    <row r="7351" spans="1:18" ht="19.5" hidden="1" thickBot="1" x14ac:dyDescent="0.3">
      <c r="A7351" s="1110">
        <f>MAX(A7152:A7350)+1</f>
        <v>4502</v>
      </c>
      <c r="B7351" s="479" t="s">
        <v>2763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2817</v>
      </c>
      <c r="I7351" s="484" t="s">
        <v>2817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2819</v>
      </c>
      <c r="P7351" s="867" t="s">
        <v>2870</v>
      </c>
    </row>
    <row r="7352" spans="1:18" ht="19.5" hidden="1" thickBot="1" x14ac:dyDescent="0.3">
      <c r="A7352" s="1102"/>
      <c r="B7352" s="523" t="s">
        <v>2763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2817</v>
      </c>
      <c r="I7352" s="528" t="s">
        <v>2817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2822</v>
      </c>
      <c r="P7352" s="867" t="s">
        <v>2871</v>
      </c>
    </row>
    <row r="7353" spans="1:18" ht="19.5" hidden="1" thickBot="1" x14ac:dyDescent="0.3">
      <c r="A7353" s="1102"/>
      <c r="B7353" s="523" t="s">
        <v>2763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2817</v>
      </c>
      <c r="I7353" s="528" t="s">
        <v>2817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2820</v>
      </c>
      <c r="P7353" s="867" t="s">
        <v>2872</v>
      </c>
    </row>
    <row r="7354" spans="1:18" ht="19.5" hidden="1" thickBot="1" x14ac:dyDescent="0.3">
      <c r="A7354" s="1103"/>
      <c r="B7354" s="645" t="s">
        <v>2763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2817</v>
      </c>
      <c r="I7354" s="651" t="s">
        <v>2817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2821</v>
      </c>
      <c r="P7354" s="867" t="s">
        <v>2873</v>
      </c>
    </row>
    <row r="7355" spans="1:18" ht="19.5" hidden="1" thickBot="1" x14ac:dyDescent="0.3">
      <c r="A7355" s="503">
        <f>MAX(A7156:A7354)+1</f>
        <v>4503</v>
      </c>
      <c r="B7355" s="504" t="s">
        <v>2765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2843</v>
      </c>
      <c r="I7355" s="510" t="s">
        <v>2848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2844</v>
      </c>
      <c r="P7355" s="867" t="s">
        <v>2901</v>
      </c>
    </row>
    <row r="7356" spans="1:18" ht="19.5" hidden="1" thickBot="1" x14ac:dyDescent="0.3">
      <c r="A7356" s="572">
        <f>MAX(A7157:A7355)+1</f>
        <v>4504</v>
      </c>
      <c r="B7356" s="573" t="s">
        <v>2765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2843</v>
      </c>
      <c r="I7356" s="579" t="s">
        <v>2853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2845</v>
      </c>
      <c r="P7356" s="867" t="s">
        <v>2935</v>
      </c>
    </row>
    <row r="7357" spans="1:18" ht="19.5" hidden="1" thickBot="1" x14ac:dyDescent="0.3">
      <c r="A7357" s="1104">
        <f t="shared" ref="A7357" si="226">MAX(A7159:A7356)+1</f>
        <v>4505</v>
      </c>
      <c r="B7357" s="759" t="s">
        <v>2817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2848</v>
      </c>
      <c r="I7357" s="537" t="s">
        <v>2853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2851</v>
      </c>
      <c r="P7357" s="867" t="s">
        <v>2931</v>
      </c>
      <c r="Q7357" s="847" t="s">
        <v>2932</v>
      </c>
    </row>
    <row r="7358" spans="1:18" ht="19.5" hidden="1" thickBot="1" x14ac:dyDescent="0.3">
      <c r="A7358" s="1105"/>
      <c r="B7358" s="852" t="s">
        <v>2853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2848</v>
      </c>
      <c r="I7358" s="839" t="s">
        <v>2853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2922</v>
      </c>
      <c r="P7358" s="867" t="s">
        <v>2945</v>
      </c>
    </row>
    <row r="7359" spans="1:18" ht="19.5" hidden="1" thickBot="1" x14ac:dyDescent="0.3">
      <c r="A7359" s="1106"/>
      <c r="B7359" s="785" t="s">
        <v>2848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2848</v>
      </c>
      <c r="I7359" s="788" t="s">
        <v>2853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2902</v>
      </c>
      <c r="P7359" s="867" t="s">
        <v>2933</v>
      </c>
    </row>
    <row r="7360" spans="1:18" ht="19.5" hidden="1" thickBot="1" x14ac:dyDescent="0.3">
      <c r="A7360" s="1115">
        <f>MAX(A7160:A7357)+1</f>
        <v>4506</v>
      </c>
      <c r="B7360" s="610" t="s">
        <v>2817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2848</v>
      </c>
      <c r="I7360" s="484" t="s">
        <v>2853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2852</v>
      </c>
      <c r="P7360" s="867" t="s">
        <v>2943</v>
      </c>
    </row>
    <row r="7361" spans="1:16" ht="19.5" hidden="1" thickBot="1" x14ac:dyDescent="0.3">
      <c r="A7361" s="1126"/>
      <c r="B7361" s="792" t="s">
        <v>2853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2848</v>
      </c>
      <c r="I7361" s="795" t="s">
        <v>2853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2923</v>
      </c>
      <c r="P7361" s="867" t="s">
        <v>2934</v>
      </c>
    </row>
    <row r="7362" spans="1:16" ht="19.5" hidden="1" thickBot="1" x14ac:dyDescent="0.3">
      <c r="A7362" s="1116"/>
      <c r="B7362" s="805" t="s">
        <v>2848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2848</v>
      </c>
      <c r="I7362" s="808" t="s">
        <v>2853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2906</v>
      </c>
      <c r="P7362" s="867" t="s">
        <v>2944</v>
      </c>
    </row>
    <row r="7363" spans="1:16" ht="19.5" hidden="1" thickBot="1" x14ac:dyDescent="0.3">
      <c r="A7363" s="503">
        <f>MAX(A7161:A7360)+1</f>
        <v>4507</v>
      </c>
      <c r="B7363" s="504" t="s">
        <v>2817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2848</v>
      </c>
      <c r="I7363" s="510" t="s">
        <v>2904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2850</v>
      </c>
      <c r="P7363" s="867" t="s">
        <v>2955</v>
      </c>
    </row>
    <row r="7364" spans="1:16" ht="19.5" hidden="1" thickBot="1" x14ac:dyDescent="0.3">
      <c r="A7364" s="513">
        <f>MAX(A7162:A7363)+1</f>
        <v>4508</v>
      </c>
      <c r="B7364" s="514" t="s">
        <v>2817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2848</v>
      </c>
      <c r="I7364" s="520" t="s">
        <v>2987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2849</v>
      </c>
      <c r="P7364" s="867" t="s">
        <v>3070</v>
      </c>
    </row>
    <row r="7365" spans="1:16" ht="19.5" hidden="1" thickBot="1" x14ac:dyDescent="0.3">
      <c r="A7365" s="1104">
        <f>MAX(A7163:A7364)+1</f>
        <v>4509</v>
      </c>
      <c r="B7365" s="760" t="s">
        <v>2817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2853</v>
      </c>
      <c r="I7365" s="569" t="s">
        <v>2904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2854</v>
      </c>
      <c r="P7365" s="867" t="s">
        <v>2952</v>
      </c>
    </row>
    <row r="7366" spans="1:16" ht="19.5" hidden="1" thickBot="1" x14ac:dyDescent="0.3">
      <c r="A7366" s="1106"/>
      <c r="B7366" s="798" t="s">
        <v>2904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2853</v>
      </c>
      <c r="I7366" s="801" t="s">
        <v>2904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2950</v>
      </c>
      <c r="P7366" s="867" t="s">
        <v>2953</v>
      </c>
    </row>
    <row r="7367" spans="1:16" ht="19.5" hidden="1" thickBot="1" x14ac:dyDescent="0.3">
      <c r="A7367" s="1115">
        <f>MAX(A7164:A7365)+1</f>
        <v>4510</v>
      </c>
      <c r="B7367" s="610" t="s">
        <v>2817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2853</v>
      </c>
      <c r="I7367" s="484" t="s">
        <v>2853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2855</v>
      </c>
      <c r="P7367" s="867" t="s">
        <v>2938</v>
      </c>
    </row>
    <row r="7368" spans="1:16" ht="19.5" hidden="1" thickBot="1" x14ac:dyDescent="0.3">
      <c r="A7368" s="1126"/>
      <c r="B7368" s="864" t="s">
        <v>2889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2853</v>
      </c>
      <c r="I7368" s="860" t="s">
        <v>2889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2930</v>
      </c>
      <c r="P7368" s="867" t="s">
        <v>2949</v>
      </c>
    </row>
    <row r="7369" spans="1:16" ht="19.5" hidden="1" thickBot="1" x14ac:dyDescent="0.3">
      <c r="A7369" s="1116"/>
      <c r="B7369" s="841" t="s">
        <v>2853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2853</v>
      </c>
      <c r="I7369" s="844" t="s">
        <v>2853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2924</v>
      </c>
      <c r="P7369" s="867" t="s">
        <v>2939</v>
      </c>
    </row>
    <row r="7370" spans="1:16" ht="57" hidden="1" thickBot="1" x14ac:dyDescent="0.3">
      <c r="A7370" s="1104">
        <f>MAX(A7165:A7367)+1</f>
        <v>4511</v>
      </c>
      <c r="B7370" s="759" t="s">
        <v>2817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2853</v>
      </c>
      <c r="I7370" s="537" t="s">
        <v>2908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2858</v>
      </c>
      <c r="P7370" s="867" t="s">
        <v>2980</v>
      </c>
    </row>
    <row r="7371" spans="1:16" ht="19.5" hidden="1" thickBot="1" x14ac:dyDescent="0.3">
      <c r="A7371" s="1105"/>
      <c r="B7371" s="824" t="s">
        <v>2817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2853</v>
      </c>
      <c r="I7371" s="782" t="s">
        <v>2908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2859</v>
      </c>
      <c r="P7371" s="867" t="s">
        <v>2981</v>
      </c>
    </row>
    <row r="7372" spans="1:16" ht="19.5" hidden="1" thickBot="1" x14ac:dyDescent="0.3">
      <c r="A7372" s="1105"/>
      <c r="B7372" s="824" t="s">
        <v>2817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2853</v>
      </c>
      <c r="I7372" s="782" t="s">
        <v>2908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2856</v>
      </c>
      <c r="P7372" s="867" t="s">
        <v>2983</v>
      </c>
    </row>
    <row r="7373" spans="1:16" ht="19.5" hidden="1" thickBot="1" x14ac:dyDescent="0.3">
      <c r="A7373" s="1105"/>
      <c r="B7373" s="813" t="s">
        <v>2908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2853</v>
      </c>
      <c r="I7373" s="816" t="s">
        <v>2908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2968</v>
      </c>
      <c r="P7373" s="867" t="s">
        <v>2984</v>
      </c>
    </row>
    <row r="7374" spans="1:16" ht="19.5" hidden="1" thickBot="1" x14ac:dyDescent="0.3">
      <c r="A7374" s="1106"/>
      <c r="B7374" s="785" t="s">
        <v>2853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2853</v>
      </c>
      <c r="I7374" s="788" t="s">
        <v>2853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2927</v>
      </c>
      <c r="P7374" s="867" t="s">
        <v>2937</v>
      </c>
    </row>
    <row r="7375" spans="1:16" ht="19.5" hidden="1" thickBot="1" x14ac:dyDescent="0.3">
      <c r="A7375" s="1110">
        <f>MAX(A7168:A7374)+1</f>
        <v>4512</v>
      </c>
      <c r="B7375" s="523" t="s">
        <v>2817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42" t="s">
        <v>2903</v>
      </c>
      <c r="H7375" s="527" t="s">
        <v>2853</v>
      </c>
      <c r="I7375" s="528" t="s">
        <v>2969</v>
      </c>
      <c r="J7375" s="529"/>
      <c r="K7375" s="527" t="str">
        <f t="shared" ref="K7375:K7438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2862</v>
      </c>
      <c r="P7375" s="867" t="s">
        <v>3023</v>
      </c>
    </row>
    <row r="7376" spans="1:16" ht="19.5" hidden="1" thickBot="1" x14ac:dyDescent="0.3">
      <c r="A7376" s="1102"/>
      <c r="B7376" s="523" t="s">
        <v>2817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42"/>
      <c r="H7376" s="527" t="s">
        <v>2853</v>
      </c>
      <c r="I7376" s="528" t="s">
        <v>2969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2860</v>
      </c>
      <c r="P7376" s="867" t="s">
        <v>3024</v>
      </c>
    </row>
    <row r="7377" spans="1:16" ht="19.5" hidden="1" thickBot="1" x14ac:dyDescent="0.3">
      <c r="A7377" s="1102"/>
      <c r="B7377" s="523" t="s">
        <v>2817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42"/>
      <c r="H7377" s="527" t="s">
        <v>2853</v>
      </c>
      <c r="I7377" s="528" t="s">
        <v>2969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2857</v>
      </c>
      <c r="P7377" s="867" t="s">
        <v>3025</v>
      </c>
    </row>
    <row r="7378" spans="1:16" ht="19.5" hidden="1" thickBot="1" x14ac:dyDescent="0.3">
      <c r="A7378" s="1102"/>
      <c r="B7378" s="944" t="s">
        <v>2853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42"/>
      <c r="H7378" s="947" t="s">
        <v>2853</v>
      </c>
      <c r="I7378" s="947" t="s">
        <v>2969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2925</v>
      </c>
      <c r="P7378" s="867" t="s">
        <v>3026</v>
      </c>
    </row>
    <row r="7379" spans="1:16" ht="19.5" hidden="1" thickBot="1" x14ac:dyDescent="0.3">
      <c r="A7379" s="1103"/>
      <c r="B7379" s="1031" t="s">
        <v>2848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43"/>
      <c r="H7379" s="1035" t="s">
        <v>2889</v>
      </c>
      <c r="I7379" s="1036" t="s">
        <v>2969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2907</v>
      </c>
      <c r="P7379" s="867" t="s">
        <v>3022</v>
      </c>
    </row>
    <row r="7380" spans="1:16" ht="19.5" hidden="1" thickBot="1" x14ac:dyDescent="0.3">
      <c r="A7380" s="503">
        <f>MAX(A7171:A7379)+1</f>
        <v>4513</v>
      </c>
      <c r="B7380" s="504" t="s">
        <v>2817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2853</v>
      </c>
      <c r="I7380" s="510" t="s">
        <v>2904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2861</v>
      </c>
      <c r="P7380" s="867" t="s">
        <v>2958</v>
      </c>
    </row>
    <row r="7381" spans="1:16" ht="19.5" hidden="1" thickBot="1" x14ac:dyDescent="0.3">
      <c r="A7381" s="1110">
        <f>MAX(A7172:A7380)+1</f>
        <v>4514</v>
      </c>
      <c r="B7381" s="479" t="s">
        <v>2817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2853</v>
      </c>
      <c r="I7381" s="484" t="s">
        <v>2904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2864</v>
      </c>
      <c r="P7381" s="867" t="s">
        <v>2961</v>
      </c>
    </row>
    <row r="7382" spans="1:16" ht="19.5" hidden="1" thickBot="1" x14ac:dyDescent="0.3">
      <c r="A7382" s="1102"/>
      <c r="B7382" s="523" t="s">
        <v>2817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2853</v>
      </c>
      <c r="I7382" s="528" t="s">
        <v>2904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2865</v>
      </c>
      <c r="P7382" s="867" t="s">
        <v>2960</v>
      </c>
    </row>
    <row r="7383" spans="1:16" ht="19.5" hidden="1" thickBot="1" x14ac:dyDescent="0.3">
      <c r="A7383" s="1102"/>
      <c r="B7383" s="523" t="s">
        <v>2817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2853</v>
      </c>
      <c r="I7383" s="528" t="s">
        <v>2904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2863</v>
      </c>
      <c r="P7383" s="867" t="s">
        <v>2962</v>
      </c>
    </row>
    <row r="7384" spans="1:16" ht="19.5" hidden="1" thickBot="1" x14ac:dyDescent="0.3">
      <c r="A7384" s="1102"/>
      <c r="B7384" s="1039" t="s">
        <v>2853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2853</v>
      </c>
      <c r="I7384" s="795" t="s">
        <v>2908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2926</v>
      </c>
      <c r="P7384" s="867" t="s">
        <v>2982</v>
      </c>
    </row>
    <row r="7385" spans="1:16" ht="19.5" hidden="1" thickBot="1" x14ac:dyDescent="0.3">
      <c r="A7385" s="503">
        <f>MAX(A7175:A7384)+1</f>
        <v>4515</v>
      </c>
      <c r="B7385" s="504" t="s">
        <v>2843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2853</v>
      </c>
      <c r="I7385" s="510" t="s">
        <v>2904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2888</v>
      </c>
      <c r="P7385" s="867" t="s">
        <v>2940</v>
      </c>
    </row>
    <row r="7386" spans="1:16" ht="19.5" hidden="1" thickBot="1" x14ac:dyDescent="0.3">
      <c r="A7386" s="1110">
        <f>MAX(A7176:A7385)+1</f>
        <v>4516</v>
      </c>
      <c r="B7386" s="479" t="s">
        <v>2843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2889</v>
      </c>
      <c r="I7386" s="484" t="s">
        <v>2889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2890</v>
      </c>
      <c r="P7386" s="867" t="s">
        <v>2947</v>
      </c>
    </row>
    <row r="7387" spans="1:16" ht="19.5" hidden="1" thickBot="1" x14ac:dyDescent="0.3">
      <c r="A7387" s="1102"/>
      <c r="B7387" s="523" t="s">
        <v>2843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2889</v>
      </c>
      <c r="I7387" s="528" t="s">
        <v>2889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2891</v>
      </c>
      <c r="P7387" s="867" t="s">
        <v>2946</v>
      </c>
    </row>
    <row r="7388" spans="1:16" ht="19.5" hidden="1" thickBot="1" x14ac:dyDescent="0.3">
      <c r="A7388" s="1103"/>
      <c r="B7388" s="859" t="s">
        <v>2853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2889</v>
      </c>
      <c r="I7388" s="856" t="s">
        <v>2889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2929</v>
      </c>
      <c r="P7388" s="867" t="s">
        <v>2948</v>
      </c>
    </row>
    <row r="7389" spans="1:16" ht="19.5" hidden="1" thickBot="1" x14ac:dyDescent="0.3">
      <c r="A7389" s="1107">
        <f>MAX(A7178:A7388)+1</f>
        <v>4517</v>
      </c>
      <c r="B7389" s="531" t="s">
        <v>2843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2889</v>
      </c>
      <c r="I7389" s="537" t="s">
        <v>2908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2893</v>
      </c>
      <c r="P7389" s="867" t="s">
        <v>2976</v>
      </c>
    </row>
    <row r="7390" spans="1:16" ht="19.5" hidden="1" thickBot="1" x14ac:dyDescent="0.3">
      <c r="A7390" s="1109"/>
      <c r="B7390" s="563" t="s">
        <v>2843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2889</v>
      </c>
      <c r="I7390" s="569" t="s">
        <v>2908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2894</v>
      </c>
      <c r="P7390" s="867" t="s">
        <v>2985</v>
      </c>
    </row>
    <row r="7391" spans="1:16" ht="19.5" hidden="1" thickBot="1" x14ac:dyDescent="0.3">
      <c r="A7391" s="1108"/>
      <c r="B7391" s="832" t="s">
        <v>2908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2889</v>
      </c>
      <c r="I7391" s="829" t="s">
        <v>2908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2967</v>
      </c>
      <c r="P7391" s="867" t="s">
        <v>3007</v>
      </c>
    </row>
    <row r="7392" spans="1:16" ht="19.5" hidden="1" thickBot="1" x14ac:dyDescent="0.3">
      <c r="A7392" s="1110">
        <f>MAX(A7180:A7391)+1</f>
        <v>4518</v>
      </c>
      <c r="B7392" s="479" t="s">
        <v>2843</v>
      </c>
      <c r="C7392" s="480" t="s">
        <v>2713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2889</v>
      </c>
      <c r="I7392" s="484" t="s">
        <v>2986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2892</v>
      </c>
      <c r="P7392" s="867" t="s">
        <v>3003</v>
      </c>
    </row>
    <row r="7393" spans="1:16" ht="19.5" hidden="1" thickBot="1" x14ac:dyDescent="0.3">
      <c r="A7393" s="1102"/>
      <c r="B7393" s="523" t="s">
        <v>2843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2889</v>
      </c>
      <c r="I7393" s="528" t="s">
        <v>2986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2895</v>
      </c>
      <c r="P7393" s="867" t="s">
        <v>3004</v>
      </c>
    </row>
    <row r="7394" spans="1:16" ht="19.5" hidden="1" thickBot="1" x14ac:dyDescent="0.3">
      <c r="A7394" s="1102"/>
      <c r="B7394" s="864" t="s">
        <v>2986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2889</v>
      </c>
      <c r="I7394" s="860" t="s">
        <v>2986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2993</v>
      </c>
      <c r="P7394" s="867" t="s">
        <v>3006</v>
      </c>
    </row>
    <row r="7395" spans="1:16" ht="19.5" hidden="1" thickBot="1" x14ac:dyDescent="0.3">
      <c r="A7395" s="1103"/>
      <c r="B7395" s="859" t="s">
        <v>2908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2889</v>
      </c>
      <c r="I7395" s="856" t="s">
        <v>2986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2972</v>
      </c>
      <c r="P7395" s="867" t="s">
        <v>3005</v>
      </c>
    </row>
    <row r="7396" spans="1:16" ht="19.5" hidden="1" thickBot="1" x14ac:dyDescent="0.3">
      <c r="A7396" s="551">
        <f>MAX(A7182:A7395)+1</f>
        <v>4519</v>
      </c>
      <c r="B7396" s="552" t="s">
        <v>2843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2889</v>
      </c>
      <c r="I7396" s="558" t="s">
        <v>2904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2896</v>
      </c>
      <c r="P7396" s="867" t="s">
        <v>2964</v>
      </c>
    </row>
    <row r="7397" spans="1:16" ht="19.5" hidden="1" thickBot="1" x14ac:dyDescent="0.3">
      <c r="A7397" s="1047">
        <f>MAX(A7183:A7396)+1</f>
        <v>4520</v>
      </c>
      <c r="B7397" s="1048" t="s">
        <v>2848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2904</v>
      </c>
      <c r="I7397" s="520" t="s">
        <v>2904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2905</v>
      </c>
      <c r="P7397" s="867" t="s">
        <v>2959</v>
      </c>
    </row>
    <row r="7398" spans="1:16" ht="19.5" hidden="1" thickBot="1" x14ac:dyDescent="0.3">
      <c r="A7398" s="1105">
        <f>MAX(A7184:A7397)+1</f>
        <v>4521</v>
      </c>
      <c r="B7398" s="760" t="s">
        <v>2848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2904</v>
      </c>
      <c r="I7398" s="569" t="s">
        <v>2908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2914</v>
      </c>
      <c r="P7398" s="867" t="s">
        <v>3011</v>
      </c>
    </row>
    <row r="7399" spans="1:16" ht="19.5" hidden="1" thickBot="1" x14ac:dyDescent="0.3">
      <c r="A7399" s="1105"/>
      <c r="B7399" s="852" t="s">
        <v>2908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2904</v>
      </c>
      <c r="I7399" s="839" t="s">
        <v>2908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2965</v>
      </c>
      <c r="P7399" s="867" t="s">
        <v>2977</v>
      </c>
    </row>
    <row r="7400" spans="1:16" ht="19.5" hidden="1" thickBot="1" x14ac:dyDescent="0.3">
      <c r="A7400" s="1106"/>
      <c r="B7400" s="798" t="s">
        <v>2904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2904</v>
      </c>
      <c r="I7400" s="801" t="s">
        <v>2904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2951</v>
      </c>
      <c r="P7400" s="867" t="s">
        <v>2954</v>
      </c>
    </row>
    <row r="7401" spans="1:16" ht="19.5" hidden="1" thickBot="1" x14ac:dyDescent="0.3">
      <c r="A7401" s="1115">
        <f>MAX(A7185:A7398)+1</f>
        <v>4522</v>
      </c>
      <c r="B7401" s="610" t="s">
        <v>2848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136" t="s">
        <v>1634</v>
      </c>
      <c r="H7401" s="483" t="s">
        <v>2904</v>
      </c>
      <c r="I7401" s="484" t="s">
        <v>2988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2915</v>
      </c>
      <c r="P7401" s="867" t="s">
        <v>3076</v>
      </c>
    </row>
    <row r="7402" spans="1:16" ht="19.5" hidden="1" thickBot="1" x14ac:dyDescent="0.3">
      <c r="A7402" s="1116"/>
      <c r="B7402" s="841" t="s">
        <v>2908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48"/>
      <c r="H7402" s="844" t="s">
        <v>2904</v>
      </c>
      <c r="I7402" s="844" t="s">
        <v>2988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2971</v>
      </c>
      <c r="P7402" s="867" t="s">
        <v>3077</v>
      </c>
    </row>
    <row r="7403" spans="1:16" ht="19.5" hidden="1" thickBot="1" x14ac:dyDescent="0.3">
      <c r="A7403" s="1104">
        <f>MAX(A7186:A7401)+1</f>
        <v>4523</v>
      </c>
      <c r="B7403" s="759" t="s">
        <v>2848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24" t="s">
        <v>1633</v>
      </c>
      <c r="H7403" s="535" t="s">
        <v>2904</v>
      </c>
      <c r="I7403" s="537" t="s">
        <v>2987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2916</v>
      </c>
      <c r="P7403" s="867" t="s">
        <v>3056</v>
      </c>
    </row>
    <row r="7404" spans="1:16" ht="19.5" hidden="1" thickBot="1" x14ac:dyDescent="0.3">
      <c r="A7404" s="1106"/>
      <c r="B7404" s="785" t="s">
        <v>2908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25"/>
      <c r="H7404" s="788" t="s">
        <v>2904</v>
      </c>
      <c r="I7404" s="788" t="s">
        <v>2987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2974</v>
      </c>
      <c r="P7404" s="867" t="s">
        <v>3057</v>
      </c>
    </row>
    <row r="7405" spans="1:16" ht="19.5" hidden="1" thickBot="1" x14ac:dyDescent="0.3">
      <c r="A7405" s="1110">
        <f>MAX(A7187:A7403)+1</f>
        <v>4524</v>
      </c>
      <c r="B7405" s="523" t="s">
        <v>2848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2904</v>
      </c>
      <c r="I7405" s="528" t="s">
        <v>2908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2912</v>
      </c>
      <c r="P7405" s="867" t="s">
        <v>2956</v>
      </c>
    </row>
    <row r="7406" spans="1:16" ht="19.5" hidden="1" thickBot="1" x14ac:dyDescent="0.3">
      <c r="A7406" s="1103"/>
      <c r="B7406" s="645" t="s">
        <v>2848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2904</v>
      </c>
      <c r="I7406" s="651" t="s">
        <v>2908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2910</v>
      </c>
      <c r="P7406" s="867" t="s">
        <v>2957</v>
      </c>
    </row>
    <row r="7407" spans="1:16" ht="19.5" hidden="1" thickBot="1" x14ac:dyDescent="0.3">
      <c r="A7407" s="1105">
        <f>MAX(A7189:A7406)+1</f>
        <v>4525</v>
      </c>
      <c r="B7407" s="760" t="s">
        <v>2848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2908</v>
      </c>
      <c r="I7407" s="569" t="s">
        <v>2986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2917</v>
      </c>
      <c r="P7407" s="867" t="s">
        <v>3002</v>
      </c>
    </row>
    <row r="7408" spans="1:16" ht="19.5" hidden="1" thickBot="1" x14ac:dyDescent="0.3">
      <c r="A7408" s="1106"/>
      <c r="B7408" s="798" t="s">
        <v>2908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2908</v>
      </c>
      <c r="I7408" s="801" t="s">
        <v>2986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2966</v>
      </c>
      <c r="P7408" s="867" t="s">
        <v>3010</v>
      </c>
    </row>
    <row r="7409" spans="1:16" ht="19.5" hidden="1" thickBot="1" x14ac:dyDescent="0.3">
      <c r="A7409" s="1115">
        <f>MAX(A7190:A7407)+1</f>
        <v>4526</v>
      </c>
      <c r="B7409" s="610" t="s">
        <v>2848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136" t="s">
        <v>2909</v>
      </c>
      <c r="H7409" s="483" t="s">
        <v>2908</v>
      </c>
      <c r="I7409" s="484" t="s">
        <v>2988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2918</v>
      </c>
      <c r="P7409" s="867" t="s">
        <v>3071</v>
      </c>
    </row>
    <row r="7410" spans="1:16" ht="19.5" hidden="1" thickBot="1" x14ac:dyDescent="0.3">
      <c r="A7410" s="1126"/>
      <c r="B7410" s="769" t="s">
        <v>2848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137"/>
      <c r="H7410" s="763" t="s">
        <v>2908</v>
      </c>
      <c r="I7410" s="768" t="s">
        <v>2988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2919</v>
      </c>
      <c r="P7410" s="867" t="s">
        <v>3080</v>
      </c>
    </row>
    <row r="7411" spans="1:16" ht="19.5" hidden="1" thickBot="1" x14ac:dyDescent="0.3">
      <c r="A7411" s="1116"/>
      <c r="B7411" s="805" t="s">
        <v>2908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138"/>
      <c r="H7411" s="808" t="s">
        <v>2908</v>
      </c>
      <c r="I7411" s="808" t="s">
        <v>2988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2973</v>
      </c>
      <c r="P7411" s="867" t="s">
        <v>3072</v>
      </c>
    </row>
    <row r="7412" spans="1:16" ht="19.5" hidden="1" thickBot="1" x14ac:dyDescent="0.3">
      <c r="A7412" s="1104">
        <f>MAX(A7192:A7411)+1</f>
        <v>4527</v>
      </c>
      <c r="B7412" s="759" t="s">
        <v>2848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24" t="s">
        <v>1633</v>
      </c>
      <c r="H7412" s="535" t="s">
        <v>2908</v>
      </c>
      <c r="I7412" s="537" t="s">
        <v>3032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2920</v>
      </c>
      <c r="P7412" s="867" t="s">
        <v>3101</v>
      </c>
    </row>
    <row r="7413" spans="1:16" ht="19.5" hidden="1" thickBot="1" x14ac:dyDescent="0.3">
      <c r="A7413" s="1106"/>
      <c r="B7413" s="785" t="s">
        <v>2908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25"/>
      <c r="H7413" s="788" t="s">
        <v>2908</v>
      </c>
      <c r="I7413" s="788" t="s">
        <v>3032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2975</v>
      </c>
      <c r="P7413" s="867" t="s">
        <v>3102</v>
      </c>
    </row>
    <row r="7414" spans="1:16" ht="19.5" hidden="1" thickBot="1" x14ac:dyDescent="0.3">
      <c r="A7414" s="513">
        <f>MAX(A7193:A7412)+1</f>
        <v>4528</v>
      </c>
      <c r="B7414" s="514" t="s">
        <v>2848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2908</v>
      </c>
      <c r="I7414" s="520" t="s">
        <v>2987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2921</v>
      </c>
      <c r="P7414" s="867" t="s">
        <v>3073</v>
      </c>
    </row>
    <row r="7415" spans="1:16" ht="19.5" hidden="1" thickBot="1" x14ac:dyDescent="0.3">
      <c r="A7415" s="1107">
        <f>MAX(A7194:A7414)+1</f>
        <v>4529</v>
      </c>
      <c r="B7415" s="531" t="s">
        <v>2848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2908</v>
      </c>
      <c r="I7415" s="537" t="s">
        <v>2908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2911</v>
      </c>
      <c r="P7415" s="867" t="s">
        <v>2978</v>
      </c>
    </row>
    <row r="7416" spans="1:16" ht="19.5" hidden="1" thickBot="1" x14ac:dyDescent="0.3">
      <c r="A7416" s="1108"/>
      <c r="B7416" s="636" t="s">
        <v>2848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2908</v>
      </c>
      <c r="I7416" s="642" t="s">
        <v>2908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2913</v>
      </c>
      <c r="P7416" s="867" t="s">
        <v>2979</v>
      </c>
    </row>
    <row r="7417" spans="1:16" ht="19.5" hidden="1" thickBot="1" x14ac:dyDescent="0.3">
      <c r="A7417" s="572">
        <f>MAX(A7196:A7416)+1</f>
        <v>4530</v>
      </c>
      <c r="B7417" s="573" t="s">
        <v>2908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2969</v>
      </c>
      <c r="I7417" s="579" t="s">
        <v>2987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2970</v>
      </c>
      <c r="P7417" s="867" t="s">
        <v>3053</v>
      </c>
    </row>
    <row r="7418" spans="1:16" ht="19.5" hidden="1" thickBot="1" x14ac:dyDescent="0.3">
      <c r="A7418" s="1104">
        <f>MAX(A7197:A7417)+1</f>
        <v>4531</v>
      </c>
      <c r="B7418" s="759" t="s">
        <v>2986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536"/>
      <c r="H7418" s="535" t="s">
        <v>2987</v>
      </c>
      <c r="I7418" s="537" t="s">
        <v>2987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2992</v>
      </c>
      <c r="P7418" s="867" t="s">
        <v>3074</v>
      </c>
    </row>
    <row r="7419" spans="1:16" ht="19.5" hidden="1" thickBot="1" x14ac:dyDescent="0.3">
      <c r="A7419" s="1105"/>
      <c r="B7419" s="852" t="s">
        <v>2987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2987</v>
      </c>
      <c r="I7419" s="839" t="s">
        <v>2987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3029</v>
      </c>
      <c r="P7419" s="867" t="s">
        <v>3075</v>
      </c>
    </row>
    <row r="7420" spans="1:16" ht="19.5" hidden="1" thickBot="1" x14ac:dyDescent="0.3">
      <c r="A7420" s="1106"/>
      <c r="B7420" s="798" t="s">
        <v>2987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2987</v>
      </c>
      <c r="I7420" s="801" t="s">
        <v>3012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3027</v>
      </c>
      <c r="P7420" s="867" t="s">
        <v>3068</v>
      </c>
    </row>
    <row r="7421" spans="1:16" ht="19.5" hidden="1" thickBot="1" x14ac:dyDescent="0.3">
      <c r="A7421" s="1115">
        <f>MAX(A7198:A7418)+1</f>
        <v>4532</v>
      </c>
      <c r="B7421" s="610" t="s">
        <v>2986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549"/>
      <c r="H7421" s="483" t="s">
        <v>2987</v>
      </c>
      <c r="I7421" s="484" t="s">
        <v>3012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2994</v>
      </c>
      <c r="P7421" s="867" t="s">
        <v>3066</v>
      </c>
    </row>
    <row r="7422" spans="1:16" ht="19.5" hidden="1" thickBot="1" x14ac:dyDescent="0.3">
      <c r="A7422" s="1126"/>
      <c r="B7422" s="864" t="s">
        <v>2988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2987</v>
      </c>
      <c r="I7422" s="860" t="s">
        <v>3032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3091</v>
      </c>
      <c r="P7422" s="867" t="s">
        <v>3097</v>
      </c>
    </row>
    <row r="7423" spans="1:16" ht="19.5" hidden="1" thickBot="1" x14ac:dyDescent="0.3">
      <c r="A7423" s="1116"/>
      <c r="B7423" s="805" t="s">
        <v>2987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2987</v>
      </c>
      <c r="I7423" s="808" t="s">
        <v>3012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3028</v>
      </c>
      <c r="P7423" s="867" t="s">
        <v>3067</v>
      </c>
    </row>
    <row r="7424" spans="1:16" ht="19.5" hidden="1" thickBot="1" x14ac:dyDescent="0.3">
      <c r="A7424" s="1107">
        <f>MAX(A7199:A7421)+1</f>
        <v>4533</v>
      </c>
      <c r="B7424" s="563" t="s">
        <v>2986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2987</v>
      </c>
      <c r="I7424" s="569" t="s">
        <v>2988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2990</v>
      </c>
      <c r="P7424" s="867" t="s">
        <v>3055</v>
      </c>
    </row>
    <row r="7425" spans="1:17" ht="19.5" hidden="1" customHeight="1" x14ac:dyDescent="0.25">
      <c r="A7425" s="1109"/>
      <c r="B7425" s="563" t="s">
        <v>2986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2987</v>
      </c>
      <c r="I7425" s="569" t="s">
        <v>2988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2989</v>
      </c>
      <c r="P7425" s="867" t="s">
        <v>3054</v>
      </c>
    </row>
    <row r="7426" spans="1:17" ht="19.5" hidden="1" thickBot="1" x14ac:dyDescent="0.3">
      <c r="A7426" s="1108"/>
      <c r="B7426" s="636" t="s">
        <v>2986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2987</v>
      </c>
      <c r="I7426" s="642" t="s">
        <v>2988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2991</v>
      </c>
      <c r="P7426" s="867" t="s">
        <v>3079</v>
      </c>
    </row>
    <row r="7427" spans="1:17" ht="19.5" hidden="1" thickBot="1" x14ac:dyDescent="0.3">
      <c r="A7427" s="513">
        <f>MAX(A7202:A7426)+1</f>
        <v>4534</v>
      </c>
      <c r="B7427" s="514" t="s">
        <v>2986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2987</v>
      </c>
      <c r="I7427" s="520" t="s">
        <v>2988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2996</v>
      </c>
      <c r="P7427" s="867" t="s">
        <v>3078</v>
      </c>
    </row>
    <row r="7428" spans="1:17" ht="19.5" hidden="1" thickBot="1" x14ac:dyDescent="0.3">
      <c r="A7428" s="503">
        <f>MAX(A7203:A7427)+1</f>
        <v>4535</v>
      </c>
      <c r="B7428" s="504" t="s">
        <v>2986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2988</v>
      </c>
      <c r="I7428" s="510" t="s">
        <v>3087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2995</v>
      </c>
      <c r="P7428" s="867" t="s">
        <v>3126</v>
      </c>
    </row>
    <row r="7429" spans="1:17" ht="19.5" hidden="1" thickBot="1" x14ac:dyDescent="0.3">
      <c r="A7429" s="1110">
        <f>MAX(A7204:A7428)+1</f>
        <v>4536</v>
      </c>
      <c r="B7429" s="479" t="s">
        <v>2986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2988</v>
      </c>
      <c r="I7429" s="484" t="s">
        <v>3032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2998</v>
      </c>
      <c r="P7429" s="867" t="s">
        <v>3116</v>
      </c>
    </row>
    <row r="7430" spans="1:17" ht="19.5" hidden="1" thickBot="1" x14ac:dyDescent="0.3">
      <c r="A7430" s="1103"/>
      <c r="B7430" s="645" t="s">
        <v>2986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2988</v>
      </c>
      <c r="I7430" s="651" t="s">
        <v>3082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2997</v>
      </c>
      <c r="P7430" s="867" t="s">
        <v>3117</v>
      </c>
    </row>
    <row r="7431" spans="1:17" ht="57" hidden="1" thickBot="1" x14ac:dyDescent="0.3">
      <c r="A7431" s="1107">
        <f>MAX(A7206:A7430)+1</f>
        <v>4537</v>
      </c>
      <c r="B7431" s="531" t="s">
        <v>2986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2988</v>
      </c>
      <c r="I7431" s="537" t="s">
        <v>3105</v>
      </c>
      <c r="J7431" s="538"/>
      <c r="K7431" s="535" t="str">
        <f t="shared" si="227"/>
        <v>10,26</v>
      </c>
      <c r="L7431" s="535" t="s">
        <v>28</v>
      </c>
      <c r="M7431" s="535">
        <v>1075.04</v>
      </c>
      <c r="N7431" s="539">
        <v>0.45833333333333331</v>
      </c>
      <c r="O7431" s="897" t="s">
        <v>3000</v>
      </c>
      <c r="P7431" s="867" t="s">
        <v>3176</v>
      </c>
    </row>
    <row r="7432" spans="1:17" ht="19.5" hidden="1" thickBot="1" x14ac:dyDescent="0.3">
      <c r="A7432" s="1109"/>
      <c r="B7432" s="563" t="s">
        <v>2986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2988</v>
      </c>
      <c r="I7432" s="569" t="s">
        <v>3105</v>
      </c>
      <c r="J7432" s="570"/>
      <c r="K7432" s="567" t="str">
        <f t="shared" si="227"/>
        <v>10,26</v>
      </c>
      <c r="L7432" s="567" t="s">
        <v>28</v>
      </c>
      <c r="M7432" s="567">
        <v>7423.5599999999995</v>
      </c>
      <c r="N7432" s="571">
        <v>0.45833333333333331</v>
      </c>
      <c r="O7432" s="897" t="s">
        <v>3001</v>
      </c>
      <c r="P7432" s="867" t="s">
        <v>3177</v>
      </c>
    </row>
    <row r="7433" spans="1:17" ht="19.5" hidden="1" thickBot="1" x14ac:dyDescent="0.3">
      <c r="A7433" s="1109"/>
      <c r="B7433" s="590" t="s">
        <v>2986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2988</v>
      </c>
      <c r="I7433" s="596" t="s">
        <v>3105</v>
      </c>
      <c r="J7433" s="597"/>
      <c r="K7433" s="594" t="str">
        <f t="shared" si="227"/>
        <v>10,26</v>
      </c>
      <c r="L7433" s="594" t="s">
        <v>28</v>
      </c>
      <c r="M7433" s="594">
        <v>9340.3799999999992</v>
      </c>
      <c r="N7433" s="598">
        <v>0.45833333333333331</v>
      </c>
      <c r="O7433" s="897" t="s">
        <v>2999</v>
      </c>
      <c r="P7433" s="867" t="s">
        <v>3178</v>
      </c>
    </row>
    <row r="7434" spans="1:17" ht="19.5" hidden="1" thickBot="1" x14ac:dyDescent="0.3">
      <c r="A7434" s="1110">
        <f>MAX(A7209:A7433)+1</f>
        <v>4538</v>
      </c>
      <c r="B7434" s="479" t="s">
        <v>2969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2988</v>
      </c>
      <c r="I7434" s="484" t="s">
        <v>3030</v>
      </c>
      <c r="J7434" s="485"/>
      <c r="K7434" s="483" t="str">
        <f t="shared" si="227"/>
        <v>10,26</v>
      </c>
      <c r="L7434" s="483" t="s">
        <v>266</v>
      </c>
      <c r="M7434" s="483">
        <v>4163.92</v>
      </c>
      <c r="N7434" s="486">
        <v>0.5</v>
      </c>
      <c r="O7434" s="897" t="s">
        <v>3020</v>
      </c>
      <c r="P7434" s="867" t="s">
        <v>3059</v>
      </c>
      <c r="Q7434" s="847" t="s">
        <v>3065</v>
      </c>
    </row>
    <row r="7435" spans="1:17" ht="19.5" hidden="1" thickBot="1" x14ac:dyDescent="0.3">
      <c r="A7435" s="1102"/>
      <c r="B7435" s="523" t="s">
        <v>2969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2988</v>
      </c>
      <c r="I7435" s="528" t="s">
        <v>3030</v>
      </c>
      <c r="J7435" s="529"/>
      <c r="K7435" s="527" t="str">
        <f t="shared" si="227"/>
        <v>10,26</v>
      </c>
      <c r="L7435" s="527" t="s">
        <v>266</v>
      </c>
      <c r="M7435" s="527">
        <v>6222.5400000000009</v>
      </c>
      <c r="N7435" s="530">
        <v>0.5</v>
      </c>
      <c r="O7435" s="897" t="s">
        <v>3017</v>
      </c>
      <c r="P7435" s="867" t="s">
        <v>3061</v>
      </c>
      <c r="Q7435" s="847" t="s">
        <v>3062</v>
      </c>
    </row>
    <row r="7436" spans="1:17" ht="19.5" hidden="1" thickBot="1" x14ac:dyDescent="0.3">
      <c r="A7436" s="1102"/>
      <c r="B7436" s="523" t="s">
        <v>2969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2988</v>
      </c>
      <c r="I7436" s="528" t="s">
        <v>3030</v>
      </c>
      <c r="J7436" s="529"/>
      <c r="K7436" s="527" t="str">
        <f t="shared" si="227"/>
        <v>10,26</v>
      </c>
      <c r="L7436" s="527" t="s">
        <v>266</v>
      </c>
      <c r="M7436" s="527">
        <v>5593.7000000000007</v>
      </c>
      <c r="N7436" s="530">
        <v>0.5</v>
      </c>
      <c r="O7436" s="897" t="s">
        <v>3018</v>
      </c>
      <c r="P7436" s="867" t="s">
        <v>3060</v>
      </c>
      <c r="Q7436" s="847" t="s">
        <v>3064</v>
      </c>
    </row>
    <row r="7437" spans="1:17" ht="19.5" hidden="1" thickBot="1" x14ac:dyDescent="0.3">
      <c r="A7437" s="1103"/>
      <c r="B7437" s="495" t="s">
        <v>2969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562"/>
      <c r="H7437" s="499" t="s">
        <v>2988</v>
      </c>
      <c r="I7437" s="500" t="s">
        <v>3030</v>
      </c>
      <c r="J7437" s="501"/>
      <c r="K7437" s="499" t="str">
        <f t="shared" si="227"/>
        <v>10,26</v>
      </c>
      <c r="L7437" s="499" t="s">
        <v>266</v>
      </c>
      <c r="M7437" s="499">
        <v>1846.2</v>
      </c>
      <c r="N7437" s="502">
        <v>0.5</v>
      </c>
      <c r="O7437" s="897" t="s">
        <v>3019</v>
      </c>
      <c r="P7437" s="867" t="s">
        <v>3058</v>
      </c>
      <c r="Q7437" s="847" t="s">
        <v>3063</v>
      </c>
    </row>
    <row r="7438" spans="1:17" ht="19.5" hidden="1" thickBot="1" x14ac:dyDescent="0.3">
      <c r="A7438" s="1104">
        <f>MAX(A7213:A7437)+1</f>
        <v>4539</v>
      </c>
      <c r="B7438" s="759" t="s">
        <v>2969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536"/>
      <c r="H7438" s="535" t="s">
        <v>3012</v>
      </c>
      <c r="I7438" s="537" t="s">
        <v>3032</v>
      </c>
      <c r="J7438" s="538"/>
      <c r="K7438" s="535" t="str">
        <f t="shared" si="227"/>
        <v>10,26</v>
      </c>
      <c r="L7438" s="535" t="s">
        <v>265</v>
      </c>
      <c r="M7438" s="535">
        <v>15933.300000000001</v>
      </c>
      <c r="N7438" s="539">
        <v>4.1666666666666664E-2</v>
      </c>
      <c r="O7438" s="897" t="s">
        <v>3015</v>
      </c>
      <c r="P7438" s="867" t="s">
        <v>3096</v>
      </c>
    </row>
    <row r="7439" spans="1:17" ht="19.5" hidden="1" thickBot="1" x14ac:dyDescent="0.3">
      <c r="A7439" s="1105"/>
      <c r="B7439" s="1049" t="s">
        <v>3030</v>
      </c>
      <c r="C7439" s="1050" t="s">
        <v>952</v>
      </c>
      <c r="D7439" s="1051">
        <v>1.9990000000000001</v>
      </c>
      <c r="E7439" s="1052" t="s">
        <v>1496</v>
      </c>
      <c r="F7439" s="1053" t="s">
        <v>16</v>
      </c>
      <c r="G7439" s="1054" t="s">
        <v>3052</v>
      </c>
      <c r="H7439" s="1053" t="s">
        <v>3012</v>
      </c>
      <c r="I7439" s="1055" t="s">
        <v>1496</v>
      </c>
      <c r="J7439" s="1056"/>
      <c r="K7439" s="1053" t="str">
        <f t="shared" ref="K7439:K7499" si="228">RIGHT(I7439,5)</f>
        <v>тмена</v>
      </c>
      <c r="L7439" s="1053" t="s">
        <v>265</v>
      </c>
      <c r="M7439" s="1053">
        <v>2066.52</v>
      </c>
      <c r="N7439" s="1057">
        <v>4.1666666666666664E-2</v>
      </c>
      <c r="O7439" s="920" t="s">
        <v>3081</v>
      </c>
      <c r="P7439" s="921" t="s">
        <v>1024</v>
      </c>
    </row>
    <row r="7440" spans="1:17" ht="38.25" hidden="1" thickBot="1" x14ac:dyDescent="0.3">
      <c r="A7440" s="1106"/>
      <c r="B7440" s="951" t="s">
        <v>2969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3051</v>
      </c>
      <c r="H7440" s="873" t="s">
        <v>3012</v>
      </c>
      <c r="I7440" s="875" t="s">
        <v>3012</v>
      </c>
      <c r="J7440" s="876"/>
      <c r="K7440" s="873" t="str">
        <f t="shared" si="228"/>
        <v>10,26</v>
      </c>
      <c r="L7440" s="873" t="s">
        <v>265</v>
      </c>
      <c r="M7440" s="873">
        <v>2066.52</v>
      </c>
      <c r="N7440" s="784">
        <v>4.1666666666666664E-2</v>
      </c>
      <c r="O7440" s="897" t="s">
        <v>3016</v>
      </c>
      <c r="P7440" s="867" t="s">
        <v>3069</v>
      </c>
    </row>
    <row r="7441" spans="1:16" ht="19.5" hidden="1" thickBot="1" x14ac:dyDescent="0.3">
      <c r="A7441" s="1110">
        <f>MAX(A7215:A7440)+1</f>
        <v>4540</v>
      </c>
      <c r="B7441" s="523" t="s">
        <v>2969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3012</v>
      </c>
      <c r="I7441" s="528" t="s">
        <v>3032</v>
      </c>
      <c r="J7441" s="529"/>
      <c r="K7441" s="527" t="str">
        <f t="shared" si="228"/>
        <v>10,26</v>
      </c>
      <c r="L7441" s="527" t="s">
        <v>28</v>
      </c>
      <c r="M7441" s="527">
        <v>2218.1999999999998</v>
      </c>
      <c r="N7441" s="530">
        <v>0.41666666666666669</v>
      </c>
      <c r="O7441" s="897" t="s">
        <v>3013</v>
      </c>
      <c r="P7441" s="867" t="s">
        <v>3093</v>
      </c>
    </row>
    <row r="7442" spans="1:16" ht="19.5" hidden="1" thickBot="1" x14ac:dyDescent="0.3">
      <c r="A7442" s="1103"/>
      <c r="B7442" s="645" t="s">
        <v>2969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3012</v>
      </c>
      <c r="I7442" s="651" t="s">
        <v>3032</v>
      </c>
      <c r="J7442" s="652"/>
      <c r="K7442" s="649" t="str">
        <f t="shared" si="228"/>
        <v>10,26</v>
      </c>
      <c r="L7442" s="649" t="s">
        <v>28</v>
      </c>
      <c r="M7442" s="649">
        <v>15542.44</v>
      </c>
      <c r="N7442" s="653">
        <v>0.41666666666666669</v>
      </c>
      <c r="O7442" s="897" t="s">
        <v>3014</v>
      </c>
      <c r="P7442" s="867" t="s">
        <v>3094</v>
      </c>
    </row>
    <row r="7443" spans="1:16" ht="19.5" hidden="1" thickBot="1" x14ac:dyDescent="0.3">
      <c r="A7443" s="551">
        <f>MAX(A7217:A7442)+1</f>
        <v>4541</v>
      </c>
      <c r="B7443" s="552" t="s">
        <v>2969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557"/>
      <c r="H7443" s="556" t="s">
        <v>3012</v>
      </c>
      <c r="I7443" s="558" t="s">
        <v>3082</v>
      </c>
      <c r="J7443" s="559"/>
      <c r="K7443" s="556" t="str">
        <f t="shared" si="228"/>
        <v>10,26</v>
      </c>
      <c r="L7443" s="556" t="s">
        <v>265</v>
      </c>
      <c r="M7443" s="556">
        <v>17098.8</v>
      </c>
      <c r="N7443" s="560">
        <v>0.45833333333333331</v>
      </c>
      <c r="O7443" s="897" t="s">
        <v>3021</v>
      </c>
      <c r="P7443" s="867" t="s">
        <v>3115</v>
      </c>
    </row>
    <row r="7444" spans="1:16" ht="19.5" hidden="1" thickBot="1" x14ac:dyDescent="0.3">
      <c r="A7444" s="513">
        <f>MAX(A7218:A7443)+1</f>
        <v>4542</v>
      </c>
      <c r="B7444" s="514" t="s">
        <v>2987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3030</v>
      </c>
      <c r="I7444" s="520" t="s">
        <v>3032</v>
      </c>
      <c r="J7444" s="521"/>
      <c r="K7444" s="518" t="str">
        <f t="shared" si="228"/>
        <v>10,26</v>
      </c>
      <c r="L7444" s="518" t="s">
        <v>265</v>
      </c>
      <c r="M7444" s="518">
        <v>17716.500000000004</v>
      </c>
      <c r="N7444" s="522">
        <v>4.1666666666666664E-2</v>
      </c>
      <c r="O7444" s="897" t="s">
        <v>3043</v>
      </c>
      <c r="P7444" s="867" t="s">
        <v>3092</v>
      </c>
    </row>
    <row r="7445" spans="1:16" ht="19.5" hidden="1" thickBot="1" x14ac:dyDescent="0.3">
      <c r="A7445" s="503">
        <f>MAX(A7219:A7444)+1</f>
        <v>4543</v>
      </c>
      <c r="B7445" s="504" t="s">
        <v>2987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3030</v>
      </c>
      <c r="I7445" s="510" t="s">
        <v>3030</v>
      </c>
      <c r="J7445" s="511"/>
      <c r="K7445" s="508" t="str">
        <f t="shared" si="228"/>
        <v>10,26</v>
      </c>
      <c r="L7445" s="508" t="s">
        <v>265</v>
      </c>
      <c r="M7445" s="508">
        <v>15004.08</v>
      </c>
      <c r="N7445" s="512">
        <v>4.1666666666666664E-2</v>
      </c>
      <c r="O7445" s="897" t="s">
        <v>3033</v>
      </c>
      <c r="P7445" s="867" t="s">
        <v>3085</v>
      </c>
    </row>
    <row r="7446" spans="1:16" ht="19.5" hidden="1" thickBot="1" x14ac:dyDescent="0.3">
      <c r="A7446" s="1110">
        <f>MAX(A7220:A7445)+1</f>
        <v>4544</v>
      </c>
      <c r="B7446" s="479" t="s">
        <v>2987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17" t="s">
        <v>3031</v>
      </c>
      <c r="H7446" s="483" t="s">
        <v>3030</v>
      </c>
      <c r="I7446" s="484" t="s">
        <v>3087</v>
      </c>
      <c r="J7446" s="485"/>
      <c r="K7446" s="483" t="str">
        <f t="shared" si="228"/>
        <v>10,26</v>
      </c>
      <c r="L7446" s="483" t="s">
        <v>28</v>
      </c>
      <c r="M7446" s="483">
        <v>12474.890000000003</v>
      </c>
      <c r="N7446" s="486">
        <v>0.41666666666666669</v>
      </c>
      <c r="O7446" s="897" t="s">
        <v>3035</v>
      </c>
      <c r="P7446" s="867" t="s">
        <v>3131</v>
      </c>
    </row>
    <row r="7447" spans="1:16" ht="19.5" hidden="1" thickBot="1" x14ac:dyDescent="0.3">
      <c r="A7447" s="1103"/>
      <c r="B7447" s="645" t="s">
        <v>2987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18"/>
      <c r="H7447" s="649" t="s">
        <v>3030</v>
      </c>
      <c r="I7447" s="651" t="s">
        <v>3087</v>
      </c>
      <c r="J7447" s="652"/>
      <c r="K7447" s="649" t="str">
        <f t="shared" si="228"/>
        <v>10,26</v>
      </c>
      <c r="L7447" s="649" t="s">
        <v>28</v>
      </c>
      <c r="M7447" s="649">
        <v>2770.3900000000003</v>
      </c>
      <c r="N7447" s="653">
        <v>0.41666666666666669</v>
      </c>
      <c r="O7447" s="897" t="s">
        <v>3036</v>
      </c>
      <c r="P7447" s="867" t="s">
        <v>3132</v>
      </c>
    </row>
    <row r="7448" spans="1:16" ht="38.25" hidden="1" thickBot="1" x14ac:dyDescent="0.3">
      <c r="A7448" s="503">
        <f>MAX(A7222:A7447)+1</f>
        <v>4545</v>
      </c>
      <c r="B7448" s="504" t="s">
        <v>2987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3030</v>
      </c>
      <c r="I7448" s="510" t="s">
        <v>3082</v>
      </c>
      <c r="J7448" s="511"/>
      <c r="K7448" s="508" t="str">
        <f t="shared" si="228"/>
        <v>10,26</v>
      </c>
      <c r="L7448" s="508" t="s">
        <v>28</v>
      </c>
      <c r="M7448" s="508">
        <v>17039.13</v>
      </c>
      <c r="N7448" s="512">
        <v>0.45833333333333331</v>
      </c>
      <c r="O7448" s="897" t="s">
        <v>3047</v>
      </c>
      <c r="P7448" s="867" t="s">
        <v>3095</v>
      </c>
    </row>
    <row r="7449" spans="1:16" ht="19.5" hidden="1" thickBot="1" x14ac:dyDescent="0.3">
      <c r="A7449" s="1110">
        <f>MAX(A7223:A7448)+1</f>
        <v>4546</v>
      </c>
      <c r="B7449" s="479" t="s">
        <v>2987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549" t="s">
        <v>23</v>
      </c>
      <c r="H7449" s="483" t="s">
        <v>3030</v>
      </c>
      <c r="I7449" s="484" t="s">
        <v>3032</v>
      </c>
      <c r="J7449" s="485"/>
      <c r="K7449" s="483" t="str">
        <f t="shared" si="228"/>
        <v>10,26</v>
      </c>
      <c r="L7449" s="483" t="s">
        <v>28</v>
      </c>
      <c r="M7449" s="483">
        <v>7528.88</v>
      </c>
      <c r="N7449" s="486">
        <v>0.41666666666666669</v>
      </c>
      <c r="O7449" s="897" t="s">
        <v>3042</v>
      </c>
      <c r="P7449" s="867" t="s">
        <v>3099</v>
      </c>
    </row>
    <row r="7450" spans="1:16" ht="19.5" hidden="1" thickBot="1" x14ac:dyDescent="0.3">
      <c r="A7450" s="1103"/>
      <c r="B7450" s="645" t="s">
        <v>2987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650"/>
      <c r="H7450" s="649" t="s">
        <v>3030</v>
      </c>
      <c r="I7450" s="651" t="s">
        <v>3032</v>
      </c>
      <c r="J7450" s="652"/>
      <c r="K7450" s="649" t="str">
        <f t="shared" si="228"/>
        <v>10,26</v>
      </c>
      <c r="L7450" s="649" t="s">
        <v>28</v>
      </c>
      <c r="M7450" s="649">
        <v>5779.5199999999995</v>
      </c>
      <c r="N7450" s="653">
        <v>0.41666666666666669</v>
      </c>
      <c r="O7450" s="897" t="s">
        <v>3037</v>
      </c>
      <c r="P7450" s="867" t="s">
        <v>3100</v>
      </c>
    </row>
    <row r="7451" spans="1:16" ht="19.5" hidden="1" thickBot="1" x14ac:dyDescent="0.3">
      <c r="A7451" s="1107">
        <f>MAX(A7225:A7450)+1</f>
        <v>4547</v>
      </c>
      <c r="B7451" s="531" t="s">
        <v>2987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536" t="s">
        <v>47</v>
      </c>
      <c r="H7451" s="535" t="s">
        <v>3030</v>
      </c>
      <c r="I7451" s="537" t="s">
        <v>3087</v>
      </c>
      <c r="J7451" s="538"/>
      <c r="K7451" s="535" t="str">
        <f t="shared" si="228"/>
        <v>10,26</v>
      </c>
      <c r="L7451" s="535" t="s">
        <v>28</v>
      </c>
      <c r="M7451" s="535">
        <v>7641.4800000000005</v>
      </c>
      <c r="N7451" s="539">
        <v>0.45833333333333331</v>
      </c>
      <c r="O7451" s="897" t="s">
        <v>3038</v>
      </c>
      <c r="P7451" s="867" t="s">
        <v>3162</v>
      </c>
    </row>
    <row r="7452" spans="1:16" ht="19.5" hidden="1" thickBot="1" x14ac:dyDescent="0.3">
      <c r="A7452" s="1108"/>
      <c r="B7452" s="636" t="s">
        <v>2987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641"/>
      <c r="H7452" s="640" t="s">
        <v>3030</v>
      </c>
      <c r="I7452" s="642" t="s">
        <v>3087</v>
      </c>
      <c r="J7452" s="643"/>
      <c r="K7452" s="640" t="str">
        <f t="shared" si="228"/>
        <v>10,26</v>
      </c>
      <c r="L7452" s="640" t="s">
        <v>28</v>
      </c>
      <c r="M7452" s="640">
        <v>5804.4</v>
      </c>
      <c r="N7452" s="644">
        <v>0.45833333333333331</v>
      </c>
      <c r="O7452" s="897" t="s">
        <v>3045</v>
      </c>
      <c r="P7452" s="867" t="s">
        <v>3127</v>
      </c>
    </row>
    <row r="7453" spans="1:16" ht="19.5" hidden="1" thickBot="1" x14ac:dyDescent="0.3">
      <c r="A7453" s="513">
        <f>MAX(A7227:A7452)+1</f>
        <v>4548</v>
      </c>
      <c r="B7453" s="514" t="s">
        <v>2987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3032</v>
      </c>
      <c r="I7453" s="520" t="s">
        <v>3032</v>
      </c>
      <c r="J7453" s="521"/>
      <c r="K7453" s="518" t="str">
        <f t="shared" si="228"/>
        <v>10,26</v>
      </c>
      <c r="L7453" s="518" t="s">
        <v>265</v>
      </c>
      <c r="M7453" s="518">
        <v>17798.7</v>
      </c>
      <c r="N7453" s="522">
        <v>4.1666666666666664E-2</v>
      </c>
      <c r="O7453" s="897" t="s">
        <v>3044</v>
      </c>
      <c r="P7453" s="867" t="s">
        <v>3098</v>
      </c>
    </row>
    <row r="7454" spans="1:16" ht="19.5" hidden="1" thickBot="1" x14ac:dyDescent="0.3">
      <c r="A7454" s="1107">
        <f>MAX(A7228:A7453)+1</f>
        <v>4549</v>
      </c>
      <c r="B7454" s="531" t="s">
        <v>2987</v>
      </c>
      <c r="C7454" s="532" t="s">
        <v>2713</v>
      </c>
      <c r="D7454" s="533">
        <v>5.0339999999999998</v>
      </c>
      <c r="E7454" s="534">
        <v>5.1079999999999997</v>
      </c>
      <c r="F7454" s="535" t="s">
        <v>16</v>
      </c>
      <c r="G7454" s="1113" t="s">
        <v>2909</v>
      </c>
      <c r="H7454" s="535" t="s">
        <v>3032</v>
      </c>
      <c r="I7454" s="537" t="s">
        <v>3087</v>
      </c>
      <c r="J7454" s="538"/>
      <c r="K7454" s="535" t="str">
        <f t="shared" si="228"/>
        <v>10,26</v>
      </c>
      <c r="L7454" s="535" t="s">
        <v>265</v>
      </c>
      <c r="M7454" s="535">
        <v>5082.3600000000006</v>
      </c>
      <c r="N7454" s="539">
        <v>0.41666666666666669</v>
      </c>
      <c r="O7454" s="897" t="s">
        <v>3049</v>
      </c>
      <c r="P7454" s="867" t="s">
        <v>3128</v>
      </c>
    </row>
    <row r="7455" spans="1:16" ht="19.5" hidden="1" thickBot="1" x14ac:dyDescent="0.3">
      <c r="A7455" s="1109"/>
      <c r="B7455" s="563" t="s">
        <v>2987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35"/>
      <c r="H7455" s="567" t="s">
        <v>3032</v>
      </c>
      <c r="I7455" s="569" t="s">
        <v>3087</v>
      </c>
      <c r="J7455" s="570"/>
      <c r="K7455" s="567" t="str">
        <f t="shared" si="228"/>
        <v>10,26</v>
      </c>
      <c r="L7455" s="567" t="s">
        <v>28</v>
      </c>
      <c r="M7455" s="567">
        <v>4000.5099999999998</v>
      </c>
      <c r="N7455" s="571">
        <v>0.41666666666666669</v>
      </c>
      <c r="O7455" s="897" t="s">
        <v>3039</v>
      </c>
      <c r="P7455" s="867" t="s">
        <v>3129</v>
      </c>
    </row>
    <row r="7456" spans="1:16" ht="19.5" hidden="1" thickBot="1" x14ac:dyDescent="0.3">
      <c r="A7456" s="1108"/>
      <c r="B7456" s="636" t="s">
        <v>2987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14"/>
      <c r="H7456" s="640" t="s">
        <v>3032</v>
      </c>
      <c r="I7456" s="642" t="s">
        <v>3087</v>
      </c>
      <c r="J7456" s="643"/>
      <c r="K7456" s="640" t="str">
        <f t="shared" si="228"/>
        <v>10,26</v>
      </c>
      <c r="L7456" s="640" t="s">
        <v>28</v>
      </c>
      <c r="M7456" s="640">
        <v>5923.8099999999995</v>
      </c>
      <c r="N7456" s="644">
        <v>0.41666666666666669</v>
      </c>
      <c r="O7456" s="897" t="s">
        <v>3040</v>
      </c>
      <c r="P7456" s="867" t="s">
        <v>3130</v>
      </c>
    </row>
    <row r="7457" spans="1:16" ht="38.25" hidden="1" thickBot="1" x14ac:dyDescent="0.3">
      <c r="A7457" s="662">
        <f>MAX(A7231:A7456)+1</f>
        <v>4550</v>
      </c>
      <c r="B7457" s="663" t="s">
        <v>2987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3086</v>
      </c>
      <c r="H7457" s="667" t="s">
        <v>3032</v>
      </c>
      <c r="I7457" s="669" t="s">
        <v>1496</v>
      </c>
      <c r="J7457" s="670"/>
      <c r="K7457" s="667" t="str">
        <f t="shared" si="228"/>
        <v>тмена</v>
      </c>
      <c r="L7457" s="667" t="s">
        <v>265</v>
      </c>
      <c r="M7457" s="667">
        <v>17023.750000000004</v>
      </c>
      <c r="N7457" s="671">
        <v>0.5</v>
      </c>
      <c r="O7457" s="920" t="s">
        <v>3048</v>
      </c>
      <c r="P7457" s="921" t="s">
        <v>1024</v>
      </c>
    </row>
    <row r="7458" spans="1:16" ht="19.5" hidden="1" thickBot="1" x14ac:dyDescent="0.3">
      <c r="A7458" s="1107">
        <f>MAX(A7232:A7457)+1</f>
        <v>4551</v>
      </c>
      <c r="B7458" s="531" t="s">
        <v>2987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536"/>
      <c r="H7458" s="535" t="s">
        <v>3032</v>
      </c>
      <c r="I7458" s="537" t="s">
        <v>3118</v>
      </c>
      <c r="J7458" s="538"/>
      <c r="K7458" s="535" t="str">
        <f t="shared" si="228"/>
        <v>10,26</v>
      </c>
      <c r="L7458" s="535" t="s">
        <v>28</v>
      </c>
      <c r="M7458" s="535">
        <v>6638.9600000000009</v>
      </c>
      <c r="N7458" s="539">
        <v>0.41666666666666669</v>
      </c>
      <c r="O7458" s="897" t="s">
        <v>3041</v>
      </c>
      <c r="P7458" s="867" t="s">
        <v>3168</v>
      </c>
    </row>
    <row r="7459" spans="1:16" ht="19.5" hidden="1" thickBot="1" x14ac:dyDescent="0.3">
      <c r="A7459" s="1108"/>
      <c r="B7459" s="636" t="s">
        <v>2987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641"/>
      <c r="H7459" s="640" t="s">
        <v>3032</v>
      </c>
      <c r="I7459" s="642" t="s">
        <v>3118</v>
      </c>
      <c r="J7459" s="643"/>
      <c r="K7459" s="640" t="str">
        <f t="shared" si="228"/>
        <v>10,26</v>
      </c>
      <c r="L7459" s="640" t="s">
        <v>28</v>
      </c>
      <c r="M7459" s="640">
        <v>7188.24</v>
      </c>
      <c r="N7459" s="644">
        <v>0.41666666666666669</v>
      </c>
      <c r="O7459" s="897" t="s">
        <v>3046</v>
      </c>
      <c r="P7459" s="867" t="s">
        <v>3169</v>
      </c>
    </row>
    <row r="7460" spans="1:16" ht="57" hidden="1" thickBot="1" x14ac:dyDescent="0.3">
      <c r="A7460" s="513">
        <f t="shared" ref="A7460:A7467" si="229">MAX(A7234:A7459)+1</f>
        <v>4552</v>
      </c>
      <c r="B7460" s="514" t="s">
        <v>2987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3034</v>
      </c>
      <c r="H7460" s="518" t="s">
        <v>3032</v>
      </c>
      <c r="I7460" s="520" t="s">
        <v>3082</v>
      </c>
      <c r="J7460" s="521"/>
      <c r="K7460" s="518" t="str">
        <f t="shared" si="228"/>
        <v>10,26</v>
      </c>
      <c r="L7460" s="518" t="s">
        <v>265</v>
      </c>
      <c r="M7460" s="518">
        <v>11727.48</v>
      </c>
      <c r="N7460" s="522">
        <v>0.58333333333333337</v>
      </c>
      <c r="O7460" s="897" t="s">
        <v>3050</v>
      </c>
      <c r="P7460" s="867" t="s">
        <v>3114</v>
      </c>
    </row>
    <row r="7461" spans="1:16" ht="19.5" hidden="1" thickBot="1" x14ac:dyDescent="0.3">
      <c r="A7461" s="1107">
        <f t="shared" si="229"/>
        <v>4553</v>
      </c>
      <c r="B7461" s="531" t="s">
        <v>3030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536" t="s">
        <v>844</v>
      </c>
      <c r="H7461" s="535" t="s">
        <v>3082</v>
      </c>
      <c r="I7461" s="537" t="s">
        <v>3087</v>
      </c>
      <c r="J7461" s="538"/>
      <c r="K7461" s="535" t="str">
        <f t="shared" si="228"/>
        <v>10,26</v>
      </c>
      <c r="L7461" s="535" t="s">
        <v>266</v>
      </c>
      <c r="M7461" s="535">
        <v>2960.6099999999997</v>
      </c>
      <c r="N7461" s="539">
        <v>0.5</v>
      </c>
      <c r="O7461" s="897" t="s">
        <v>3083</v>
      </c>
      <c r="P7461" s="867" t="s">
        <v>3134</v>
      </c>
    </row>
    <row r="7462" spans="1:16" ht="19.5" hidden="1" thickBot="1" x14ac:dyDescent="0.3">
      <c r="A7462" s="1109"/>
      <c r="B7462" s="590" t="s">
        <v>3030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595" t="s">
        <v>845</v>
      </c>
      <c r="H7462" s="594" t="s">
        <v>3082</v>
      </c>
      <c r="I7462" s="596" t="s">
        <v>3087</v>
      </c>
      <c r="J7462" s="597"/>
      <c r="K7462" s="594" t="str">
        <f t="shared" si="228"/>
        <v>10,26</v>
      </c>
      <c r="L7462" s="594" t="s">
        <v>266</v>
      </c>
      <c r="M7462" s="594">
        <v>9778.23</v>
      </c>
      <c r="N7462" s="598">
        <v>0.5</v>
      </c>
      <c r="O7462" s="897" t="s">
        <v>3084</v>
      </c>
      <c r="P7462" s="867" t="s">
        <v>3133</v>
      </c>
    </row>
    <row r="7463" spans="1:16" ht="19.5" hidden="1" thickBot="1" x14ac:dyDescent="0.3">
      <c r="A7463" s="513">
        <f t="shared" si="229"/>
        <v>4554</v>
      </c>
      <c r="B7463" s="514" t="s">
        <v>3032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3087</v>
      </c>
      <c r="I7463" s="520" t="s">
        <v>3136</v>
      </c>
      <c r="J7463" s="521"/>
      <c r="K7463" s="518" t="str">
        <f t="shared" si="228"/>
        <v>10,26</v>
      </c>
      <c r="L7463" s="518" t="s">
        <v>266</v>
      </c>
      <c r="M7463" s="518">
        <v>18200.600000000006</v>
      </c>
      <c r="N7463" s="522">
        <v>0.41666666666666669</v>
      </c>
      <c r="O7463" s="897" t="s">
        <v>3088</v>
      </c>
      <c r="P7463" s="867" t="s">
        <v>3165</v>
      </c>
    </row>
    <row r="7464" spans="1:16" ht="19.5" hidden="1" thickBot="1" x14ac:dyDescent="0.3">
      <c r="A7464" s="503">
        <f t="shared" si="229"/>
        <v>4555</v>
      </c>
      <c r="B7464" s="504" t="s">
        <v>3032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3087</v>
      </c>
      <c r="I7464" s="510" t="s">
        <v>3103</v>
      </c>
      <c r="J7464" s="511"/>
      <c r="K7464" s="508" t="str">
        <f t="shared" si="228"/>
        <v>10,26</v>
      </c>
      <c r="L7464" s="508" t="s">
        <v>266</v>
      </c>
      <c r="M7464" s="508">
        <v>18150.86</v>
      </c>
      <c r="N7464" s="512">
        <v>0.45833333333333331</v>
      </c>
      <c r="O7464" s="897" t="s">
        <v>3090</v>
      </c>
      <c r="P7464" s="867" t="s">
        <v>3179</v>
      </c>
    </row>
    <row r="7465" spans="1:16" ht="19.5" hidden="1" thickBot="1" x14ac:dyDescent="0.3">
      <c r="A7465" s="572">
        <f t="shared" si="229"/>
        <v>4556</v>
      </c>
      <c r="B7465" s="573" t="s">
        <v>3032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578"/>
      <c r="H7465" s="577" t="s">
        <v>3087</v>
      </c>
      <c r="I7465" s="579" t="s">
        <v>3118</v>
      </c>
      <c r="J7465" s="580"/>
      <c r="K7465" s="577" t="str">
        <f t="shared" si="228"/>
        <v>10,26</v>
      </c>
      <c r="L7465" s="577" t="s">
        <v>266</v>
      </c>
      <c r="M7465" s="577">
        <v>18014.400000000001</v>
      </c>
      <c r="N7465" s="581">
        <v>0.5</v>
      </c>
      <c r="O7465" s="897" t="s">
        <v>3089</v>
      </c>
      <c r="P7465" s="867" t="s">
        <v>3171</v>
      </c>
    </row>
    <row r="7466" spans="1:16" ht="19.5" hidden="1" thickBot="1" x14ac:dyDescent="0.3">
      <c r="A7466" s="503">
        <f t="shared" si="229"/>
        <v>4557</v>
      </c>
      <c r="B7466" s="552" t="s">
        <v>3082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557"/>
      <c r="H7466" s="556" t="s">
        <v>3103</v>
      </c>
      <c r="I7466" s="558" t="s">
        <v>3103</v>
      </c>
      <c r="J7466" s="559"/>
      <c r="K7466" s="556" t="str">
        <f t="shared" si="228"/>
        <v>10,26</v>
      </c>
      <c r="L7466" s="556" t="s">
        <v>265</v>
      </c>
      <c r="M7466" s="556">
        <v>17728.400000000001</v>
      </c>
      <c r="N7466" s="560">
        <v>4.1666666666666664E-2</v>
      </c>
      <c r="O7466" s="897" t="s">
        <v>3104</v>
      </c>
      <c r="P7466" s="867" t="s">
        <v>3163</v>
      </c>
    </row>
    <row r="7467" spans="1:16" ht="19.5" hidden="1" thickBot="1" x14ac:dyDescent="0.3">
      <c r="A7467" s="1115">
        <f t="shared" si="229"/>
        <v>4558</v>
      </c>
      <c r="B7467" s="610" t="s">
        <v>3082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549"/>
      <c r="H7467" s="483" t="s">
        <v>3103</v>
      </c>
      <c r="I7467" s="484" t="s">
        <v>3103</v>
      </c>
      <c r="J7467" s="485"/>
      <c r="K7467" s="483" t="str">
        <f t="shared" si="228"/>
        <v>10,26</v>
      </c>
      <c r="L7467" s="483" t="s">
        <v>265</v>
      </c>
      <c r="M7467" s="483">
        <v>17408.010000000002</v>
      </c>
      <c r="N7467" s="486">
        <v>8.3333333333333329E-2</v>
      </c>
      <c r="O7467" s="897" t="s">
        <v>3107</v>
      </c>
      <c r="P7467" s="867" t="s">
        <v>3166</v>
      </c>
    </row>
    <row r="7468" spans="1:16" ht="19.5" hidden="1" thickBot="1" x14ac:dyDescent="0.3">
      <c r="A7468" s="1116"/>
      <c r="B7468" s="805" t="s">
        <v>3103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3103</v>
      </c>
      <c r="I7468" s="808" t="s">
        <v>3103</v>
      </c>
      <c r="J7468" s="810"/>
      <c r="K7468" s="808" t="str">
        <f t="shared" si="228"/>
        <v>10,26</v>
      </c>
      <c r="L7468" s="808" t="s">
        <v>265</v>
      </c>
      <c r="M7468" s="808">
        <v>600</v>
      </c>
      <c r="N7468" s="778">
        <v>8.3333333333333329E-2</v>
      </c>
      <c r="O7468" s="897" t="s">
        <v>3135</v>
      </c>
      <c r="P7468" s="867" t="s">
        <v>3167</v>
      </c>
    </row>
    <row r="7469" spans="1:16" ht="19.5" hidden="1" thickBot="1" x14ac:dyDescent="0.3">
      <c r="A7469" s="503">
        <f>MAX(A7242:A7467)+1</f>
        <v>4559</v>
      </c>
      <c r="B7469" s="636" t="s">
        <v>3082</v>
      </c>
      <c r="C7469" s="637" t="s">
        <v>3175</v>
      </c>
      <c r="D7469" s="638">
        <v>15.561</v>
      </c>
      <c r="E7469" s="639">
        <v>15.87</v>
      </c>
      <c r="F7469" s="640" t="s">
        <v>16</v>
      </c>
      <c r="G7469" s="641" t="s">
        <v>715</v>
      </c>
      <c r="H7469" s="640" t="s">
        <v>3103</v>
      </c>
      <c r="I7469" s="642" t="s">
        <v>3103</v>
      </c>
      <c r="J7469" s="643"/>
      <c r="K7469" s="640" t="str">
        <f t="shared" si="228"/>
        <v>10,26</v>
      </c>
      <c r="L7469" s="640" t="s">
        <v>265</v>
      </c>
      <c r="M7469" s="640">
        <v>15784.580000000002</v>
      </c>
      <c r="N7469" s="644">
        <v>0.125</v>
      </c>
      <c r="O7469" s="897" t="s">
        <v>3108</v>
      </c>
      <c r="P7469" s="867" t="s">
        <v>3174</v>
      </c>
    </row>
    <row r="7470" spans="1:16" ht="19.5" hidden="1" thickBot="1" x14ac:dyDescent="0.3">
      <c r="A7470" s="513">
        <f>MAX(A7243:A7469)+1</f>
        <v>4560</v>
      </c>
      <c r="B7470" s="514" t="s">
        <v>3082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3103</v>
      </c>
      <c r="I7470" s="520" t="s">
        <v>3103</v>
      </c>
      <c r="J7470" s="521"/>
      <c r="K7470" s="518" t="str">
        <f t="shared" si="228"/>
        <v>10,26</v>
      </c>
      <c r="L7470" s="518" t="s">
        <v>265</v>
      </c>
      <c r="M7470" s="518">
        <v>15605.36</v>
      </c>
      <c r="N7470" s="522">
        <v>4.1666666666666664E-2</v>
      </c>
      <c r="O7470" s="897" t="s">
        <v>3106</v>
      </c>
      <c r="P7470" s="867" t="s">
        <v>3170</v>
      </c>
    </row>
    <row r="7471" spans="1:16" ht="19.5" hidden="1" thickBot="1" x14ac:dyDescent="0.3">
      <c r="A7471" s="503">
        <f>MAX(A7244:A7470)+1</f>
        <v>4561</v>
      </c>
      <c r="B7471" s="504" t="s">
        <v>3082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3105</v>
      </c>
      <c r="I7471" s="510" t="s">
        <v>3105</v>
      </c>
      <c r="J7471" s="511"/>
      <c r="K7471" s="508" t="str">
        <f t="shared" si="228"/>
        <v>10,26</v>
      </c>
      <c r="L7471" s="508" t="s">
        <v>265</v>
      </c>
      <c r="M7471" s="508">
        <v>17929.160000000003</v>
      </c>
      <c r="N7471" s="512">
        <v>4.1666666666666664E-2</v>
      </c>
      <c r="O7471" s="897" t="s">
        <v>3109</v>
      </c>
      <c r="P7471" s="867" t="s">
        <v>3164</v>
      </c>
    </row>
    <row r="7472" spans="1:16" ht="19.5" hidden="1" thickBot="1" x14ac:dyDescent="0.3">
      <c r="A7472" s="1110">
        <f>MAX(A7245:A7471)+1</f>
        <v>4562</v>
      </c>
      <c r="B7472" s="479" t="s">
        <v>3082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549"/>
      <c r="H7472" s="483" t="s">
        <v>3105</v>
      </c>
      <c r="I7472" s="484" t="s">
        <v>3136</v>
      </c>
      <c r="J7472" s="485"/>
      <c r="K7472" s="483" t="str">
        <f t="shared" si="228"/>
        <v>10,26</v>
      </c>
      <c r="L7472" s="483" t="s">
        <v>28</v>
      </c>
      <c r="M7472" s="483">
        <v>14102.140000000001</v>
      </c>
      <c r="N7472" s="486">
        <v>0.41666666666666669</v>
      </c>
      <c r="O7472" s="897" t="s">
        <v>3111</v>
      </c>
      <c r="P7472" s="867" t="s">
        <v>3181</v>
      </c>
    </row>
    <row r="7473" spans="1:16" ht="19.5" hidden="1" thickBot="1" x14ac:dyDescent="0.3">
      <c r="A7473" s="1103"/>
      <c r="B7473" s="645" t="s">
        <v>3082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650"/>
      <c r="H7473" s="649" t="s">
        <v>3105</v>
      </c>
      <c r="I7473" s="651" t="s">
        <v>3136</v>
      </c>
      <c r="J7473" s="652"/>
      <c r="K7473" s="649" t="str">
        <f t="shared" si="228"/>
        <v>10,26</v>
      </c>
      <c r="L7473" s="649" t="s">
        <v>28</v>
      </c>
      <c r="M7473" s="649">
        <v>3696.49</v>
      </c>
      <c r="N7473" s="653">
        <v>0.41666666666666669</v>
      </c>
      <c r="O7473" s="897" t="s">
        <v>3110</v>
      </c>
      <c r="P7473" s="867" t="s">
        <v>3180</v>
      </c>
    </row>
    <row r="7474" spans="1:16" ht="19.5" hidden="1" thickBot="1" x14ac:dyDescent="0.3">
      <c r="A7474" s="1107">
        <f>MAX(A7247:A7473)+1</f>
        <v>4563</v>
      </c>
      <c r="B7474" s="531" t="s">
        <v>3082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536" t="s">
        <v>47</v>
      </c>
      <c r="H7474" s="535" t="s">
        <v>3105</v>
      </c>
      <c r="I7474" s="537" t="s">
        <v>3105</v>
      </c>
      <c r="J7474" s="538"/>
      <c r="K7474" s="535" t="str">
        <f t="shared" si="228"/>
        <v>10,26</v>
      </c>
      <c r="L7474" s="535" t="s">
        <v>28</v>
      </c>
      <c r="M7474" s="535">
        <v>5582.8</v>
      </c>
      <c r="N7474" s="539">
        <v>0.45833333333333331</v>
      </c>
      <c r="O7474" s="897" t="s">
        <v>3112</v>
      </c>
      <c r="P7474" s="867" t="s">
        <v>3173</v>
      </c>
    </row>
    <row r="7475" spans="1:16" ht="19.5" hidden="1" thickBot="1" x14ac:dyDescent="0.3">
      <c r="A7475" s="1109"/>
      <c r="B7475" s="590" t="s">
        <v>3082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595"/>
      <c r="H7475" s="594" t="s">
        <v>3105</v>
      </c>
      <c r="I7475" s="596" t="s">
        <v>3105</v>
      </c>
      <c r="J7475" s="597"/>
      <c r="K7475" s="594" t="str">
        <f t="shared" si="228"/>
        <v>10,26</v>
      </c>
      <c r="L7475" s="594" t="s">
        <v>28</v>
      </c>
      <c r="M7475" s="594">
        <v>12198.04</v>
      </c>
      <c r="N7475" s="598">
        <v>0.45833333333333331</v>
      </c>
      <c r="O7475" s="897" t="s">
        <v>3113</v>
      </c>
      <c r="P7475" s="867" t="s">
        <v>3172</v>
      </c>
    </row>
    <row r="7476" spans="1:16" ht="19.5" hidden="1" thickBot="1" x14ac:dyDescent="0.3">
      <c r="A7476" s="1110">
        <f>MAX(A7249:A7475)+1</f>
        <v>4564</v>
      </c>
      <c r="B7476" s="479" t="s">
        <v>3087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549"/>
      <c r="H7476" s="483" t="s">
        <v>3118</v>
      </c>
      <c r="I7476" s="484" t="s">
        <v>3136</v>
      </c>
      <c r="J7476" s="485"/>
      <c r="K7476" s="483" t="str">
        <f t="shared" si="228"/>
        <v>10,26</v>
      </c>
      <c r="L7476" s="483" t="s">
        <v>265</v>
      </c>
      <c r="M7476" s="483">
        <v>15593.119999999999</v>
      </c>
      <c r="N7476" s="486">
        <v>4.1666666666666664E-2</v>
      </c>
      <c r="O7476" s="897" t="s">
        <v>3124</v>
      </c>
      <c r="P7476" s="867" t="s">
        <v>3185</v>
      </c>
    </row>
    <row r="7477" spans="1:16" ht="19.5" hidden="1" thickBot="1" x14ac:dyDescent="0.3">
      <c r="A7477" s="1103"/>
      <c r="B7477" s="645" t="s">
        <v>3087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650"/>
      <c r="H7477" s="649" t="s">
        <v>3118</v>
      </c>
      <c r="I7477" s="651" t="s">
        <v>3136</v>
      </c>
      <c r="J7477" s="652"/>
      <c r="K7477" s="649" t="str">
        <f t="shared" si="228"/>
        <v>10,26</v>
      </c>
      <c r="L7477" s="649" t="s">
        <v>265</v>
      </c>
      <c r="M7477" s="649">
        <v>2102.7200000000003</v>
      </c>
      <c r="N7477" s="653">
        <v>4.1666666666666664E-2</v>
      </c>
      <c r="O7477" s="897" t="s">
        <v>3123</v>
      </c>
      <c r="P7477" s="867" t="s">
        <v>3186</v>
      </c>
    </row>
    <row r="7478" spans="1:16" ht="19.5" hidden="1" thickBot="1" x14ac:dyDescent="0.3">
      <c r="A7478" s="1107">
        <f>MAX(A7251:A7477)+1</f>
        <v>4565</v>
      </c>
      <c r="B7478" s="531" t="s">
        <v>3087</v>
      </c>
      <c r="C7478" s="532" t="s">
        <v>21</v>
      </c>
      <c r="D7478" s="533">
        <v>4.0999999999999996</v>
      </c>
      <c r="E7478" s="534">
        <v>4.1900000000000004</v>
      </c>
      <c r="F7478" s="535" t="s">
        <v>16</v>
      </c>
      <c r="G7478" s="536"/>
      <c r="H7478" s="535" t="s">
        <v>3118</v>
      </c>
      <c r="I7478" s="537" t="s">
        <v>3191</v>
      </c>
      <c r="J7478" s="538"/>
      <c r="K7478" s="535" t="str">
        <f t="shared" si="228"/>
        <v>10,26</v>
      </c>
      <c r="L7478" s="535" t="s">
        <v>265</v>
      </c>
      <c r="M7478" s="535">
        <v>4158.96</v>
      </c>
      <c r="N7478" s="539">
        <v>0.41666666666666669</v>
      </c>
      <c r="O7478" s="897" t="s">
        <v>3125</v>
      </c>
      <c r="P7478" s="867" t="s">
        <v>3214</v>
      </c>
    </row>
    <row r="7479" spans="1:16" ht="19.5" hidden="1" thickBot="1" x14ac:dyDescent="0.3">
      <c r="A7479" s="1109"/>
      <c r="B7479" s="563" t="s">
        <v>3087</v>
      </c>
      <c r="C7479" s="564" t="s">
        <v>15</v>
      </c>
      <c r="D7479" s="565">
        <v>8.4</v>
      </c>
      <c r="E7479" s="566">
        <v>8.5549999999999997</v>
      </c>
      <c r="F7479" s="567" t="s">
        <v>16</v>
      </c>
      <c r="G7479" s="568"/>
      <c r="H7479" s="567" t="s">
        <v>3118</v>
      </c>
      <c r="I7479" s="569" t="s">
        <v>3191</v>
      </c>
      <c r="J7479" s="570"/>
      <c r="K7479" s="567" t="str">
        <f t="shared" si="228"/>
        <v>10,26</v>
      </c>
      <c r="L7479" s="567" t="s">
        <v>28</v>
      </c>
      <c r="M7479" s="567">
        <v>8560.6200000000008</v>
      </c>
      <c r="N7479" s="571">
        <v>0.41666666666666669</v>
      </c>
      <c r="O7479" s="897" t="s">
        <v>3119</v>
      </c>
      <c r="P7479" s="867" t="s">
        <v>3215</v>
      </c>
    </row>
    <row r="7480" spans="1:16" ht="19.5" hidden="1" thickBot="1" x14ac:dyDescent="0.3">
      <c r="A7480" s="1108"/>
      <c r="B7480" s="636" t="s">
        <v>3087</v>
      </c>
      <c r="C7480" s="637" t="s">
        <v>24</v>
      </c>
      <c r="D7480" s="638">
        <v>4.8550000000000004</v>
      </c>
      <c r="E7480" s="639">
        <v>4.8899999999999997</v>
      </c>
      <c r="F7480" s="640" t="s">
        <v>16</v>
      </c>
      <c r="G7480" s="641"/>
      <c r="H7480" s="640" t="s">
        <v>3118</v>
      </c>
      <c r="I7480" s="642" t="s">
        <v>3191</v>
      </c>
      <c r="J7480" s="643"/>
      <c r="K7480" s="640" t="str">
        <f t="shared" si="228"/>
        <v>10,26</v>
      </c>
      <c r="L7480" s="640" t="s">
        <v>28</v>
      </c>
      <c r="M7480" s="640">
        <v>4960.67</v>
      </c>
      <c r="N7480" s="644">
        <v>0.41666666666666669</v>
      </c>
      <c r="O7480" s="897" t="s">
        <v>3120</v>
      </c>
      <c r="P7480" s="867" t="s">
        <v>3216</v>
      </c>
    </row>
    <row r="7481" spans="1:16" ht="19.5" hidden="1" thickBot="1" x14ac:dyDescent="0.3">
      <c r="A7481" s="1110">
        <f>MAX(A7254:A7480)+1</f>
        <v>4566</v>
      </c>
      <c r="B7481" s="479" t="s">
        <v>3087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549"/>
      <c r="H7481" s="483" t="s">
        <v>3118</v>
      </c>
      <c r="I7481" s="484" t="s">
        <v>3138</v>
      </c>
      <c r="J7481" s="485"/>
      <c r="K7481" s="483" t="str">
        <f t="shared" si="228"/>
        <v>10,26</v>
      </c>
      <c r="L7481" s="483" t="s">
        <v>28</v>
      </c>
      <c r="M7481" s="483">
        <v>3111.66</v>
      </c>
      <c r="N7481" s="486">
        <v>0.45833333333333331</v>
      </c>
      <c r="O7481" s="897" t="s">
        <v>3121</v>
      </c>
      <c r="P7481" s="867" t="s">
        <v>3187</v>
      </c>
    </row>
    <row r="7482" spans="1:16" ht="19.5" hidden="1" thickBot="1" x14ac:dyDescent="0.3">
      <c r="A7482" s="1103"/>
      <c r="B7482" s="645" t="s">
        <v>3087</v>
      </c>
      <c r="C7482" s="646" t="s">
        <v>23</v>
      </c>
      <c r="D7482" s="647">
        <v>14.444000000000001</v>
      </c>
      <c r="E7482" s="648">
        <v>14.563000000000001</v>
      </c>
      <c r="F7482" s="649" t="s">
        <v>16</v>
      </c>
      <c r="G7482" s="650"/>
      <c r="H7482" s="649" t="s">
        <v>3118</v>
      </c>
      <c r="I7482" s="651" t="s">
        <v>3138</v>
      </c>
      <c r="J7482" s="652"/>
      <c r="K7482" s="649" t="str">
        <f t="shared" si="228"/>
        <v>10,26</v>
      </c>
      <c r="L7482" s="649" t="s">
        <v>28</v>
      </c>
      <c r="M7482" s="649">
        <v>14539.51</v>
      </c>
      <c r="N7482" s="653">
        <v>0.45833333333333331</v>
      </c>
      <c r="O7482" s="897" t="s">
        <v>3122</v>
      </c>
      <c r="P7482" s="867" t="s">
        <v>3188</v>
      </c>
    </row>
    <row r="7483" spans="1:16" ht="19.5" hidden="1" thickBot="1" x14ac:dyDescent="0.3">
      <c r="A7483" s="1107">
        <f t="shared" ref="A7483:A7494" si="230">MAX(A7256:A7482)+1</f>
        <v>4567</v>
      </c>
      <c r="B7483" s="531" t="s">
        <v>3103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536"/>
      <c r="H7483" s="535" t="s">
        <v>3118</v>
      </c>
      <c r="I7483" s="537" t="s">
        <v>3136</v>
      </c>
      <c r="J7483" s="538"/>
      <c r="K7483" s="535" t="str">
        <f t="shared" si="228"/>
        <v>10,26</v>
      </c>
      <c r="L7483" s="535" t="s">
        <v>266</v>
      </c>
      <c r="M7483" s="535">
        <v>5915.28</v>
      </c>
      <c r="N7483" s="539">
        <v>0.5</v>
      </c>
      <c r="O7483" s="897" t="s">
        <v>3141</v>
      </c>
      <c r="P7483" s="867" t="s">
        <v>3182</v>
      </c>
    </row>
    <row r="7484" spans="1:16" ht="19.5" hidden="1" thickBot="1" x14ac:dyDescent="0.3">
      <c r="A7484" s="1109"/>
      <c r="B7484" s="563" t="s">
        <v>3103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3118</v>
      </c>
      <c r="I7484" s="569" t="s">
        <v>3136</v>
      </c>
      <c r="J7484" s="570"/>
      <c r="K7484" s="567" t="str">
        <f t="shared" si="228"/>
        <v>10,26</v>
      </c>
      <c r="L7484" s="567" t="s">
        <v>266</v>
      </c>
      <c r="M7484" s="567">
        <v>5851.6800000000012</v>
      </c>
      <c r="N7484" s="571">
        <v>0.5</v>
      </c>
      <c r="O7484" s="897" t="s">
        <v>3140</v>
      </c>
      <c r="P7484" s="867" t="s">
        <v>3183</v>
      </c>
    </row>
    <row r="7485" spans="1:16" ht="19.5" hidden="1" thickBot="1" x14ac:dyDescent="0.3">
      <c r="A7485" s="1108"/>
      <c r="B7485" s="636" t="s">
        <v>3103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641" t="s">
        <v>1702</v>
      </c>
      <c r="H7485" s="640" t="s">
        <v>3118</v>
      </c>
      <c r="I7485" s="642" t="s">
        <v>3136</v>
      </c>
      <c r="J7485" s="643"/>
      <c r="K7485" s="640" t="str">
        <f t="shared" si="228"/>
        <v>10,26</v>
      </c>
      <c r="L7485" s="640" t="s">
        <v>266</v>
      </c>
      <c r="M7485" s="640">
        <v>6303.6200000000008</v>
      </c>
      <c r="N7485" s="644">
        <v>0.5</v>
      </c>
      <c r="O7485" s="897" t="s">
        <v>3139</v>
      </c>
      <c r="P7485" s="867" t="s">
        <v>3184</v>
      </c>
    </row>
    <row r="7486" spans="1:16" ht="19.5" hidden="1" thickBot="1" x14ac:dyDescent="0.3">
      <c r="A7486" s="513">
        <f t="shared" si="230"/>
        <v>4568</v>
      </c>
      <c r="B7486" s="514" t="s">
        <v>3103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3118</v>
      </c>
      <c r="I7486" s="520" t="s">
        <v>3118</v>
      </c>
      <c r="J7486" s="521"/>
      <c r="K7486" s="518" t="str">
        <f t="shared" si="228"/>
        <v>10,26</v>
      </c>
      <c r="L7486" s="518" t="s">
        <v>265</v>
      </c>
      <c r="M7486" s="518">
        <v>14152.36</v>
      </c>
      <c r="N7486" s="522">
        <v>4.1666666666666664E-2</v>
      </c>
      <c r="O7486" s="897" t="s">
        <v>3137</v>
      </c>
      <c r="P7486" s="867" t="s">
        <v>3189</v>
      </c>
    </row>
    <row r="7487" spans="1:16" ht="19.5" hidden="1" thickBot="1" x14ac:dyDescent="0.3">
      <c r="A7487" s="503">
        <f t="shared" si="230"/>
        <v>4569</v>
      </c>
      <c r="B7487" s="504" t="s">
        <v>3103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3136</v>
      </c>
      <c r="I7487" s="510" t="s">
        <v>3138</v>
      </c>
      <c r="J7487" s="511"/>
      <c r="K7487" s="508" t="str">
        <f t="shared" si="228"/>
        <v>10,26</v>
      </c>
      <c r="L7487" s="508" t="s">
        <v>265</v>
      </c>
      <c r="M7487" s="508">
        <v>17699.060000000001</v>
      </c>
      <c r="N7487" s="512">
        <v>4.1666666666666664E-2</v>
      </c>
      <c r="O7487" s="897" t="s">
        <v>3146</v>
      </c>
      <c r="P7487" s="867" t="s">
        <v>3190</v>
      </c>
    </row>
    <row r="7488" spans="1:16" ht="19.5" hidden="1" thickBot="1" x14ac:dyDescent="0.3">
      <c r="A7488" s="1110">
        <f t="shared" si="230"/>
        <v>4570</v>
      </c>
      <c r="B7488" s="479" t="s">
        <v>3103</v>
      </c>
      <c r="C7488" s="480" t="s">
        <v>15</v>
      </c>
      <c r="D7488" s="481">
        <v>3.339</v>
      </c>
      <c r="E7488" s="482">
        <v>3.3860000000000001</v>
      </c>
      <c r="F7488" s="483" t="s">
        <v>16</v>
      </c>
      <c r="G7488" s="549"/>
      <c r="H7488" s="483" t="s">
        <v>3136</v>
      </c>
      <c r="I7488" s="484" t="s">
        <v>3220</v>
      </c>
      <c r="J7488" s="485"/>
      <c r="K7488" s="483" t="str">
        <f t="shared" si="228"/>
        <v>10,26</v>
      </c>
      <c r="L7488" s="483" t="s">
        <v>28</v>
      </c>
      <c r="M7488" s="483">
        <v>3466.6200000000003</v>
      </c>
      <c r="N7488" s="486">
        <v>0.41666666666666669</v>
      </c>
      <c r="O7488" s="897" t="s">
        <v>3156</v>
      </c>
      <c r="P7488" s="867" t="s">
        <v>3251</v>
      </c>
    </row>
    <row r="7489" spans="1:16" ht="19.5" hidden="1" thickBot="1" x14ac:dyDescent="0.3">
      <c r="A7489" s="1102"/>
      <c r="B7489" s="523" t="s">
        <v>3103</v>
      </c>
      <c r="C7489" s="524" t="s">
        <v>24</v>
      </c>
      <c r="D7489" s="525">
        <v>10.218</v>
      </c>
      <c r="E7489" s="526">
        <v>10.153</v>
      </c>
      <c r="F7489" s="527" t="s">
        <v>16</v>
      </c>
      <c r="G7489" s="561"/>
      <c r="H7489" s="527" t="s">
        <v>3136</v>
      </c>
      <c r="I7489" s="528" t="s">
        <v>3220</v>
      </c>
      <c r="J7489" s="529"/>
      <c r="K7489" s="527" t="str">
        <f t="shared" si="228"/>
        <v>10,26</v>
      </c>
      <c r="L7489" s="527" t="s">
        <v>28</v>
      </c>
      <c r="M7489" s="527">
        <v>10412.210000000003</v>
      </c>
      <c r="N7489" s="530">
        <v>0.41666666666666669</v>
      </c>
      <c r="O7489" s="897" t="s">
        <v>3147</v>
      </c>
      <c r="P7489" s="867" t="s">
        <v>3252</v>
      </c>
    </row>
    <row r="7490" spans="1:16" ht="19.5" hidden="1" thickBot="1" x14ac:dyDescent="0.3">
      <c r="A7490" s="1103"/>
      <c r="B7490" s="645" t="s">
        <v>3103</v>
      </c>
      <c r="C7490" s="646" t="s">
        <v>20</v>
      </c>
      <c r="D7490" s="647">
        <v>3.891</v>
      </c>
      <c r="E7490" s="648">
        <v>3.9420000000000002</v>
      </c>
      <c r="F7490" s="649" t="s">
        <v>16</v>
      </c>
      <c r="G7490" s="650"/>
      <c r="H7490" s="649" t="s">
        <v>3136</v>
      </c>
      <c r="I7490" s="651" t="s">
        <v>3220</v>
      </c>
      <c r="J7490" s="652"/>
      <c r="K7490" s="649" t="str">
        <f t="shared" si="228"/>
        <v>10,26</v>
      </c>
      <c r="L7490" s="649" t="s">
        <v>28</v>
      </c>
      <c r="M7490" s="649">
        <v>4034.2400000000007</v>
      </c>
      <c r="N7490" s="653">
        <v>0.41666666666666669</v>
      </c>
      <c r="O7490" s="897" t="s">
        <v>3155</v>
      </c>
      <c r="P7490" s="867" t="s">
        <v>3253</v>
      </c>
    </row>
    <row r="7491" spans="1:16" ht="19.5" hidden="1" thickBot="1" x14ac:dyDescent="0.3">
      <c r="A7491" s="503">
        <f t="shared" si="230"/>
        <v>4571</v>
      </c>
      <c r="B7491" s="504" t="s">
        <v>3103</v>
      </c>
      <c r="C7491" s="505" t="s">
        <v>47</v>
      </c>
      <c r="D7491" s="506">
        <v>17.593</v>
      </c>
      <c r="E7491" s="507">
        <v>17.847000000000001</v>
      </c>
      <c r="F7491" s="508" t="s">
        <v>16</v>
      </c>
      <c r="G7491" s="509"/>
      <c r="H7491" s="508" t="s">
        <v>3136</v>
      </c>
      <c r="I7491" s="510" t="s">
        <v>3144</v>
      </c>
      <c r="J7491" s="511"/>
      <c r="K7491" s="508" t="str">
        <f t="shared" si="228"/>
        <v>10,26</v>
      </c>
      <c r="L7491" s="508" t="s">
        <v>28</v>
      </c>
      <c r="M7491" s="508">
        <v>17814.129999999997</v>
      </c>
      <c r="N7491" s="512">
        <v>0.45833333333333331</v>
      </c>
      <c r="O7491" s="897" t="s">
        <v>3157</v>
      </c>
      <c r="P7491" s="867" t="s">
        <v>3217</v>
      </c>
    </row>
    <row r="7492" spans="1:16" ht="38.25" hidden="1" thickBot="1" x14ac:dyDescent="0.3">
      <c r="A7492" s="513">
        <f t="shared" si="230"/>
        <v>4572</v>
      </c>
      <c r="B7492" s="514" t="s">
        <v>3103</v>
      </c>
      <c r="C7492" s="515" t="s">
        <v>23</v>
      </c>
      <c r="D7492" s="516">
        <v>16.576000000000001</v>
      </c>
      <c r="E7492" s="517">
        <v>16.666</v>
      </c>
      <c r="F7492" s="518" t="s">
        <v>16</v>
      </c>
      <c r="G7492" s="519" t="s">
        <v>1633</v>
      </c>
      <c r="H7492" s="518" t="s">
        <v>3136</v>
      </c>
      <c r="I7492" s="520" t="s">
        <v>3198</v>
      </c>
      <c r="J7492" s="521"/>
      <c r="K7492" s="518" t="str">
        <f t="shared" si="228"/>
        <v>10,26</v>
      </c>
      <c r="L7492" s="518" t="s">
        <v>28</v>
      </c>
      <c r="M7492" s="518">
        <v>16723.899999999998</v>
      </c>
      <c r="N7492" s="522">
        <v>0.5</v>
      </c>
      <c r="O7492" s="897" t="s">
        <v>3158</v>
      </c>
      <c r="P7492" s="867" t="s">
        <v>3254</v>
      </c>
    </row>
    <row r="7493" spans="1:16" ht="19.5" hidden="1" thickBot="1" x14ac:dyDescent="0.3">
      <c r="A7493" s="503">
        <f t="shared" si="230"/>
        <v>4573</v>
      </c>
      <c r="B7493" s="504" t="s">
        <v>3103</v>
      </c>
      <c r="C7493" s="505" t="s">
        <v>47</v>
      </c>
      <c r="D7493" s="506">
        <v>11.917999999999999</v>
      </c>
      <c r="E7493" s="507">
        <v>11.917999999999999</v>
      </c>
      <c r="F7493" s="508" t="s">
        <v>30</v>
      </c>
      <c r="G7493" s="509"/>
      <c r="H7493" s="508" t="s">
        <v>3136</v>
      </c>
      <c r="I7493" s="510" t="s">
        <v>3220</v>
      </c>
      <c r="J7493" s="511"/>
      <c r="K7493" s="508" t="str">
        <f t="shared" si="228"/>
        <v>10,26</v>
      </c>
      <c r="L7493" s="508" t="s">
        <v>28</v>
      </c>
      <c r="M7493" s="508">
        <v>11918.440000000002</v>
      </c>
      <c r="N7493" s="512">
        <v>0.45833333333333331</v>
      </c>
      <c r="O7493" s="897" t="s">
        <v>3150</v>
      </c>
      <c r="P7493" s="867" t="s">
        <v>3257</v>
      </c>
    </row>
    <row r="7494" spans="1:16" ht="19.5" hidden="1" thickBot="1" x14ac:dyDescent="0.3">
      <c r="A7494" s="513">
        <f t="shared" si="230"/>
        <v>4574</v>
      </c>
      <c r="B7494" s="514" t="s">
        <v>3103</v>
      </c>
      <c r="C7494" s="515" t="s">
        <v>587</v>
      </c>
      <c r="D7494" s="516">
        <v>12.26</v>
      </c>
      <c r="E7494" s="517">
        <v>12.260999999999999</v>
      </c>
      <c r="F7494" s="518" t="s">
        <v>30</v>
      </c>
      <c r="G7494" s="519" t="s">
        <v>23</v>
      </c>
      <c r="H7494" s="518" t="s">
        <v>3136</v>
      </c>
      <c r="I7494" s="520" t="s">
        <v>3226</v>
      </c>
      <c r="J7494" s="521"/>
      <c r="K7494" s="518" t="str">
        <f t="shared" si="228"/>
        <v>10,26</v>
      </c>
      <c r="L7494" s="518" t="s">
        <v>28</v>
      </c>
      <c r="M7494" s="518">
        <v>12260.56</v>
      </c>
      <c r="N7494" s="522">
        <v>0.5</v>
      </c>
      <c r="O7494" s="897" t="s">
        <v>3151</v>
      </c>
      <c r="P7494" s="867" t="s">
        <v>3277</v>
      </c>
    </row>
    <row r="7495" spans="1:16" ht="19.5" hidden="1" thickBot="1" x14ac:dyDescent="0.3">
      <c r="A7495" s="1107">
        <f t="shared" ref="A7495:A7508" si="231">MAX(A7268:A7494)+1</f>
        <v>4575</v>
      </c>
      <c r="B7495" s="531" t="s">
        <v>3103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536"/>
      <c r="H7495" s="535" t="s">
        <v>3136</v>
      </c>
      <c r="I7495" s="537" t="s">
        <v>3138</v>
      </c>
      <c r="J7495" s="538"/>
      <c r="K7495" s="535" t="str">
        <f t="shared" si="228"/>
        <v>10,26</v>
      </c>
      <c r="L7495" s="535" t="s">
        <v>266</v>
      </c>
      <c r="M7495" s="535">
        <v>2395.6799999999998</v>
      </c>
      <c r="N7495" s="539">
        <v>0.41666666666666669</v>
      </c>
      <c r="O7495" s="897" t="s">
        <v>3149</v>
      </c>
      <c r="P7495" s="867" t="s">
        <v>3195</v>
      </c>
    </row>
    <row r="7496" spans="1:16" ht="19.5" hidden="1" thickBot="1" x14ac:dyDescent="0.3">
      <c r="A7496" s="1108"/>
      <c r="B7496" s="636" t="s">
        <v>3103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641"/>
      <c r="H7496" s="640" t="s">
        <v>3136</v>
      </c>
      <c r="I7496" s="642" t="s">
        <v>3138</v>
      </c>
      <c r="J7496" s="643"/>
      <c r="K7496" s="640" t="str">
        <f t="shared" si="228"/>
        <v>10,26</v>
      </c>
      <c r="L7496" s="640" t="s">
        <v>28</v>
      </c>
      <c r="M7496" s="640">
        <v>9928.64</v>
      </c>
      <c r="N7496" s="644">
        <v>0.41666666666666669</v>
      </c>
      <c r="O7496" s="897" t="s">
        <v>3148</v>
      </c>
      <c r="P7496" s="867" t="s">
        <v>3196</v>
      </c>
    </row>
    <row r="7497" spans="1:16" ht="19.5" hidden="1" thickBot="1" x14ac:dyDescent="0.3">
      <c r="A7497" s="513">
        <f t="shared" si="231"/>
        <v>4576</v>
      </c>
      <c r="B7497" s="514" t="s">
        <v>3103</v>
      </c>
      <c r="C7497" s="515" t="s">
        <v>26</v>
      </c>
      <c r="D7497" s="516">
        <v>17.483000000000001</v>
      </c>
      <c r="E7497" s="517">
        <v>17.190000000000001</v>
      </c>
      <c r="F7497" s="518" t="s">
        <v>16</v>
      </c>
      <c r="G7497" s="519"/>
      <c r="H7497" s="518" t="s">
        <v>3138</v>
      </c>
      <c r="I7497" s="520" t="s">
        <v>3144</v>
      </c>
      <c r="J7497" s="521"/>
      <c r="K7497" s="518" t="str">
        <f t="shared" si="228"/>
        <v>10,26</v>
      </c>
      <c r="L7497" s="518" t="s">
        <v>265</v>
      </c>
      <c r="M7497" s="518">
        <v>17698.190000000002</v>
      </c>
      <c r="N7497" s="522">
        <v>4.1666666666666664E-2</v>
      </c>
      <c r="O7497" s="897" t="s">
        <v>3142</v>
      </c>
      <c r="P7497" s="867" t="s">
        <v>3213</v>
      </c>
    </row>
    <row r="7498" spans="1:16" ht="19.5" hidden="1" thickBot="1" x14ac:dyDescent="0.3">
      <c r="A7498" s="503">
        <f t="shared" si="231"/>
        <v>4577</v>
      </c>
      <c r="B7498" s="504" t="s">
        <v>3103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3138</v>
      </c>
      <c r="I7498" s="510" t="s">
        <v>3138</v>
      </c>
      <c r="J7498" s="511"/>
      <c r="K7498" s="508" t="str">
        <f t="shared" si="228"/>
        <v>10,26</v>
      </c>
      <c r="L7498" s="508" t="s">
        <v>265</v>
      </c>
      <c r="M7498" s="508">
        <v>15032.2</v>
      </c>
      <c r="N7498" s="512">
        <v>4.1666666666666664E-2</v>
      </c>
      <c r="O7498" s="897" t="s">
        <v>3143</v>
      </c>
      <c r="P7498" s="867" t="s">
        <v>3194</v>
      </c>
    </row>
    <row r="7499" spans="1:16" ht="38.25" hidden="1" thickBot="1" x14ac:dyDescent="0.3">
      <c r="A7499" s="513">
        <f t="shared" si="231"/>
        <v>4578</v>
      </c>
      <c r="B7499" s="514" t="s">
        <v>3103</v>
      </c>
      <c r="C7499" s="515" t="s">
        <v>47</v>
      </c>
      <c r="D7499" s="516">
        <v>17.097999999999999</v>
      </c>
      <c r="E7499" s="517">
        <v>17.334</v>
      </c>
      <c r="F7499" s="518" t="s">
        <v>16</v>
      </c>
      <c r="G7499" s="519" t="s">
        <v>1634</v>
      </c>
      <c r="H7499" s="518" t="s">
        <v>3138</v>
      </c>
      <c r="I7499" s="520" t="s">
        <v>3198</v>
      </c>
      <c r="J7499" s="521"/>
      <c r="K7499" s="518" t="str">
        <f t="shared" si="228"/>
        <v>10,26</v>
      </c>
      <c r="L7499" s="518" t="s">
        <v>28</v>
      </c>
      <c r="M7499" s="518">
        <v>17222.939999999999</v>
      </c>
      <c r="N7499" s="522">
        <v>0.41666666666666669</v>
      </c>
      <c r="O7499" s="897" t="s">
        <v>3159</v>
      </c>
      <c r="P7499" s="867" t="s">
        <v>3261</v>
      </c>
    </row>
    <row r="7500" spans="1:16" ht="19.5" thickBot="1" x14ac:dyDescent="0.3">
      <c r="A7500" s="503">
        <f t="shared" si="231"/>
        <v>4579</v>
      </c>
      <c r="B7500" s="504" t="s">
        <v>3103</v>
      </c>
      <c r="C7500" s="505" t="s">
        <v>23</v>
      </c>
      <c r="D7500" s="506">
        <v>17.587</v>
      </c>
      <c r="E7500" s="507">
        <v>17.745000000000001</v>
      </c>
      <c r="F7500" s="508" t="s">
        <v>16</v>
      </c>
      <c r="G7500" s="509"/>
      <c r="H7500" s="508" t="s">
        <v>3138</v>
      </c>
      <c r="I7500" s="510" t="s">
        <v>3228</v>
      </c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3160</v>
      </c>
      <c r="P7500" s="867" t="s">
        <v>3276</v>
      </c>
    </row>
    <row r="7501" spans="1:16" x14ac:dyDescent="0.25">
      <c r="A7501" s="1110">
        <f t="shared" si="231"/>
        <v>4580</v>
      </c>
      <c r="B7501" s="479" t="s">
        <v>3103</v>
      </c>
      <c r="C7501" s="480" t="s">
        <v>15</v>
      </c>
      <c r="D7501" s="481">
        <v>5.6550000000000002</v>
      </c>
      <c r="E7501" s="482">
        <v>5.6550000000000002</v>
      </c>
      <c r="F7501" s="483" t="s">
        <v>30</v>
      </c>
      <c r="G7501" s="549"/>
      <c r="H7501" s="483" t="s">
        <v>3138</v>
      </c>
      <c r="I7501" s="484" t="s">
        <v>3198</v>
      </c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3152</v>
      </c>
      <c r="P7501" s="867" t="s">
        <v>3262</v>
      </c>
    </row>
    <row r="7502" spans="1:16" x14ac:dyDescent="0.25">
      <c r="A7502" s="1102"/>
      <c r="B7502" s="523" t="s">
        <v>3103</v>
      </c>
      <c r="C7502" s="524" t="s">
        <v>24</v>
      </c>
      <c r="D7502" s="525">
        <v>5.7779999999999996</v>
      </c>
      <c r="E7502" s="526">
        <v>5.7779999999999996</v>
      </c>
      <c r="F7502" s="527" t="s">
        <v>30</v>
      </c>
      <c r="G7502" s="561"/>
      <c r="H7502" s="527" t="s">
        <v>3138</v>
      </c>
      <c r="I7502" s="528" t="s">
        <v>3198</v>
      </c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3154</v>
      </c>
      <c r="P7502" s="867" t="s">
        <v>3263</v>
      </c>
    </row>
    <row r="7503" spans="1:16" ht="19.5" thickBot="1" x14ac:dyDescent="0.3">
      <c r="A7503" s="1103"/>
      <c r="B7503" s="645" t="s">
        <v>3103</v>
      </c>
      <c r="C7503" s="646" t="s">
        <v>20</v>
      </c>
      <c r="D7503" s="647">
        <v>3.6389999999999998</v>
      </c>
      <c r="E7503" s="648">
        <v>3.6389999999999998</v>
      </c>
      <c r="F7503" s="649" t="s">
        <v>30</v>
      </c>
      <c r="G7503" s="650"/>
      <c r="H7503" s="649" t="s">
        <v>3138</v>
      </c>
      <c r="I7503" s="651" t="s">
        <v>3198</v>
      </c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3153</v>
      </c>
      <c r="P7503" s="867" t="s">
        <v>3264</v>
      </c>
    </row>
    <row r="7504" spans="1:16" ht="38.25" thickBot="1" x14ac:dyDescent="0.3">
      <c r="A7504" s="503">
        <f t="shared" si="231"/>
        <v>4581</v>
      </c>
      <c r="B7504" s="504" t="s">
        <v>3136</v>
      </c>
      <c r="C7504" s="505" t="s">
        <v>25</v>
      </c>
      <c r="D7504" s="506">
        <v>16.893000000000001</v>
      </c>
      <c r="E7504" s="507">
        <v>16.887</v>
      </c>
      <c r="F7504" s="508" t="s">
        <v>16</v>
      </c>
      <c r="G7504" s="509" t="s">
        <v>3145</v>
      </c>
      <c r="H7504" s="508" t="s">
        <v>3144</v>
      </c>
      <c r="I7504" s="510" t="s">
        <v>3226</v>
      </c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3161</v>
      </c>
      <c r="P7504" s="867" t="s">
        <v>3278</v>
      </c>
    </row>
    <row r="7505" spans="1:18" ht="19.5" thickBot="1" x14ac:dyDescent="0.3">
      <c r="A7505" s="513">
        <f t="shared" si="231"/>
        <v>4582</v>
      </c>
      <c r="B7505" s="514" t="s">
        <v>3138</v>
      </c>
      <c r="C7505" s="515" t="s">
        <v>32</v>
      </c>
      <c r="D7505" s="516">
        <v>18.027000000000001</v>
      </c>
      <c r="E7505" s="517">
        <v>18.085000000000001</v>
      </c>
      <c r="F7505" s="518" t="s">
        <v>16</v>
      </c>
      <c r="G7505" s="519"/>
      <c r="H7505" s="518" t="s">
        <v>3191</v>
      </c>
      <c r="I7505" s="520" t="s">
        <v>3191</v>
      </c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3192</v>
      </c>
      <c r="P7505" s="867" t="s">
        <v>3219</v>
      </c>
    </row>
    <row r="7506" spans="1:18" ht="19.5" thickBot="1" x14ac:dyDescent="0.3">
      <c r="A7506" s="551">
        <f t="shared" si="231"/>
        <v>4583</v>
      </c>
      <c r="B7506" s="552" t="s">
        <v>3138</v>
      </c>
      <c r="C7506" s="553" t="s">
        <v>840</v>
      </c>
      <c r="D7506" s="554">
        <v>16.571000000000002</v>
      </c>
      <c r="E7506" s="555">
        <v>16.626999999999999</v>
      </c>
      <c r="F7506" s="556" t="s">
        <v>16</v>
      </c>
      <c r="G7506" s="557"/>
      <c r="H7506" s="556" t="s">
        <v>3191</v>
      </c>
      <c r="I7506" s="558" t="s">
        <v>3197</v>
      </c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3193</v>
      </c>
      <c r="P7506" s="867" t="s">
        <v>3260</v>
      </c>
    </row>
    <row r="7507" spans="1:18" ht="19.5" thickBot="1" x14ac:dyDescent="0.3">
      <c r="A7507" s="513">
        <f t="shared" si="231"/>
        <v>4584</v>
      </c>
      <c r="B7507" s="514" t="s">
        <v>3144</v>
      </c>
      <c r="C7507" s="515" t="s">
        <v>26</v>
      </c>
      <c r="D7507" s="516">
        <v>17.797000000000001</v>
      </c>
      <c r="E7507" s="517">
        <v>17.797000000000001</v>
      </c>
      <c r="F7507" s="518" t="s">
        <v>16</v>
      </c>
      <c r="G7507" s="519"/>
      <c r="H7507" s="518" t="s">
        <v>3197</v>
      </c>
      <c r="I7507" s="520" t="s">
        <v>3197</v>
      </c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3201</v>
      </c>
      <c r="P7507" s="867" t="s">
        <v>3258</v>
      </c>
    </row>
    <row r="7508" spans="1:18" x14ac:dyDescent="0.25">
      <c r="A7508" s="1107">
        <f t="shared" si="231"/>
        <v>4585</v>
      </c>
      <c r="B7508" s="531" t="s">
        <v>3144</v>
      </c>
      <c r="C7508" s="532" t="s">
        <v>26</v>
      </c>
      <c r="D7508" s="533">
        <v>17.483000000000001</v>
      </c>
      <c r="E7508" s="534">
        <v>17.597999999999999</v>
      </c>
      <c r="F7508" s="535" t="s">
        <v>16</v>
      </c>
      <c r="G7508" s="536"/>
      <c r="H7508" s="535" t="s">
        <v>3197</v>
      </c>
      <c r="I7508" s="537" t="s">
        <v>3197</v>
      </c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3203</v>
      </c>
      <c r="P7508" s="867" t="s">
        <v>3256</v>
      </c>
      <c r="R7508" s="943"/>
    </row>
    <row r="7509" spans="1:18" ht="19.5" thickBot="1" x14ac:dyDescent="0.3">
      <c r="A7509" s="1108"/>
      <c r="B7509" s="636" t="s">
        <v>3144</v>
      </c>
      <c r="C7509" s="637" t="s">
        <v>26</v>
      </c>
      <c r="D7509" s="638">
        <v>0.4</v>
      </c>
      <c r="E7509" s="639">
        <v>0.40300000000000002</v>
      </c>
      <c r="F7509" s="640" t="s">
        <v>16</v>
      </c>
      <c r="G7509" s="641"/>
      <c r="H7509" s="640" t="s">
        <v>3197</v>
      </c>
      <c r="I7509" s="642" t="s">
        <v>3197</v>
      </c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3212</v>
      </c>
      <c r="P7509" s="867" t="s">
        <v>3255</v>
      </c>
      <c r="R7509" s="943"/>
    </row>
    <row r="7510" spans="1:18" x14ac:dyDescent="0.25">
      <c r="A7510" s="1110">
        <f>MAX(A7282:A7508)+1</f>
        <v>4586</v>
      </c>
      <c r="B7510" s="479" t="s">
        <v>3144</v>
      </c>
      <c r="C7510" s="480" t="s">
        <v>320</v>
      </c>
      <c r="D7510" s="481">
        <v>2</v>
      </c>
      <c r="E7510" s="482">
        <v>2</v>
      </c>
      <c r="F7510" s="483" t="s">
        <v>30</v>
      </c>
      <c r="G7510" s="549"/>
      <c r="H7510" s="483" t="s">
        <v>3197</v>
      </c>
      <c r="I7510" s="484" t="s">
        <v>3226</v>
      </c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3200</v>
      </c>
      <c r="P7510" s="867" t="s">
        <v>3273</v>
      </c>
    </row>
    <row r="7511" spans="1:18" ht="19.5" thickBot="1" x14ac:dyDescent="0.3">
      <c r="A7511" s="1103"/>
      <c r="B7511" s="645" t="s">
        <v>3144</v>
      </c>
      <c r="C7511" s="646" t="s">
        <v>47</v>
      </c>
      <c r="D7511" s="647">
        <v>9.7040000000000006</v>
      </c>
      <c r="E7511" s="648">
        <v>9.7040000000000006</v>
      </c>
      <c r="F7511" s="649" t="s">
        <v>30</v>
      </c>
      <c r="G7511" s="650"/>
      <c r="H7511" s="649" t="s">
        <v>3197</v>
      </c>
      <c r="I7511" s="651" t="s">
        <v>3226</v>
      </c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3199</v>
      </c>
      <c r="P7511" s="867" t="s">
        <v>3274</v>
      </c>
    </row>
    <row r="7512" spans="1:18" ht="19.5" thickBot="1" x14ac:dyDescent="0.3">
      <c r="A7512" s="503">
        <f>MAX(A7284:A7511)+1</f>
        <v>4587</v>
      </c>
      <c r="B7512" s="504" t="s">
        <v>3144</v>
      </c>
      <c r="C7512" s="505" t="s">
        <v>26</v>
      </c>
      <c r="D7512" s="506">
        <v>17.704999999999998</v>
      </c>
      <c r="E7512" s="507">
        <v>17.390999999999998</v>
      </c>
      <c r="F7512" s="508" t="s">
        <v>16</v>
      </c>
      <c r="G7512" s="509"/>
      <c r="H7512" s="508" t="s">
        <v>3198</v>
      </c>
      <c r="I7512" s="510" t="s">
        <v>3226</v>
      </c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3202</v>
      </c>
      <c r="P7512" s="867" t="s">
        <v>3279</v>
      </c>
    </row>
    <row r="7513" spans="1:18" ht="19.5" thickBot="1" x14ac:dyDescent="0.3">
      <c r="A7513" s="513">
        <f>MAX(A7285:A7512)+1</f>
        <v>4588</v>
      </c>
      <c r="B7513" s="514" t="s">
        <v>3144</v>
      </c>
      <c r="C7513" s="515" t="s">
        <v>26</v>
      </c>
      <c r="D7513" s="516">
        <v>17.454999999999998</v>
      </c>
      <c r="E7513" s="517">
        <v>17.608000000000001</v>
      </c>
      <c r="F7513" s="518" t="s">
        <v>16</v>
      </c>
      <c r="G7513" s="519"/>
      <c r="H7513" s="518" t="s">
        <v>3198</v>
      </c>
      <c r="I7513" s="520" t="s">
        <v>3226</v>
      </c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3204</v>
      </c>
      <c r="P7513" s="867" t="s">
        <v>3275</v>
      </c>
    </row>
    <row r="7514" spans="1:18" x14ac:dyDescent="0.25">
      <c r="A7514" s="1107">
        <f>MAX(A7286:A7513)+1</f>
        <v>4589</v>
      </c>
      <c r="B7514" s="531" t="s">
        <v>3144</v>
      </c>
      <c r="C7514" s="532" t="s">
        <v>21</v>
      </c>
      <c r="D7514" s="533">
        <v>3.2810000000000001</v>
      </c>
      <c r="E7514" s="534">
        <v>3.2949999999999999</v>
      </c>
      <c r="F7514" s="535" t="s">
        <v>16</v>
      </c>
      <c r="G7514" s="536"/>
      <c r="H7514" s="535" t="s">
        <v>3198</v>
      </c>
      <c r="I7514" s="537" t="s">
        <v>3269</v>
      </c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3207</v>
      </c>
      <c r="P7514" s="867" t="s">
        <v>3283</v>
      </c>
      <c r="R7514" s="943"/>
    </row>
    <row r="7515" spans="1:18" x14ac:dyDescent="0.25">
      <c r="A7515" s="1109"/>
      <c r="B7515" s="563" t="s">
        <v>3144</v>
      </c>
      <c r="C7515" s="564" t="s">
        <v>21</v>
      </c>
      <c r="D7515" s="565">
        <v>5.4029999999999996</v>
      </c>
      <c r="E7515" s="566">
        <v>5.383</v>
      </c>
      <c r="F7515" s="567" t="s">
        <v>16</v>
      </c>
      <c r="G7515" s="568"/>
      <c r="H7515" s="567" t="s">
        <v>3198</v>
      </c>
      <c r="I7515" s="569" t="s">
        <v>3269</v>
      </c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897" t="s">
        <v>3209</v>
      </c>
      <c r="P7515" s="867" t="s">
        <v>3286</v>
      </c>
      <c r="R7515" s="943"/>
    </row>
    <row r="7516" spans="1:18" x14ac:dyDescent="0.25">
      <c r="A7516" s="1109"/>
      <c r="B7516" s="563" t="s">
        <v>3144</v>
      </c>
      <c r="C7516" s="564" t="s">
        <v>24</v>
      </c>
      <c r="D7516" s="565">
        <v>5.7009999999999996</v>
      </c>
      <c r="E7516" s="566">
        <v>5.7729999999999997</v>
      </c>
      <c r="F7516" s="567" t="s">
        <v>16</v>
      </c>
      <c r="G7516" s="568"/>
      <c r="H7516" s="567" t="s">
        <v>3198</v>
      </c>
      <c r="I7516" s="569" t="s">
        <v>3269</v>
      </c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897" t="s">
        <v>3208</v>
      </c>
      <c r="P7516" s="867" t="s">
        <v>3284</v>
      </c>
    </row>
    <row r="7517" spans="1:18" ht="19.5" thickBot="1" x14ac:dyDescent="0.3">
      <c r="A7517" s="1108"/>
      <c r="B7517" s="636" t="s">
        <v>3144</v>
      </c>
      <c r="C7517" s="637" t="s">
        <v>20</v>
      </c>
      <c r="D7517" s="638">
        <v>3.0680000000000001</v>
      </c>
      <c r="E7517" s="639">
        <v>3.2109999999999999</v>
      </c>
      <c r="F7517" s="640" t="s">
        <v>16</v>
      </c>
      <c r="G7517" s="641"/>
      <c r="H7517" s="640" t="s">
        <v>3198</v>
      </c>
      <c r="I7517" s="642" t="s">
        <v>3269</v>
      </c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3205</v>
      </c>
      <c r="P7517" s="867" t="s">
        <v>3285</v>
      </c>
    </row>
    <row r="7518" spans="1:18" x14ac:dyDescent="0.25">
      <c r="A7518" s="1110">
        <f>MAX(A7290:A7517)+1</f>
        <v>4590</v>
      </c>
      <c r="B7518" s="479" t="s">
        <v>3144</v>
      </c>
      <c r="C7518" s="480" t="s">
        <v>913</v>
      </c>
      <c r="D7518" s="481">
        <v>2.5489999999999999</v>
      </c>
      <c r="E7518" s="482">
        <v>2.5489999999999999</v>
      </c>
      <c r="F7518" s="483" t="s">
        <v>16</v>
      </c>
      <c r="G7518" s="549"/>
      <c r="H7518" s="483" t="s">
        <v>3198</v>
      </c>
      <c r="I7518" s="484" t="s">
        <v>3291</v>
      </c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3206</v>
      </c>
      <c r="P7518" s="867" t="s">
        <v>3370</v>
      </c>
    </row>
    <row r="7519" spans="1:18" x14ac:dyDescent="0.25">
      <c r="A7519" s="1102"/>
      <c r="B7519" s="523" t="s">
        <v>3144</v>
      </c>
      <c r="C7519" s="524" t="s">
        <v>839</v>
      </c>
      <c r="D7519" s="525">
        <v>4.0270000000000001</v>
      </c>
      <c r="E7519" s="526">
        <v>4.0570000000000004</v>
      </c>
      <c r="F7519" s="527" t="s">
        <v>16</v>
      </c>
      <c r="G7519" s="561"/>
      <c r="H7519" s="527" t="s">
        <v>3198</v>
      </c>
      <c r="I7519" s="528" t="s">
        <v>3291</v>
      </c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3211</v>
      </c>
      <c r="P7519" s="867" t="s">
        <v>3372</v>
      </c>
    </row>
    <row r="7520" spans="1:18" ht="19.5" thickBot="1" x14ac:dyDescent="0.3">
      <c r="A7520" s="1102"/>
      <c r="B7520" s="495" t="s">
        <v>3144</v>
      </c>
      <c r="C7520" s="496" t="s">
        <v>23</v>
      </c>
      <c r="D7520" s="497">
        <v>11.099</v>
      </c>
      <c r="E7520" s="498">
        <v>11.239000000000001</v>
      </c>
      <c r="F7520" s="499" t="s">
        <v>16</v>
      </c>
      <c r="G7520" s="562"/>
      <c r="H7520" s="499" t="s">
        <v>3198</v>
      </c>
      <c r="I7520" s="500" t="s">
        <v>3291</v>
      </c>
      <c r="J7520" s="501"/>
      <c r="K7520" s="495"/>
      <c r="L7520" s="499" t="s">
        <v>28</v>
      </c>
      <c r="M7520" s="499">
        <v>11208.2</v>
      </c>
      <c r="N7520" s="502">
        <v>0.45833333333333331</v>
      </c>
      <c r="O7520" s="897" t="s">
        <v>3210</v>
      </c>
      <c r="P7520" s="867" t="s">
        <v>3371</v>
      </c>
    </row>
    <row r="7521" spans="1:16" ht="19.5" thickBot="1" x14ac:dyDescent="0.3">
      <c r="A7521" s="503">
        <f t="shared" ref="A7521:A7534" si="232">MAX(A7293:A7520)+1</f>
        <v>4591</v>
      </c>
      <c r="B7521" s="504" t="s">
        <v>3191</v>
      </c>
      <c r="C7521" s="505" t="s">
        <v>26</v>
      </c>
      <c r="D7521" s="506">
        <v>14.425000000000001</v>
      </c>
      <c r="E7521" s="507">
        <v>14.425000000000001</v>
      </c>
      <c r="F7521" s="508" t="s">
        <v>30</v>
      </c>
      <c r="G7521" s="509"/>
      <c r="H7521" s="508" t="s">
        <v>3198</v>
      </c>
      <c r="I7521" s="510" t="s">
        <v>3198</v>
      </c>
      <c r="J7521" s="511"/>
      <c r="K7521" s="504"/>
      <c r="L7521" s="508" t="s">
        <v>265</v>
      </c>
      <c r="M7521" s="508">
        <v>14425.400000000001</v>
      </c>
      <c r="N7521" s="512">
        <v>4.1666666666666664E-2</v>
      </c>
      <c r="O7521" s="897" t="s">
        <v>3218</v>
      </c>
      <c r="P7521" s="867" t="s">
        <v>3259</v>
      </c>
    </row>
    <row r="7522" spans="1:16" x14ac:dyDescent="0.25">
      <c r="A7522" s="1198">
        <f t="shared" si="232"/>
        <v>4592</v>
      </c>
      <c r="B7522" s="479" t="s">
        <v>3191</v>
      </c>
      <c r="C7522" s="480" t="s">
        <v>26</v>
      </c>
      <c r="D7522" s="481">
        <v>15.737</v>
      </c>
      <c r="E7522" s="482">
        <v>15.692</v>
      </c>
      <c r="F7522" s="483" t="s">
        <v>16</v>
      </c>
      <c r="G7522" s="549"/>
      <c r="H7522" s="483" t="s">
        <v>3220</v>
      </c>
      <c r="I7522" s="484" t="s">
        <v>3269</v>
      </c>
      <c r="J7522" s="485"/>
      <c r="K7522" s="479"/>
      <c r="L7522" s="483" t="s">
        <v>265</v>
      </c>
      <c r="M7522" s="483">
        <v>15885.36</v>
      </c>
      <c r="N7522" s="486">
        <v>4.1666666666666664E-2</v>
      </c>
      <c r="O7522" s="897" t="s">
        <v>3221</v>
      </c>
      <c r="P7522" s="867" t="s">
        <v>3288</v>
      </c>
    </row>
    <row r="7523" spans="1:16" ht="19.5" thickBot="1" x14ac:dyDescent="0.3">
      <c r="A7523" s="1199"/>
      <c r="B7523" s="1058" t="s">
        <v>3191</v>
      </c>
      <c r="C7523" s="772" t="s">
        <v>952</v>
      </c>
      <c r="D7523" s="773">
        <v>2.0920000000000001</v>
      </c>
      <c r="E7523" s="774">
        <v>2.06</v>
      </c>
      <c r="F7523" s="775" t="s">
        <v>16</v>
      </c>
      <c r="G7523" s="776"/>
      <c r="H7523" s="775" t="s">
        <v>3220</v>
      </c>
      <c r="I7523" s="777" t="s">
        <v>3269</v>
      </c>
      <c r="J7523" s="780"/>
      <c r="K7523" s="645"/>
      <c r="L7523" s="649" t="s">
        <v>265</v>
      </c>
      <c r="M7523" s="649">
        <v>2092.3199999999997</v>
      </c>
      <c r="N7523" s="653">
        <v>4.1666666666666664E-2</v>
      </c>
      <c r="O7523" s="897" t="s">
        <v>3222</v>
      </c>
      <c r="P7523" s="867" t="s">
        <v>3287</v>
      </c>
    </row>
    <row r="7524" spans="1:16" x14ac:dyDescent="0.25">
      <c r="A7524" s="1189">
        <f t="shared" si="232"/>
        <v>4593</v>
      </c>
      <c r="B7524" s="531" t="s">
        <v>3191</v>
      </c>
      <c r="C7524" s="532" t="s">
        <v>15</v>
      </c>
      <c r="D7524" s="533">
        <v>8.0579999999999998</v>
      </c>
      <c r="E7524" s="534">
        <v>8.1270000000000007</v>
      </c>
      <c r="F7524" s="535" t="s">
        <v>16</v>
      </c>
      <c r="G7524" s="536"/>
      <c r="H7524" s="535" t="s">
        <v>3220</v>
      </c>
      <c r="I7524" s="537" t="s">
        <v>3290</v>
      </c>
      <c r="J7524" s="538"/>
      <c r="K7524" s="531"/>
      <c r="L7524" s="535" t="s">
        <v>28</v>
      </c>
      <c r="M7524" s="535">
        <v>8166.6</v>
      </c>
      <c r="N7524" s="539">
        <v>0.41666666666666669</v>
      </c>
      <c r="O7524" s="897" t="s">
        <v>3225</v>
      </c>
      <c r="P7524" s="867" t="s">
        <v>3388</v>
      </c>
    </row>
    <row r="7525" spans="1:16" ht="19.5" thickBot="1" x14ac:dyDescent="0.3">
      <c r="A7525" s="1200"/>
      <c r="B7525" s="869" t="s">
        <v>3191</v>
      </c>
      <c r="C7525" s="870" t="s">
        <v>24</v>
      </c>
      <c r="D7525" s="871">
        <v>9.4860000000000007</v>
      </c>
      <c r="E7525" s="872">
        <v>9.6</v>
      </c>
      <c r="F7525" s="873" t="s">
        <v>16</v>
      </c>
      <c r="G7525" s="874"/>
      <c r="H7525" s="873" t="s">
        <v>3220</v>
      </c>
      <c r="I7525" s="875" t="s">
        <v>3290</v>
      </c>
      <c r="J7525" s="876"/>
      <c r="K7525" s="636"/>
      <c r="L7525" s="640" t="s">
        <v>28</v>
      </c>
      <c r="M7525" s="640">
        <v>9584.52</v>
      </c>
      <c r="N7525" s="644">
        <v>0.41666666666666669</v>
      </c>
      <c r="O7525" s="897" t="s">
        <v>3223</v>
      </c>
      <c r="P7525" s="867" t="s">
        <v>3387</v>
      </c>
    </row>
    <row r="7526" spans="1:16" ht="19.5" thickBot="1" x14ac:dyDescent="0.3">
      <c r="A7526" s="572">
        <f t="shared" si="232"/>
        <v>4594</v>
      </c>
      <c r="B7526" s="573" t="s">
        <v>3191</v>
      </c>
      <c r="C7526" s="574" t="s">
        <v>47</v>
      </c>
      <c r="D7526" s="575">
        <v>17.614999999999998</v>
      </c>
      <c r="E7526" s="576">
        <v>17.876999999999999</v>
      </c>
      <c r="F7526" s="577" t="s">
        <v>16</v>
      </c>
      <c r="G7526" s="578"/>
      <c r="H7526" s="577" t="s">
        <v>3220</v>
      </c>
      <c r="I7526" s="579" t="s">
        <v>3291</v>
      </c>
      <c r="J7526" s="580"/>
      <c r="K7526" s="573"/>
      <c r="L7526" s="577" t="s">
        <v>28</v>
      </c>
      <c r="M7526" s="577">
        <v>17858.259999999998</v>
      </c>
      <c r="N7526" s="581">
        <v>0.45833333333333331</v>
      </c>
      <c r="O7526" s="897" t="s">
        <v>3224</v>
      </c>
      <c r="P7526" s="867" t="s">
        <v>3379</v>
      </c>
    </row>
    <row r="7527" spans="1:16" ht="19.5" thickBot="1" x14ac:dyDescent="0.3">
      <c r="A7527" s="503">
        <f t="shared" si="232"/>
        <v>4595</v>
      </c>
      <c r="B7527" s="504" t="s">
        <v>3197</v>
      </c>
      <c r="C7527" s="505" t="s">
        <v>26</v>
      </c>
      <c r="D7527" s="506">
        <v>17.494</v>
      </c>
      <c r="E7527" s="507">
        <v>17.408999999999999</v>
      </c>
      <c r="F7527" s="508" t="s">
        <v>16</v>
      </c>
      <c r="G7527" s="509"/>
      <c r="H7527" s="508" t="s">
        <v>3226</v>
      </c>
      <c r="I7527" s="510" t="s">
        <v>3269</v>
      </c>
      <c r="J7527" s="511"/>
      <c r="K7527" s="504"/>
      <c r="L7527" s="508" t="s">
        <v>265</v>
      </c>
      <c r="M7527" s="508">
        <v>17667.159999999996</v>
      </c>
      <c r="N7527" s="512">
        <v>4.1666666666666664E-2</v>
      </c>
      <c r="O7527" s="897" t="s">
        <v>3227</v>
      </c>
      <c r="P7527" s="867" t="s">
        <v>3289</v>
      </c>
    </row>
    <row r="7528" spans="1:16" ht="19.5" thickBot="1" x14ac:dyDescent="0.3">
      <c r="A7528" s="513">
        <f t="shared" si="232"/>
        <v>4596</v>
      </c>
      <c r="B7528" s="514" t="s">
        <v>3197</v>
      </c>
      <c r="C7528" s="515" t="s">
        <v>26</v>
      </c>
      <c r="D7528" s="516">
        <v>15.375999999999999</v>
      </c>
      <c r="E7528" s="517">
        <v>15.375999999999999</v>
      </c>
      <c r="F7528" s="518" t="s">
        <v>30</v>
      </c>
      <c r="G7528" s="519"/>
      <c r="H7528" s="518" t="s">
        <v>3226</v>
      </c>
      <c r="I7528" s="520" t="s">
        <v>3226</v>
      </c>
      <c r="J7528" s="521"/>
      <c r="K7528" s="514"/>
      <c r="L7528" s="518" t="s">
        <v>265</v>
      </c>
      <c r="M7528" s="518">
        <v>15376.039999999999</v>
      </c>
      <c r="N7528" s="522">
        <v>4.1666666666666664E-2</v>
      </c>
      <c r="O7528" s="897" t="s">
        <v>3231</v>
      </c>
      <c r="P7528" s="867" t="s">
        <v>3272</v>
      </c>
    </row>
    <row r="7529" spans="1:16" x14ac:dyDescent="0.25">
      <c r="A7529" s="1107">
        <f t="shared" si="232"/>
        <v>4597</v>
      </c>
      <c r="B7529" s="531" t="s">
        <v>3197</v>
      </c>
      <c r="C7529" s="532" t="s">
        <v>15</v>
      </c>
      <c r="D7529" s="533">
        <v>8.5150000000000006</v>
      </c>
      <c r="E7529" s="534">
        <v>8.6809999999999992</v>
      </c>
      <c r="F7529" s="535" t="s">
        <v>16</v>
      </c>
      <c r="G7529" s="536"/>
      <c r="H7529" s="535" t="s">
        <v>3226</v>
      </c>
      <c r="I7529" s="537" t="s">
        <v>3290</v>
      </c>
      <c r="J7529" s="538"/>
      <c r="K7529" s="531"/>
      <c r="L7529" s="535" t="s">
        <v>28</v>
      </c>
      <c r="M7529" s="535">
        <v>8685.2199999999993</v>
      </c>
      <c r="N7529" s="539">
        <v>0.41666666666666669</v>
      </c>
      <c r="O7529" s="897" t="s">
        <v>3233</v>
      </c>
      <c r="P7529" s="867" t="s">
        <v>3329</v>
      </c>
    </row>
    <row r="7530" spans="1:16" x14ac:dyDescent="0.25">
      <c r="A7530" s="1109"/>
      <c r="B7530" s="563" t="s">
        <v>3197</v>
      </c>
      <c r="C7530" s="564" t="s">
        <v>24</v>
      </c>
      <c r="D7530" s="565">
        <v>4.7519999999999998</v>
      </c>
      <c r="E7530" s="566">
        <v>4.8789999999999996</v>
      </c>
      <c r="F7530" s="567" t="s">
        <v>16</v>
      </c>
      <c r="G7530" s="568"/>
      <c r="H7530" s="567" t="s">
        <v>3226</v>
      </c>
      <c r="I7530" s="569" t="s">
        <v>3290</v>
      </c>
      <c r="J7530" s="570"/>
      <c r="K7530" s="563"/>
      <c r="L7530" s="567" t="s">
        <v>28</v>
      </c>
      <c r="M7530" s="567">
        <v>4929.2800000000007</v>
      </c>
      <c r="N7530" s="571">
        <v>0.41666666666666669</v>
      </c>
      <c r="O7530" s="897" t="s">
        <v>3232</v>
      </c>
      <c r="P7530" s="867" t="s">
        <v>3328</v>
      </c>
    </row>
    <row r="7531" spans="1:16" ht="19.5" thickBot="1" x14ac:dyDescent="0.3">
      <c r="A7531" s="1108"/>
      <c r="B7531" s="636" t="s">
        <v>3197</v>
      </c>
      <c r="C7531" s="637" t="s">
        <v>20</v>
      </c>
      <c r="D7531" s="638">
        <v>4.2089999999999996</v>
      </c>
      <c r="E7531" s="639">
        <v>4.3630000000000004</v>
      </c>
      <c r="F7531" s="640" t="s">
        <v>16</v>
      </c>
      <c r="G7531" s="641"/>
      <c r="H7531" s="640" t="s">
        <v>3226</v>
      </c>
      <c r="I7531" s="642" t="s">
        <v>3290</v>
      </c>
      <c r="J7531" s="643"/>
      <c r="K7531" s="636"/>
      <c r="L7531" s="640" t="s">
        <v>28</v>
      </c>
      <c r="M7531" s="640">
        <v>4350.8700000000008</v>
      </c>
      <c r="N7531" s="644">
        <v>0.41666666666666669</v>
      </c>
      <c r="O7531" s="897" t="s">
        <v>3266</v>
      </c>
      <c r="P7531" s="867" t="s">
        <v>3330</v>
      </c>
    </row>
    <row r="7532" spans="1:16" x14ac:dyDescent="0.25">
      <c r="A7532" s="1110">
        <f t="shared" si="232"/>
        <v>4598</v>
      </c>
      <c r="B7532" s="479" t="s">
        <v>3197</v>
      </c>
      <c r="C7532" s="480" t="s">
        <v>47</v>
      </c>
      <c r="D7532" s="481">
        <v>11.901</v>
      </c>
      <c r="E7532" s="482">
        <v>11.984999999999999</v>
      </c>
      <c r="F7532" s="483" t="s">
        <v>16</v>
      </c>
      <c r="G7532" s="549"/>
      <c r="H7532" s="483" t="s">
        <v>3226</v>
      </c>
      <c r="I7532" s="484" t="s">
        <v>3280</v>
      </c>
      <c r="J7532" s="485"/>
      <c r="K7532" s="479"/>
      <c r="L7532" s="483" t="s">
        <v>28</v>
      </c>
      <c r="M7532" s="483">
        <v>12140.419999999998</v>
      </c>
      <c r="N7532" s="486">
        <v>0.45833333333333331</v>
      </c>
      <c r="O7532" s="897" t="s">
        <v>3234</v>
      </c>
      <c r="P7532" s="867" t="s">
        <v>3331</v>
      </c>
    </row>
    <row r="7533" spans="1:16" ht="19.5" thickBot="1" x14ac:dyDescent="0.3">
      <c r="A7533" s="1103"/>
      <c r="B7533" s="495" t="s">
        <v>3197</v>
      </c>
      <c r="C7533" s="496" t="s">
        <v>587</v>
      </c>
      <c r="D7533" s="497">
        <v>5.7149999999999999</v>
      </c>
      <c r="E7533" s="498">
        <v>5.65</v>
      </c>
      <c r="F7533" s="499" t="s">
        <v>16</v>
      </c>
      <c r="G7533" s="1060" t="s">
        <v>47</v>
      </c>
      <c r="H7533" s="499" t="s">
        <v>3226</v>
      </c>
      <c r="I7533" s="500" t="s">
        <v>3280</v>
      </c>
      <c r="J7533" s="501"/>
      <c r="K7533" s="495"/>
      <c r="L7533" s="499" t="s">
        <v>28</v>
      </c>
      <c r="M7533" s="499">
        <v>5715.4</v>
      </c>
      <c r="N7533" s="502">
        <v>0.45833333333333331</v>
      </c>
      <c r="O7533" s="897" t="s">
        <v>3235</v>
      </c>
      <c r="P7533" s="867" t="s">
        <v>3332</v>
      </c>
    </row>
    <row r="7534" spans="1:16" x14ac:dyDescent="0.25">
      <c r="A7534" s="1104">
        <f t="shared" si="232"/>
        <v>4599</v>
      </c>
      <c r="B7534" s="759" t="s">
        <v>3197</v>
      </c>
      <c r="C7534" s="532" t="s">
        <v>23</v>
      </c>
      <c r="D7534" s="533">
        <v>17.285</v>
      </c>
      <c r="E7534" s="534">
        <v>17.408000000000001</v>
      </c>
      <c r="F7534" s="535" t="s">
        <v>16</v>
      </c>
      <c r="G7534" s="1113" t="s">
        <v>1634</v>
      </c>
      <c r="H7534" s="535" t="s">
        <v>3226</v>
      </c>
      <c r="I7534" s="537" t="s">
        <v>3290</v>
      </c>
      <c r="J7534" s="538"/>
      <c r="K7534" s="531"/>
      <c r="L7534" s="535" t="s">
        <v>28</v>
      </c>
      <c r="M7534" s="535">
        <v>17436.09</v>
      </c>
      <c r="N7534" s="539">
        <v>0.5</v>
      </c>
      <c r="O7534" s="897" t="s">
        <v>3236</v>
      </c>
      <c r="P7534" s="867" t="s">
        <v>3322</v>
      </c>
    </row>
    <row r="7535" spans="1:16" ht="19.5" thickBot="1" x14ac:dyDescent="0.3">
      <c r="A7535" s="1106"/>
      <c r="B7535" s="785" t="s">
        <v>3226</v>
      </c>
      <c r="C7535" s="786" t="s">
        <v>23</v>
      </c>
      <c r="D7535" s="787">
        <v>0.1</v>
      </c>
      <c r="E7535" s="787">
        <v>0.104</v>
      </c>
      <c r="F7535" s="788" t="s">
        <v>16</v>
      </c>
      <c r="G7535" s="1114"/>
      <c r="H7535" s="788" t="s">
        <v>3226</v>
      </c>
      <c r="I7535" s="788" t="s">
        <v>3290</v>
      </c>
      <c r="J7535" s="790"/>
      <c r="K7535" s="877"/>
      <c r="L7535" s="788" t="s">
        <v>28</v>
      </c>
      <c r="M7535" s="788">
        <v>105</v>
      </c>
      <c r="N7535" s="784">
        <v>0.5</v>
      </c>
      <c r="O7535" s="897" t="s">
        <v>3267</v>
      </c>
      <c r="P7535" s="867" t="s">
        <v>3323</v>
      </c>
    </row>
    <row r="7536" spans="1:16" x14ac:dyDescent="0.25">
      <c r="A7536" s="1110">
        <f>MAX(A7307:A7534)+1</f>
        <v>4600</v>
      </c>
      <c r="B7536" s="523" t="s">
        <v>3197</v>
      </c>
      <c r="C7536" s="524" t="s">
        <v>15</v>
      </c>
      <c r="D7536" s="525">
        <v>5.8440000000000003</v>
      </c>
      <c r="E7536" s="526">
        <v>5.8440000000000003</v>
      </c>
      <c r="F7536" s="527" t="s">
        <v>30</v>
      </c>
      <c r="G7536" s="561"/>
      <c r="H7536" s="527" t="s">
        <v>3226</v>
      </c>
      <c r="I7536" s="528" t="s">
        <v>3269</v>
      </c>
      <c r="J7536" s="529"/>
      <c r="K7536" s="523"/>
      <c r="L7536" s="527" t="s">
        <v>28</v>
      </c>
      <c r="M7536" s="527">
        <v>5844.24</v>
      </c>
      <c r="N7536" s="530">
        <v>0.41666666666666669</v>
      </c>
      <c r="O7536" s="897" t="s">
        <v>3243</v>
      </c>
      <c r="P7536" s="867" t="s">
        <v>3302</v>
      </c>
    </row>
    <row r="7537" spans="1:16" x14ac:dyDescent="0.25">
      <c r="A7537" s="1102"/>
      <c r="B7537" s="523" t="s">
        <v>3197</v>
      </c>
      <c r="C7537" s="524" t="s">
        <v>24</v>
      </c>
      <c r="D7537" s="525">
        <v>7.673</v>
      </c>
      <c r="E7537" s="526">
        <v>7.673</v>
      </c>
      <c r="F7537" s="527" t="s">
        <v>30</v>
      </c>
      <c r="G7537" s="561"/>
      <c r="H7537" s="527" t="s">
        <v>3226</v>
      </c>
      <c r="I7537" s="528" t="s">
        <v>3269</v>
      </c>
      <c r="J7537" s="529"/>
      <c r="K7537" s="523"/>
      <c r="L7537" s="527" t="s">
        <v>28</v>
      </c>
      <c r="M7537" s="527">
        <v>7673.0800000000008</v>
      </c>
      <c r="N7537" s="530">
        <v>0.41666666666666669</v>
      </c>
      <c r="O7537" s="897" t="s">
        <v>3242</v>
      </c>
      <c r="P7537" s="867" t="s">
        <v>3301</v>
      </c>
    </row>
    <row r="7538" spans="1:16" ht="19.5" thickBot="1" x14ac:dyDescent="0.3">
      <c r="A7538" s="1103"/>
      <c r="B7538" s="645" t="s">
        <v>3197</v>
      </c>
      <c r="C7538" s="646" t="s">
        <v>20</v>
      </c>
      <c r="D7538" s="647">
        <v>1.425</v>
      </c>
      <c r="E7538" s="648">
        <v>1.425</v>
      </c>
      <c r="F7538" s="649" t="s">
        <v>30</v>
      </c>
      <c r="G7538" s="650"/>
      <c r="H7538" s="649" t="s">
        <v>3226</v>
      </c>
      <c r="I7538" s="651" t="s">
        <v>3269</v>
      </c>
      <c r="J7538" s="652"/>
      <c r="K7538" s="645"/>
      <c r="L7538" s="649" t="s">
        <v>28</v>
      </c>
      <c r="M7538" s="649">
        <v>1425.48</v>
      </c>
      <c r="N7538" s="653">
        <v>0.41666666666666669</v>
      </c>
      <c r="O7538" s="897" t="s">
        <v>3244</v>
      </c>
      <c r="P7538" s="867" t="s">
        <v>3300</v>
      </c>
    </row>
    <row r="7539" spans="1:16" x14ac:dyDescent="0.25">
      <c r="A7539" s="1107">
        <f>MAX(A7310:A7538)+1</f>
        <v>4601</v>
      </c>
      <c r="B7539" s="531" t="s">
        <v>3197</v>
      </c>
      <c r="C7539" s="532" t="s">
        <v>47</v>
      </c>
      <c r="D7539" s="533">
        <v>6.2809999999999997</v>
      </c>
      <c r="E7539" s="534">
        <v>6.2809999999999997</v>
      </c>
      <c r="F7539" s="535" t="s">
        <v>30</v>
      </c>
      <c r="G7539" s="536"/>
      <c r="H7539" s="535" t="s">
        <v>3226</v>
      </c>
      <c r="I7539" s="537" t="s">
        <v>3269</v>
      </c>
      <c r="J7539" s="538"/>
      <c r="K7539" s="531"/>
      <c r="L7539" s="535" t="s">
        <v>28</v>
      </c>
      <c r="M7539" s="535">
        <v>6281.8</v>
      </c>
      <c r="N7539" s="539">
        <v>0.45833333333333331</v>
      </c>
      <c r="O7539" s="897" t="s">
        <v>3245</v>
      </c>
      <c r="P7539" s="867" t="s">
        <v>3299</v>
      </c>
    </row>
    <row r="7540" spans="1:16" ht="19.5" thickBot="1" x14ac:dyDescent="0.3">
      <c r="A7540" s="1108"/>
      <c r="B7540" s="636" t="s">
        <v>3197</v>
      </c>
      <c r="C7540" s="637" t="s">
        <v>587</v>
      </c>
      <c r="D7540" s="638">
        <v>7.0739999999999998</v>
      </c>
      <c r="E7540" s="639">
        <v>7.0739999999999998</v>
      </c>
      <c r="F7540" s="640" t="s">
        <v>30</v>
      </c>
      <c r="G7540" s="641" t="s">
        <v>47</v>
      </c>
      <c r="H7540" s="640" t="s">
        <v>3226</v>
      </c>
      <c r="I7540" s="642" t="s">
        <v>3269</v>
      </c>
      <c r="J7540" s="643"/>
      <c r="K7540" s="636"/>
      <c r="L7540" s="640" t="s">
        <v>28</v>
      </c>
      <c r="M7540" s="640">
        <v>7074.4800000000005</v>
      </c>
      <c r="N7540" s="644">
        <v>0.45833333333333331</v>
      </c>
      <c r="O7540" s="897" t="s">
        <v>3246</v>
      </c>
      <c r="P7540" s="867" t="s">
        <v>3298</v>
      </c>
    </row>
    <row r="7541" spans="1:16" ht="19.5" thickBot="1" x14ac:dyDescent="0.3">
      <c r="A7541" s="513">
        <f>MAX(A7312:A7540)+1</f>
        <v>4602</v>
      </c>
      <c r="B7541" s="514" t="s">
        <v>3197</v>
      </c>
      <c r="C7541" s="515" t="s">
        <v>23</v>
      </c>
      <c r="D7541" s="516">
        <v>12.984</v>
      </c>
      <c r="E7541" s="517">
        <v>12.984</v>
      </c>
      <c r="F7541" s="518" t="s">
        <v>30</v>
      </c>
      <c r="G7541" s="519"/>
      <c r="H7541" s="518" t="s">
        <v>3226</v>
      </c>
      <c r="I7541" s="520" t="s">
        <v>3269</v>
      </c>
      <c r="J7541" s="521"/>
      <c r="K7541" s="514"/>
      <c r="L7541" s="518" t="s">
        <v>28</v>
      </c>
      <c r="M7541" s="518">
        <v>12984.160000000002</v>
      </c>
      <c r="N7541" s="522">
        <v>0.5</v>
      </c>
      <c r="O7541" s="897" t="s">
        <v>3247</v>
      </c>
      <c r="P7541" s="867" t="s">
        <v>3303</v>
      </c>
    </row>
    <row r="7542" spans="1:16" ht="19.5" thickBot="1" x14ac:dyDescent="0.3">
      <c r="A7542" s="503">
        <f>MAX(A7313:A7541)+1</f>
        <v>4603</v>
      </c>
      <c r="B7542" s="504" t="s">
        <v>3197</v>
      </c>
      <c r="C7542" s="505" t="s">
        <v>587</v>
      </c>
      <c r="D7542" s="506">
        <v>12.372</v>
      </c>
      <c r="E7542" s="507">
        <v>12.356999999999999</v>
      </c>
      <c r="F7542" s="508" t="s">
        <v>30</v>
      </c>
      <c r="G7542" s="509" t="s">
        <v>23</v>
      </c>
      <c r="H7542" s="508" t="s">
        <v>3226</v>
      </c>
      <c r="I7542" s="510" t="s">
        <v>3280</v>
      </c>
      <c r="J7542" s="511"/>
      <c r="K7542" s="504"/>
      <c r="L7542" s="508" t="s">
        <v>28</v>
      </c>
      <c r="M7542" s="508">
        <v>12372.38</v>
      </c>
      <c r="N7542" s="512">
        <v>0.54166666666666663</v>
      </c>
      <c r="O7542" s="897" t="s">
        <v>3249</v>
      </c>
      <c r="P7542" s="867" t="s">
        <v>3333</v>
      </c>
    </row>
    <row r="7543" spans="1:16" ht="19.5" thickBot="1" x14ac:dyDescent="0.3">
      <c r="A7543" s="513">
        <f>MAX(A7314:A7542)+1</f>
        <v>4604</v>
      </c>
      <c r="B7543" s="514" t="s">
        <v>3197</v>
      </c>
      <c r="C7543" s="515" t="s">
        <v>26</v>
      </c>
      <c r="D7543" s="516">
        <v>17.600000000000001</v>
      </c>
      <c r="E7543" s="517">
        <v>17.62</v>
      </c>
      <c r="F7543" s="518" t="s">
        <v>16</v>
      </c>
      <c r="G7543" s="519"/>
      <c r="H7543" s="518" t="s">
        <v>3228</v>
      </c>
      <c r="I7543" s="520" t="s">
        <v>3269</v>
      </c>
      <c r="J7543" s="521"/>
      <c r="K7543" s="514"/>
      <c r="L7543" s="518" t="s">
        <v>265</v>
      </c>
      <c r="M7543" s="518">
        <v>17768.859999999997</v>
      </c>
      <c r="N7543" s="522">
        <v>4.1666666666666664E-2</v>
      </c>
      <c r="O7543" s="897" t="s">
        <v>3229</v>
      </c>
      <c r="P7543" s="867" t="s">
        <v>3304</v>
      </c>
    </row>
    <row r="7544" spans="1:16" ht="19.5" thickBot="1" x14ac:dyDescent="0.3">
      <c r="A7544" s="503">
        <f>MAX(A7315:A7543)+1</f>
        <v>4605</v>
      </c>
      <c r="B7544" s="504" t="s">
        <v>3197</v>
      </c>
      <c r="C7544" s="505" t="s">
        <v>26</v>
      </c>
      <c r="D7544" s="506">
        <v>17.509</v>
      </c>
      <c r="E7544" s="507">
        <v>17.745000000000001</v>
      </c>
      <c r="F7544" s="508" t="s">
        <v>16</v>
      </c>
      <c r="G7544" s="509"/>
      <c r="H7544" s="508" t="s">
        <v>3228</v>
      </c>
      <c r="I7544" s="510" t="s">
        <v>3280</v>
      </c>
      <c r="J7544" s="511"/>
      <c r="K7544" s="504"/>
      <c r="L7544" s="508" t="s">
        <v>265</v>
      </c>
      <c r="M7544" s="508">
        <v>17738.560000000001</v>
      </c>
      <c r="N7544" s="512">
        <v>8.3333333333333329E-2</v>
      </c>
      <c r="O7544" s="897" t="s">
        <v>3230</v>
      </c>
      <c r="P7544" s="867" t="s">
        <v>3325</v>
      </c>
    </row>
    <row r="7545" spans="1:16" x14ac:dyDescent="0.25">
      <c r="A7545" s="1119">
        <f>MAX(A7316:A7544)+1</f>
        <v>4606</v>
      </c>
      <c r="B7545" s="750" t="s">
        <v>3197</v>
      </c>
      <c r="C7545" s="751" t="s">
        <v>25</v>
      </c>
      <c r="D7545" s="752">
        <v>12.406000000000001</v>
      </c>
      <c r="E7545" s="753" t="s">
        <v>1496</v>
      </c>
      <c r="F7545" s="754" t="s">
        <v>16</v>
      </c>
      <c r="G7545" s="1111" t="s">
        <v>3265</v>
      </c>
      <c r="H7545" s="754" t="s">
        <v>3228</v>
      </c>
      <c r="I7545" s="932" t="s">
        <v>1496</v>
      </c>
      <c r="J7545" s="755"/>
      <c r="K7545" s="750"/>
      <c r="L7545" s="754" t="s">
        <v>265</v>
      </c>
      <c r="M7545" s="754">
        <v>12486.28</v>
      </c>
      <c r="N7545" s="756">
        <v>0.41666666666666669</v>
      </c>
      <c r="O7545" s="920" t="s">
        <v>3240</v>
      </c>
      <c r="P7545" s="921" t="s">
        <v>1024</v>
      </c>
    </row>
    <row r="7546" spans="1:16" x14ac:dyDescent="0.25">
      <c r="A7546" s="1120"/>
      <c r="B7546" s="911" t="s">
        <v>3197</v>
      </c>
      <c r="C7546" s="912" t="s">
        <v>2771</v>
      </c>
      <c r="D7546" s="913">
        <v>4.3659999999999997</v>
      </c>
      <c r="E7546" s="914" t="s">
        <v>1496</v>
      </c>
      <c r="F7546" s="915" t="s">
        <v>16</v>
      </c>
      <c r="G7546" s="1112"/>
      <c r="H7546" s="915" t="s">
        <v>3228</v>
      </c>
      <c r="I7546" s="917" t="s">
        <v>1496</v>
      </c>
      <c r="J7546" s="918"/>
      <c r="K7546" s="911"/>
      <c r="L7546" s="915" t="s">
        <v>28</v>
      </c>
      <c r="M7546" s="915">
        <v>4495.2</v>
      </c>
      <c r="N7546" s="919">
        <v>0.41666666666666669</v>
      </c>
      <c r="O7546" s="920" t="s">
        <v>3237</v>
      </c>
      <c r="P7546" s="921" t="s">
        <v>1024</v>
      </c>
    </row>
    <row r="7547" spans="1:16" ht="19.5" thickBot="1" x14ac:dyDescent="0.3">
      <c r="A7547" s="1121"/>
      <c r="B7547" s="933" t="s">
        <v>3197</v>
      </c>
      <c r="C7547" s="934" t="s">
        <v>24</v>
      </c>
      <c r="D7547" s="935">
        <v>1</v>
      </c>
      <c r="E7547" s="936" t="s">
        <v>1496</v>
      </c>
      <c r="F7547" s="937" t="s">
        <v>16</v>
      </c>
      <c r="G7547" s="938"/>
      <c r="H7547" s="937" t="s">
        <v>3228</v>
      </c>
      <c r="I7547" s="939" t="s">
        <v>1496</v>
      </c>
      <c r="J7547" s="940"/>
      <c r="K7547" s="933"/>
      <c r="L7547" s="937" t="s">
        <v>28</v>
      </c>
      <c r="M7547" s="937">
        <v>1033.2</v>
      </c>
      <c r="N7547" s="941">
        <v>0.41666666666666669</v>
      </c>
      <c r="O7547" s="920" t="s">
        <v>3238</v>
      </c>
      <c r="P7547" s="921" t="s">
        <v>1024</v>
      </c>
    </row>
    <row r="7548" spans="1:16" ht="19.5" thickBot="1" x14ac:dyDescent="0.3">
      <c r="A7548" s="503">
        <f>MAX(A7319:A7547)+1</f>
        <v>4607</v>
      </c>
      <c r="B7548" s="552" t="s">
        <v>3197</v>
      </c>
      <c r="C7548" s="553" t="s">
        <v>23</v>
      </c>
      <c r="D7548" s="554">
        <v>17.629000000000001</v>
      </c>
      <c r="E7548" s="555">
        <v>17.82</v>
      </c>
      <c r="F7548" s="556" t="s">
        <v>16</v>
      </c>
      <c r="G7548" s="1059"/>
      <c r="H7548" s="556" t="s">
        <v>3228</v>
      </c>
      <c r="I7548" s="558" t="s">
        <v>3280</v>
      </c>
      <c r="J7548" s="559"/>
      <c r="K7548" s="552"/>
      <c r="L7548" s="556" t="s">
        <v>28</v>
      </c>
      <c r="M7548" s="556">
        <v>17765.47</v>
      </c>
      <c r="N7548" s="560">
        <v>0.45833333333333331</v>
      </c>
      <c r="O7548" s="897" t="s">
        <v>3239</v>
      </c>
      <c r="P7548" s="867" t="s">
        <v>3324</v>
      </c>
    </row>
    <row r="7549" spans="1:16" x14ac:dyDescent="0.25">
      <c r="A7549" s="1115">
        <f>MAX(A7320:A7548)+1</f>
        <v>4608</v>
      </c>
      <c r="B7549" s="610" t="s">
        <v>3197</v>
      </c>
      <c r="C7549" s="480" t="s">
        <v>47</v>
      </c>
      <c r="D7549" s="481">
        <v>17.013000000000002</v>
      </c>
      <c r="E7549" s="482">
        <v>16.971</v>
      </c>
      <c r="F7549" s="483" t="s">
        <v>16</v>
      </c>
      <c r="G7549" s="1117" t="s">
        <v>1634</v>
      </c>
      <c r="H7549" s="483" t="s">
        <v>3228</v>
      </c>
      <c r="I7549" s="484" t="s">
        <v>3291</v>
      </c>
      <c r="J7549" s="485"/>
      <c r="K7549" s="479"/>
      <c r="L7549" s="483" t="s">
        <v>28</v>
      </c>
      <c r="M7549" s="483">
        <v>17182.5</v>
      </c>
      <c r="N7549" s="486">
        <v>0.5</v>
      </c>
      <c r="O7549" s="897" t="s">
        <v>3241</v>
      </c>
      <c r="P7549" s="867" t="s">
        <v>3376</v>
      </c>
    </row>
    <row r="7550" spans="1:16" ht="19.5" thickBot="1" x14ac:dyDescent="0.3">
      <c r="A7550" s="1116"/>
      <c r="B7550" s="805" t="s">
        <v>3226</v>
      </c>
      <c r="C7550" s="806" t="s">
        <v>47</v>
      </c>
      <c r="D7550" s="807">
        <v>0.35</v>
      </c>
      <c r="E7550" s="807">
        <v>0.36099999999999999</v>
      </c>
      <c r="F7550" s="808" t="s">
        <v>16</v>
      </c>
      <c r="G7550" s="1118"/>
      <c r="H7550" s="808" t="s">
        <v>3228</v>
      </c>
      <c r="I7550" s="808" t="s">
        <v>3291</v>
      </c>
      <c r="J7550" s="810"/>
      <c r="K7550" s="887"/>
      <c r="L7550" s="808" t="s">
        <v>28</v>
      </c>
      <c r="M7550" s="808">
        <v>360</v>
      </c>
      <c r="N7550" s="778">
        <v>0.5</v>
      </c>
      <c r="O7550" s="897" t="s">
        <v>3268</v>
      </c>
      <c r="P7550" s="867" t="s">
        <v>3377</v>
      </c>
    </row>
    <row r="7551" spans="1:16" x14ac:dyDescent="0.25">
      <c r="A7551" s="1107">
        <f>MAX(A7321:A7549)+1</f>
        <v>4609</v>
      </c>
      <c r="B7551" s="563" t="s">
        <v>3197</v>
      </c>
      <c r="C7551" s="564" t="s">
        <v>913</v>
      </c>
      <c r="D7551" s="565">
        <v>9.9870000000000001</v>
      </c>
      <c r="E7551" s="566">
        <v>9.9879999999999995</v>
      </c>
      <c r="F7551" s="567" t="s">
        <v>30</v>
      </c>
      <c r="G7551" s="568"/>
      <c r="H7551" s="567" t="s">
        <v>3228</v>
      </c>
      <c r="I7551" s="569" t="s">
        <v>3280</v>
      </c>
      <c r="J7551" s="570"/>
      <c r="K7551" s="563"/>
      <c r="L7551" s="567" t="s">
        <v>266</v>
      </c>
      <c r="M7551" s="567">
        <v>9987.9599999999991</v>
      </c>
      <c r="N7551" s="571">
        <v>0.41666666666666669</v>
      </c>
      <c r="O7551" s="897" t="s">
        <v>3250</v>
      </c>
      <c r="P7551" s="867" t="s">
        <v>3334</v>
      </c>
    </row>
    <row r="7552" spans="1:16" ht="19.5" thickBot="1" x14ac:dyDescent="0.3">
      <c r="A7552" s="1108"/>
      <c r="B7552" s="636" t="s">
        <v>3197</v>
      </c>
      <c r="C7552" s="637" t="s">
        <v>23</v>
      </c>
      <c r="D7552" s="638">
        <v>4.8490000000000002</v>
      </c>
      <c r="E7552" s="639">
        <v>4.8490000000000002</v>
      </c>
      <c r="F7552" s="640" t="s">
        <v>30</v>
      </c>
      <c r="G7552" s="641"/>
      <c r="H7552" s="640" t="s">
        <v>3228</v>
      </c>
      <c r="I7552" s="642" t="s">
        <v>3280</v>
      </c>
      <c r="J7552" s="643"/>
      <c r="K7552" s="636"/>
      <c r="L7552" s="640" t="s">
        <v>28</v>
      </c>
      <c r="M7552" s="640">
        <v>4849.8</v>
      </c>
      <c r="N7552" s="644">
        <v>0.41666666666666669</v>
      </c>
      <c r="O7552" s="897" t="s">
        <v>3248</v>
      </c>
      <c r="P7552" s="867" t="s">
        <v>3335</v>
      </c>
    </row>
    <row r="7553" spans="1:18" x14ac:dyDescent="0.25">
      <c r="A7553" s="1110">
        <f>MAX(A7323:A7552)+1</f>
        <v>4610</v>
      </c>
      <c r="B7553" s="479" t="s">
        <v>3226</v>
      </c>
      <c r="C7553" s="480" t="s">
        <v>55</v>
      </c>
      <c r="D7553" s="481">
        <v>2.851</v>
      </c>
      <c r="E7553" s="482">
        <v>2.8730000000000002</v>
      </c>
      <c r="F7553" s="483" t="s">
        <v>16</v>
      </c>
      <c r="G7553" s="1061" t="s">
        <v>844</v>
      </c>
      <c r="H7553" s="483" t="s">
        <v>3269</v>
      </c>
      <c r="I7553" s="484" t="s">
        <v>3290</v>
      </c>
      <c r="J7553" s="485"/>
      <c r="K7553" s="479"/>
      <c r="L7553" s="483" t="s">
        <v>266</v>
      </c>
      <c r="M7553" s="483">
        <v>2851.34</v>
      </c>
      <c r="N7553" s="486">
        <v>0.5</v>
      </c>
      <c r="O7553" s="897" t="s">
        <v>3270</v>
      </c>
      <c r="P7553" s="867" t="s">
        <v>3337</v>
      </c>
    </row>
    <row r="7554" spans="1:18" ht="19.5" thickBot="1" x14ac:dyDescent="0.3">
      <c r="A7554" s="1103"/>
      <c r="B7554" s="645" t="s">
        <v>3226</v>
      </c>
      <c r="C7554" s="646" t="s">
        <v>55</v>
      </c>
      <c r="D7554" s="647">
        <v>11.340999999999999</v>
      </c>
      <c r="E7554" s="648">
        <v>11.366</v>
      </c>
      <c r="F7554" s="649" t="s">
        <v>16</v>
      </c>
      <c r="G7554" s="1062" t="s">
        <v>845</v>
      </c>
      <c r="H7554" s="649" t="s">
        <v>3269</v>
      </c>
      <c r="I7554" s="651" t="s">
        <v>3290</v>
      </c>
      <c r="J7554" s="652"/>
      <c r="K7554" s="645"/>
      <c r="L7554" s="649" t="s">
        <v>266</v>
      </c>
      <c r="M7554" s="649">
        <v>11341.109999999999</v>
      </c>
      <c r="N7554" s="653">
        <v>0.5</v>
      </c>
      <c r="O7554" s="897" t="s">
        <v>3271</v>
      </c>
      <c r="P7554" s="867" t="s">
        <v>3336</v>
      </c>
    </row>
    <row r="7555" spans="1:18" ht="19.5" thickBot="1" x14ac:dyDescent="0.3">
      <c r="A7555" s="503">
        <f>MAX(A7325:A7554)+1</f>
        <v>4611</v>
      </c>
      <c r="B7555" s="504" t="s">
        <v>3228</v>
      </c>
      <c r="C7555" s="505" t="s">
        <v>32</v>
      </c>
      <c r="D7555" s="506">
        <v>17.963000000000001</v>
      </c>
      <c r="E7555" s="507">
        <v>18.105</v>
      </c>
      <c r="F7555" s="508" t="s">
        <v>16</v>
      </c>
      <c r="G7555" s="509"/>
      <c r="H7555" s="508" t="s">
        <v>3280</v>
      </c>
      <c r="I7555" s="510" t="s">
        <v>3280</v>
      </c>
      <c r="J7555" s="511"/>
      <c r="K7555" s="504"/>
      <c r="L7555" s="508" t="s">
        <v>266</v>
      </c>
      <c r="M7555" s="508">
        <v>18087.219999999998</v>
      </c>
      <c r="N7555" s="512">
        <v>0.41666666666666669</v>
      </c>
      <c r="O7555" s="897" t="s">
        <v>3281</v>
      </c>
      <c r="P7555" s="867" t="s">
        <v>3326</v>
      </c>
    </row>
    <row r="7556" spans="1:18" ht="19.5" thickBot="1" x14ac:dyDescent="0.3">
      <c r="A7556" s="1064">
        <f>MAX(A7326:A7555)+1</f>
        <v>4612</v>
      </c>
      <c r="B7556" s="573" t="s">
        <v>3228</v>
      </c>
      <c r="C7556" s="574" t="s">
        <v>32</v>
      </c>
      <c r="D7556" s="575">
        <v>18.021000000000001</v>
      </c>
      <c r="E7556" s="576">
        <v>18.085000000000001</v>
      </c>
      <c r="F7556" s="577" t="s">
        <v>16</v>
      </c>
      <c r="G7556" s="1063"/>
      <c r="H7556" s="577" t="s">
        <v>3280</v>
      </c>
      <c r="I7556" s="579" t="s">
        <v>3280</v>
      </c>
      <c r="J7556" s="580"/>
      <c r="K7556" s="573"/>
      <c r="L7556" s="577" t="s">
        <v>266</v>
      </c>
      <c r="M7556" s="577">
        <v>18094.03</v>
      </c>
      <c r="N7556" s="581">
        <v>0.45833333333333331</v>
      </c>
      <c r="O7556" s="897" t="s">
        <v>3282</v>
      </c>
      <c r="P7556" s="867" t="s">
        <v>3327</v>
      </c>
    </row>
    <row r="7557" spans="1:18" ht="19.5" thickBot="1" x14ac:dyDescent="0.3">
      <c r="A7557" s="503">
        <f t="shared" ref="A7557:A7561" si="233">MAX(A7327:A7556)+1</f>
        <v>4613</v>
      </c>
      <c r="B7557" s="504" t="s">
        <v>3269</v>
      </c>
      <c r="C7557" s="505" t="s">
        <v>26</v>
      </c>
      <c r="D7557" s="506">
        <v>17.603000000000002</v>
      </c>
      <c r="E7557" s="507">
        <v>17.562000000000001</v>
      </c>
      <c r="F7557" s="508" t="s">
        <v>16</v>
      </c>
      <c r="G7557" s="509"/>
      <c r="H7557" s="508" t="s">
        <v>3290</v>
      </c>
      <c r="I7557" s="510" t="s">
        <v>3291</v>
      </c>
      <c r="J7557" s="511"/>
      <c r="K7557" s="504"/>
      <c r="L7557" s="508" t="s">
        <v>265</v>
      </c>
      <c r="M7557" s="508">
        <v>17790.560000000001</v>
      </c>
      <c r="N7557" s="512">
        <v>4.1666666666666664E-2</v>
      </c>
      <c r="O7557" s="897" t="s">
        <v>3293</v>
      </c>
      <c r="P7557" s="867" t="s">
        <v>3380</v>
      </c>
    </row>
    <row r="7558" spans="1:18" ht="19.5" thickBot="1" x14ac:dyDescent="0.3">
      <c r="A7558" s="513">
        <f t="shared" si="233"/>
        <v>4614</v>
      </c>
      <c r="B7558" s="514" t="s">
        <v>3269</v>
      </c>
      <c r="C7558" s="515" t="s">
        <v>26</v>
      </c>
      <c r="D7558" s="516">
        <v>14.388</v>
      </c>
      <c r="E7558" s="517">
        <v>14.388</v>
      </c>
      <c r="F7558" s="518" t="s">
        <v>30</v>
      </c>
      <c r="G7558" s="519"/>
      <c r="H7558" s="518" t="s">
        <v>3290</v>
      </c>
      <c r="I7558" s="520" t="s">
        <v>3290</v>
      </c>
      <c r="J7558" s="521"/>
      <c r="K7558" s="514"/>
      <c r="L7558" s="518" t="s">
        <v>265</v>
      </c>
      <c r="M7558" s="518">
        <v>14388.84</v>
      </c>
      <c r="N7558" s="522">
        <v>4.1666666666666664E-2</v>
      </c>
      <c r="O7558" s="897" t="s">
        <v>3292</v>
      </c>
      <c r="P7558" s="867" t="s">
        <v>3375</v>
      </c>
    </row>
    <row r="7559" spans="1:18" ht="19.5" thickBot="1" x14ac:dyDescent="0.3">
      <c r="A7559" s="503">
        <f t="shared" si="233"/>
        <v>4615</v>
      </c>
      <c r="B7559" s="504" t="s">
        <v>3269</v>
      </c>
      <c r="C7559" s="505" t="s">
        <v>26</v>
      </c>
      <c r="D7559" s="506">
        <v>17.617000000000001</v>
      </c>
      <c r="E7559" s="507">
        <v>17.684999999999999</v>
      </c>
      <c r="F7559" s="508" t="s">
        <v>16</v>
      </c>
      <c r="G7559" s="509"/>
      <c r="H7559" s="508" t="s">
        <v>3291</v>
      </c>
      <c r="I7559" s="510" t="s">
        <v>3291</v>
      </c>
      <c r="J7559" s="511"/>
      <c r="K7559" s="504"/>
      <c r="L7559" s="508" t="s">
        <v>265</v>
      </c>
      <c r="M7559" s="508">
        <v>17766.98</v>
      </c>
      <c r="N7559" s="512">
        <v>4.1666666666666664E-2</v>
      </c>
      <c r="O7559" s="897" t="s">
        <v>3294</v>
      </c>
      <c r="P7559" s="867" t="s">
        <v>3378</v>
      </c>
    </row>
    <row r="7560" spans="1:18" ht="19.5" thickBot="1" x14ac:dyDescent="0.3">
      <c r="A7560" s="513">
        <f t="shared" si="233"/>
        <v>4616</v>
      </c>
      <c r="B7560" s="573" t="s">
        <v>3269</v>
      </c>
      <c r="C7560" s="574" t="s">
        <v>26</v>
      </c>
      <c r="D7560" s="575">
        <v>17.597999999999999</v>
      </c>
      <c r="E7560" s="576">
        <v>17.504000000000001</v>
      </c>
      <c r="F7560" s="577" t="s">
        <v>16</v>
      </c>
      <c r="G7560" s="1070"/>
      <c r="H7560" s="577" t="s">
        <v>3291</v>
      </c>
      <c r="I7560" s="579" t="s">
        <v>3291</v>
      </c>
      <c r="J7560" s="580"/>
      <c r="K7560" s="573"/>
      <c r="L7560" s="577" t="s">
        <v>265</v>
      </c>
      <c r="M7560" s="577">
        <v>17806.7</v>
      </c>
      <c r="N7560" s="581">
        <v>8.3333333333333329E-2</v>
      </c>
      <c r="O7560" s="897" t="s">
        <v>3295</v>
      </c>
      <c r="P7560" s="867" t="s">
        <v>3384</v>
      </c>
    </row>
    <row r="7561" spans="1:18" x14ac:dyDescent="0.25">
      <c r="A7561" s="1104">
        <f t="shared" si="233"/>
        <v>4617</v>
      </c>
      <c r="B7561" s="759" t="s">
        <v>3269</v>
      </c>
      <c r="C7561" s="532" t="s">
        <v>47</v>
      </c>
      <c r="D7561" s="533">
        <v>17.611000000000001</v>
      </c>
      <c r="E7561" s="534">
        <v>17.622</v>
      </c>
      <c r="F7561" s="535" t="s">
        <v>16</v>
      </c>
      <c r="G7561" s="1074"/>
      <c r="H7561" s="535" t="s">
        <v>3291</v>
      </c>
      <c r="I7561" s="537" t="s">
        <v>3374</v>
      </c>
      <c r="J7561" s="538"/>
      <c r="K7561" s="531"/>
      <c r="L7561" s="535" t="s">
        <v>28</v>
      </c>
      <c r="M7561" s="535">
        <v>17826.310000000001</v>
      </c>
      <c r="N7561" s="539">
        <v>0.41666666666666669</v>
      </c>
      <c r="O7561" s="897" t="s">
        <v>3296</v>
      </c>
      <c r="P7561" s="867" t="s">
        <v>3385</v>
      </c>
    </row>
    <row r="7562" spans="1:18" ht="19.5" thickBot="1" x14ac:dyDescent="0.3">
      <c r="A7562" s="1106"/>
      <c r="B7562" s="785" t="s">
        <v>3290</v>
      </c>
      <c r="C7562" s="786" t="s">
        <v>47</v>
      </c>
      <c r="D7562" s="787">
        <v>0.25</v>
      </c>
      <c r="E7562" s="787">
        <v>0.26500000000000001</v>
      </c>
      <c r="F7562" s="788" t="s">
        <v>16</v>
      </c>
      <c r="G7562" s="789" t="s">
        <v>76</v>
      </c>
      <c r="H7562" s="788" t="s">
        <v>3291</v>
      </c>
      <c r="I7562" s="788" t="s">
        <v>3374</v>
      </c>
      <c r="J7562" s="790"/>
      <c r="K7562" s="877"/>
      <c r="L7562" s="788" t="s">
        <v>28</v>
      </c>
      <c r="M7562" s="788">
        <v>255</v>
      </c>
      <c r="N7562" s="784">
        <v>0.41666666666666669</v>
      </c>
      <c r="O7562" s="897" t="s">
        <v>3366</v>
      </c>
      <c r="P7562" s="867" t="s">
        <v>3386</v>
      </c>
    </row>
    <row r="7563" spans="1:18" ht="19.5" thickBot="1" x14ac:dyDescent="0.3">
      <c r="A7563" s="1066">
        <f>MAX(A7332:A7561)+1</f>
        <v>4618</v>
      </c>
      <c r="B7563" s="495" t="s">
        <v>3269</v>
      </c>
      <c r="C7563" s="496" t="s">
        <v>23</v>
      </c>
      <c r="D7563" s="497">
        <v>17.609000000000002</v>
      </c>
      <c r="E7563" s="498">
        <v>17.713999999999999</v>
      </c>
      <c r="F7563" s="499" t="s">
        <v>16</v>
      </c>
      <c r="G7563" s="1072"/>
      <c r="H7563" s="499" t="s">
        <v>3291</v>
      </c>
      <c r="I7563" s="500" t="s">
        <v>3374</v>
      </c>
      <c r="J7563" s="501"/>
      <c r="K7563" s="495"/>
      <c r="L7563" s="499" t="s">
        <v>28</v>
      </c>
      <c r="M7563" s="499">
        <v>17746.12</v>
      </c>
      <c r="N7563" s="502">
        <v>0.45833333333333331</v>
      </c>
      <c r="O7563" s="897" t="s">
        <v>3297</v>
      </c>
      <c r="P7563" s="867" t="s">
        <v>3373</v>
      </c>
    </row>
    <row r="7564" spans="1:18" x14ac:dyDescent="0.25">
      <c r="A7564" s="1107">
        <f>MAX(A7333:A7563)+1</f>
        <v>4619</v>
      </c>
      <c r="B7564" s="531" t="s">
        <v>3280</v>
      </c>
      <c r="C7564" s="532" t="s">
        <v>981</v>
      </c>
      <c r="D7564" s="533">
        <v>4.1769999999999996</v>
      </c>
      <c r="E7564" s="534">
        <v>4.1500000000000004</v>
      </c>
      <c r="F7564" s="535" t="s">
        <v>16</v>
      </c>
      <c r="G7564" s="1067"/>
      <c r="H7564" s="535" t="s">
        <v>3291</v>
      </c>
      <c r="I7564" s="537" t="s">
        <v>3291</v>
      </c>
      <c r="J7564" s="538"/>
      <c r="K7564" s="531"/>
      <c r="L7564" s="535" t="s">
        <v>266</v>
      </c>
      <c r="M7564" s="535">
        <v>4177.38</v>
      </c>
      <c r="N7564" s="539">
        <v>0.5</v>
      </c>
      <c r="O7564" s="897" t="s">
        <v>3315</v>
      </c>
      <c r="P7564" s="867" t="s">
        <v>3367</v>
      </c>
    </row>
    <row r="7565" spans="1:18" x14ac:dyDescent="0.25">
      <c r="A7565" s="1109"/>
      <c r="B7565" s="563" t="s">
        <v>3280</v>
      </c>
      <c r="C7565" s="564" t="s">
        <v>1382</v>
      </c>
      <c r="D7565" s="565">
        <v>7.7270000000000003</v>
      </c>
      <c r="E7565" s="566">
        <v>7.7779999999999996</v>
      </c>
      <c r="F7565" s="567" t="s">
        <v>16</v>
      </c>
      <c r="G7565" s="568"/>
      <c r="H7565" s="567" t="s">
        <v>3291</v>
      </c>
      <c r="I7565" s="569" t="s">
        <v>3291</v>
      </c>
      <c r="J7565" s="570"/>
      <c r="K7565" s="563"/>
      <c r="L7565" s="567" t="s">
        <v>266</v>
      </c>
      <c r="M7565" s="567">
        <v>7727.94</v>
      </c>
      <c r="N7565" s="571">
        <v>0.5</v>
      </c>
      <c r="O7565" s="897" t="s">
        <v>3317</v>
      </c>
      <c r="P7565" s="867" t="s">
        <v>3368</v>
      </c>
    </row>
    <row r="7566" spans="1:18" ht="19.5" thickBot="1" x14ac:dyDescent="0.3">
      <c r="A7566" s="1108"/>
      <c r="B7566" s="636" t="s">
        <v>3280</v>
      </c>
      <c r="C7566" s="637" t="s">
        <v>32</v>
      </c>
      <c r="D7566" s="638">
        <v>5.42</v>
      </c>
      <c r="E7566" s="639">
        <v>5.4269999999999996</v>
      </c>
      <c r="F7566" s="640" t="s">
        <v>16</v>
      </c>
      <c r="G7566" s="1065" t="s">
        <v>1702</v>
      </c>
      <c r="H7566" s="640" t="s">
        <v>3291</v>
      </c>
      <c r="I7566" s="642" t="s">
        <v>3291</v>
      </c>
      <c r="J7566" s="643"/>
      <c r="K7566" s="636"/>
      <c r="L7566" s="640" t="s">
        <v>266</v>
      </c>
      <c r="M7566" s="640">
        <v>5420.85</v>
      </c>
      <c r="N7566" s="644">
        <v>0.5</v>
      </c>
      <c r="O7566" s="897" t="s">
        <v>3316</v>
      </c>
      <c r="P7566" s="867" t="s">
        <v>3369</v>
      </c>
    </row>
    <row r="7567" spans="1:18" ht="19.5" thickBot="1" x14ac:dyDescent="0.3">
      <c r="A7567" s="513">
        <f>MAX(A7336:A7566)+1</f>
        <v>4620</v>
      </c>
      <c r="B7567" s="514" t="s">
        <v>3280</v>
      </c>
      <c r="C7567" s="515" t="s">
        <v>3305</v>
      </c>
      <c r="D7567" s="516">
        <v>3.9420000000000002</v>
      </c>
      <c r="E7567" s="517">
        <v>3.976</v>
      </c>
      <c r="F7567" s="518" t="s">
        <v>16</v>
      </c>
      <c r="G7567" s="519"/>
      <c r="H7567" s="518" t="s">
        <v>3291</v>
      </c>
      <c r="I7567" s="520" t="s">
        <v>3338</v>
      </c>
      <c r="J7567" s="521"/>
      <c r="K7567" s="514"/>
      <c r="L7567" s="518" t="s">
        <v>266</v>
      </c>
      <c r="M7567" s="518">
        <v>3942.1199999999994</v>
      </c>
      <c r="N7567" s="522">
        <v>0.54166666666666663</v>
      </c>
      <c r="O7567" s="897" t="s">
        <v>3307</v>
      </c>
      <c r="P7567" s="867" t="s">
        <v>3401</v>
      </c>
      <c r="Q7567" s="847">
        <v>3976</v>
      </c>
      <c r="R7567" s="833" t="s">
        <v>3008</v>
      </c>
    </row>
    <row r="7568" spans="1:18" x14ac:dyDescent="0.25">
      <c r="A7568" s="1107">
        <f>MAX(A7337:A7567)+1</f>
        <v>4621</v>
      </c>
      <c r="B7568" s="531" t="s">
        <v>3280</v>
      </c>
      <c r="C7568" s="532" t="s">
        <v>26</v>
      </c>
      <c r="D7568" s="533">
        <v>15.616</v>
      </c>
      <c r="E7568" s="534">
        <v>15.773</v>
      </c>
      <c r="F7568" s="535" t="s">
        <v>16</v>
      </c>
      <c r="G7568" s="1067"/>
      <c r="H7568" s="535" t="s">
        <v>3306</v>
      </c>
      <c r="I7568" s="537" t="s">
        <v>3306</v>
      </c>
      <c r="J7568" s="538"/>
      <c r="K7568" s="531"/>
      <c r="L7568" s="535" t="s">
        <v>265</v>
      </c>
      <c r="M7568" s="535">
        <v>15815.860000000002</v>
      </c>
      <c r="N7568" s="539">
        <v>4.1666666666666664E-2</v>
      </c>
      <c r="O7568" s="897" t="s">
        <v>3308</v>
      </c>
      <c r="P7568" s="867" t="s">
        <v>3381</v>
      </c>
    </row>
    <row r="7569" spans="1:18" ht="19.5" thickBot="1" x14ac:dyDescent="0.3">
      <c r="A7569" s="1108"/>
      <c r="B7569" s="636" t="s">
        <v>3280</v>
      </c>
      <c r="C7569" s="637" t="s">
        <v>952</v>
      </c>
      <c r="D7569" s="638">
        <v>2.536</v>
      </c>
      <c r="E7569" s="639">
        <v>2.5369999999999999</v>
      </c>
      <c r="F7569" s="640" t="s">
        <v>16</v>
      </c>
      <c r="G7569" s="1065"/>
      <c r="H7569" s="640" t="s">
        <v>3306</v>
      </c>
      <c r="I7569" s="642" t="s">
        <v>3306</v>
      </c>
      <c r="J7569" s="643"/>
      <c r="K7569" s="636"/>
      <c r="L7569" s="640" t="s">
        <v>265</v>
      </c>
      <c r="M7569" s="640">
        <v>2536.36</v>
      </c>
      <c r="N7569" s="644">
        <v>4.1666666666666664E-2</v>
      </c>
      <c r="O7569" s="897" t="s">
        <v>3309</v>
      </c>
      <c r="P7569" s="867" t="s">
        <v>3382</v>
      </c>
    </row>
    <row r="7570" spans="1:18" ht="19.5" thickBot="1" x14ac:dyDescent="0.3">
      <c r="A7570" s="513">
        <f>MAX(A7339:A7569)+1</f>
        <v>4622</v>
      </c>
      <c r="B7570" s="573" t="s">
        <v>3280</v>
      </c>
      <c r="C7570" s="574" t="s">
        <v>2713</v>
      </c>
      <c r="D7570" s="575">
        <v>15.278</v>
      </c>
      <c r="E7570" s="576"/>
      <c r="F7570" s="577" t="s">
        <v>16</v>
      </c>
      <c r="G7570" s="1077"/>
      <c r="H7570" s="577" t="s">
        <v>3306</v>
      </c>
      <c r="I7570" s="579"/>
      <c r="J7570" s="580"/>
      <c r="K7570" s="573"/>
      <c r="L7570" s="577" t="s">
        <v>265</v>
      </c>
      <c r="M7570" s="577">
        <v>15278.58</v>
      </c>
      <c r="N7570" s="581">
        <v>8.3333333333333329E-2</v>
      </c>
      <c r="O7570" s="897" t="s">
        <v>3321</v>
      </c>
    </row>
    <row r="7571" spans="1:18" x14ac:dyDescent="0.25">
      <c r="A7571" s="1104">
        <f>MAX(A7340:A7570)+1</f>
        <v>4623</v>
      </c>
      <c r="B7571" s="759" t="s">
        <v>3280</v>
      </c>
      <c r="C7571" s="532" t="s">
        <v>21</v>
      </c>
      <c r="D7571" s="533">
        <v>4.32</v>
      </c>
      <c r="E7571" s="534">
        <v>4.33</v>
      </c>
      <c r="F7571" s="535" t="s">
        <v>16</v>
      </c>
      <c r="G7571" s="1075"/>
      <c r="H7571" s="535" t="s">
        <v>3306</v>
      </c>
      <c r="I7571" s="537" t="s">
        <v>3338</v>
      </c>
      <c r="J7571" s="538"/>
      <c r="K7571" s="531"/>
      <c r="L7571" s="535" t="s">
        <v>265</v>
      </c>
      <c r="M7571" s="535">
        <v>4320.4799999999996</v>
      </c>
      <c r="N7571" s="539">
        <v>0.41666666666666669</v>
      </c>
      <c r="O7571" s="897" t="s">
        <v>3314</v>
      </c>
      <c r="P7571" s="867" t="s">
        <v>3397</v>
      </c>
      <c r="Q7571" s="847">
        <v>4331</v>
      </c>
      <c r="R7571" s="833" t="s">
        <v>3008</v>
      </c>
    </row>
    <row r="7572" spans="1:18" x14ac:dyDescent="0.25">
      <c r="A7572" s="1105"/>
      <c r="B7572" s="824" t="s">
        <v>3280</v>
      </c>
      <c r="C7572" s="820" t="s">
        <v>21</v>
      </c>
      <c r="D7572" s="821">
        <v>3.7250000000000001</v>
      </c>
      <c r="E7572" s="822">
        <v>3.7440000000000002</v>
      </c>
      <c r="F7572" s="819" t="s">
        <v>16</v>
      </c>
      <c r="G7572" s="1076"/>
      <c r="H7572" s="819" t="s">
        <v>3306</v>
      </c>
      <c r="I7572" s="782" t="s">
        <v>3338</v>
      </c>
      <c r="J7572" s="825"/>
      <c r="K7572" s="849"/>
      <c r="L7572" s="819" t="s">
        <v>28</v>
      </c>
      <c r="M7572" s="819">
        <v>3725.2400000000002</v>
      </c>
      <c r="N7572" s="811">
        <v>0.41666666666666669</v>
      </c>
      <c r="O7572" s="897" t="s">
        <v>3318</v>
      </c>
      <c r="P7572" s="867" t="s">
        <v>3398</v>
      </c>
      <c r="Q7572" s="847">
        <v>3744</v>
      </c>
      <c r="R7572" s="833" t="s">
        <v>3008</v>
      </c>
    </row>
    <row r="7573" spans="1:18" x14ac:dyDescent="0.25">
      <c r="A7573" s="1105"/>
      <c r="B7573" s="824" t="s">
        <v>3280</v>
      </c>
      <c r="C7573" s="820" t="s">
        <v>24</v>
      </c>
      <c r="D7573" s="821">
        <v>4.3280000000000003</v>
      </c>
      <c r="E7573" s="822">
        <v>4.3540000000000001</v>
      </c>
      <c r="F7573" s="819" t="s">
        <v>16</v>
      </c>
      <c r="G7573" s="1076"/>
      <c r="H7573" s="819" t="s">
        <v>3306</v>
      </c>
      <c r="I7573" s="782" t="s">
        <v>3338</v>
      </c>
      <c r="J7573" s="825"/>
      <c r="K7573" s="849"/>
      <c r="L7573" s="819" t="s">
        <v>28</v>
      </c>
      <c r="M7573" s="819">
        <v>4396.2</v>
      </c>
      <c r="N7573" s="811">
        <v>0.41666666666666669</v>
      </c>
      <c r="O7573" s="897" t="s">
        <v>3319</v>
      </c>
      <c r="P7573" s="867" t="s">
        <v>3399</v>
      </c>
      <c r="Q7573" s="847">
        <v>4355</v>
      </c>
      <c r="R7573" s="833" t="s">
        <v>3008</v>
      </c>
    </row>
    <row r="7574" spans="1:18" x14ac:dyDescent="0.25">
      <c r="A7574" s="1105"/>
      <c r="B7574" s="824" t="s">
        <v>3280</v>
      </c>
      <c r="C7574" s="820" t="s">
        <v>20</v>
      </c>
      <c r="D7574" s="821">
        <v>4.9580000000000002</v>
      </c>
      <c r="E7574" s="822">
        <v>5.0359999999999996</v>
      </c>
      <c r="F7574" s="819" t="s">
        <v>16</v>
      </c>
      <c r="G7574" s="1076"/>
      <c r="H7574" s="819" t="s">
        <v>3306</v>
      </c>
      <c r="I7574" s="782" t="s">
        <v>3338</v>
      </c>
      <c r="J7574" s="825"/>
      <c r="K7574" s="849"/>
      <c r="L7574" s="819" t="s">
        <v>28</v>
      </c>
      <c r="M7574" s="819">
        <v>5054.7400000000016</v>
      </c>
      <c r="N7574" s="811">
        <v>0.41666666666666669</v>
      </c>
      <c r="O7574" s="897" t="s">
        <v>3310</v>
      </c>
      <c r="P7574" s="867" t="s">
        <v>3400</v>
      </c>
      <c r="Q7574" s="847">
        <v>5037</v>
      </c>
      <c r="R7574" s="833" t="s">
        <v>3008</v>
      </c>
    </row>
    <row r="7575" spans="1:18" ht="19.5" thickBot="1" x14ac:dyDescent="0.3">
      <c r="A7575" s="1106"/>
      <c r="B7575" s="1090" t="s">
        <v>3338</v>
      </c>
      <c r="C7575" s="1091" t="s">
        <v>20</v>
      </c>
      <c r="D7575" s="1092">
        <v>0.18</v>
      </c>
      <c r="E7575" s="1092" t="s">
        <v>1496</v>
      </c>
      <c r="F7575" s="1093" t="s">
        <v>16</v>
      </c>
      <c r="G7575" s="1094" t="s">
        <v>76</v>
      </c>
      <c r="H7575" s="1093" t="s">
        <v>3306</v>
      </c>
      <c r="I7575" s="1093" t="s">
        <v>1496</v>
      </c>
      <c r="J7575" s="1095"/>
      <c r="K7575" s="1096"/>
      <c r="L7575" s="1093" t="s">
        <v>28</v>
      </c>
      <c r="M7575" s="1093">
        <v>180</v>
      </c>
      <c r="N7575" s="1097">
        <v>0.41666666666666669</v>
      </c>
      <c r="O7575" s="920" t="s">
        <v>3393</v>
      </c>
      <c r="P7575" s="921" t="s">
        <v>1024</v>
      </c>
    </row>
    <row r="7576" spans="1:18" x14ac:dyDescent="0.25">
      <c r="A7576" s="1110">
        <f>MAX(A7344:A7575)+1</f>
        <v>4624</v>
      </c>
      <c r="B7576" s="523" t="s">
        <v>3280</v>
      </c>
      <c r="C7576" s="524" t="s">
        <v>23</v>
      </c>
      <c r="D7576" s="525">
        <v>12.507</v>
      </c>
      <c r="E7576" s="526"/>
      <c r="F7576" s="527" t="s">
        <v>16</v>
      </c>
      <c r="G7576" s="561"/>
      <c r="H7576" s="527" t="s">
        <v>3306</v>
      </c>
      <c r="I7576" s="528"/>
      <c r="J7576" s="529"/>
      <c r="K7576" s="523"/>
      <c r="L7576" s="527" t="s">
        <v>28</v>
      </c>
      <c r="M7576" s="527">
        <v>12590.420000000002</v>
      </c>
      <c r="N7576" s="530">
        <v>0.45833333333333331</v>
      </c>
      <c r="O7576" s="897" t="s">
        <v>3311</v>
      </c>
    </row>
    <row r="7577" spans="1:18" ht="19.5" thickBot="1" x14ac:dyDescent="0.3">
      <c r="A7577" s="1103"/>
      <c r="B7577" s="495" t="s">
        <v>3280</v>
      </c>
      <c r="C7577" s="496" t="s">
        <v>839</v>
      </c>
      <c r="D7577" s="497">
        <v>5.0199999999999996</v>
      </c>
      <c r="E7577" s="498"/>
      <c r="F7577" s="499" t="s">
        <v>16</v>
      </c>
      <c r="G7577" s="1079"/>
      <c r="H7577" s="499" t="s">
        <v>3306</v>
      </c>
      <c r="I7577" s="500"/>
      <c r="J7577" s="501"/>
      <c r="K7577" s="495"/>
      <c r="L7577" s="499" t="s">
        <v>28</v>
      </c>
      <c r="M7577" s="499">
        <v>5020.8</v>
      </c>
      <c r="N7577" s="502">
        <v>0.45833333333333331</v>
      </c>
      <c r="O7577" s="897" t="s">
        <v>3312</v>
      </c>
    </row>
    <row r="7578" spans="1:18" x14ac:dyDescent="0.25">
      <c r="A7578" s="1104">
        <f>MAX(A7346:A7577)+1</f>
        <v>4625</v>
      </c>
      <c r="B7578" s="759" t="s">
        <v>3280</v>
      </c>
      <c r="C7578" s="532" t="s">
        <v>15</v>
      </c>
      <c r="D7578" s="533">
        <v>8.798</v>
      </c>
      <c r="E7578" s="534"/>
      <c r="F7578" s="535" t="s">
        <v>16</v>
      </c>
      <c r="G7578" s="1075"/>
      <c r="H7578" s="535" t="s">
        <v>3306</v>
      </c>
      <c r="I7578" s="537"/>
      <c r="J7578" s="538"/>
      <c r="K7578" s="531"/>
      <c r="L7578" s="535" t="s">
        <v>28</v>
      </c>
      <c r="M7578" s="535">
        <v>8925.9599999999991</v>
      </c>
      <c r="N7578" s="539">
        <v>0.5</v>
      </c>
      <c r="O7578" s="897" t="s">
        <v>3313</v>
      </c>
    </row>
    <row r="7579" spans="1:18" x14ac:dyDescent="0.25">
      <c r="A7579" s="1105"/>
      <c r="B7579" s="824" t="s">
        <v>3280</v>
      </c>
      <c r="C7579" s="820" t="s">
        <v>24</v>
      </c>
      <c r="D7579" s="821">
        <v>8.702</v>
      </c>
      <c r="E7579" s="822"/>
      <c r="F7579" s="819" t="s">
        <v>16</v>
      </c>
      <c r="G7579" s="1076"/>
      <c r="H7579" s="819" t="s">
        <v>3306</v>
      </c>
      <c r="I7579" s="782"/>
      <c r="J7579" s="825"/>
      <c r="K7579" s="849"/>
      <c r="L7579" s="819" t="s">
        <v>28</v>
      </c>
      <c r="M7579" s="819">
        <v>8807.24</v>
      </c>
      <c r="N7579" s="811">
        <v>0.5</v>
      </c>
      <c r="O7579" s="897" t="s">
        <v>3320</v>
      </c>
    </row>
    <row r="7580" spans="1:18" ht="19.5" thickBot="1" x14ac:dyDescent="0.3">
      <c r="A7580" s="1105"/>
      <c r="B7580" s="785" t="s">
        <v>3338</v>
      </c>
      <c r="C7580" s="786" t="s">
        <v>15</v>
      </c>
      <c r="D7580" s="787">
        <v>0.51</v>
      </c>
      <c r="E7580" s="787"/>
      <c r="F7580" s="788" t="s">
        <v>16</v>
      </c>
      <c r="G7580" s="789" t="s">
        <v>76</v>
      </c>
      <c r="H7580" s="788" t="s">
        <v>3306</v>
      </c>
      <c r="I7580" s="788"/>
      <c r="J7580" s="790"/>
      <c r="K7580" s="877"/>
      <c r="L7580" s="788" t="s">
        <v>28</v>
      </c>
      <c r="M7580" s="788">
        <v>510</v>
      </c>
      <c r="N7580" s="784">
        <v>0.5</v>
      </c>
      <c r="O7580" s="897" t="s">
        <v>3394</v>
      </c>
    </row>
    <row r="7581" spans="1:18" ht="19.5" thickBot="1" x14ac:dyDescent="0.3">
      <c r="A7581" s="513">
        <f>MAX(A7348:A7580)+1</f>
        <v>4626</v>
      </c>
      <c r="B7581" s="645" t="s">
        <v>3290</v>
      </c>
      <c r="C7581" s="646" t="s">
        <v>26</v>
      </c>
      <c r="D7581" s="647">
        <v>14.771000000000001</v>
      </c>
      <c r="E7581" s="648">
        <v>14.771000000000001</v>
      </c>
      <c r="F7581" s="649" t="s">
        <v>30</v>
      </c>
      <c r="G7581" s="1078"/>
      <c r="H7581" s="649" t="s">
        <v>3306</v>
      </c>
      <c r="I7581" s="651" t="s">
        <v>3306</v>
      </c>
      <c r="J7581" s="652"/>
      <c r="K7581" s="645"/>
      <c r="L7581" s="649" t="s">
        <v>265</v>
      </c>
      <c r="M7581" s="649">
        <v>14771.439999999999</v>
      </c>
      <c r="N7581" s="653">
        <v>4.1666666666666664E-2</v>
      </c>
      <c r="O7581" s="897" t="s">
        <v>3344</v>
      </c>
      <c r="P7581" s="867" t="s">
        <v>3383</v>
      </c>
    </row>
    <row r="7582" spans="1:18" ht="19.5" thickBot="1" x14ac:dyDescent="0.3">
      <c r="A7582" s="503">
        <f>MAX(A7349:A7581)+1</f>
        <v>4627</v>
      </c>
      <c r="B7582" s="504" t="s">
        <v>3290</v>
      </c>
      <c r="C7582" s="505" t="s">
        <v>3305</v>
      </c>
      <c r="D7582" s="506">
        <v>3.8969999999999998</v>
      </c>
      <c r="E7582" s="507"/>
      <c r="F7582" s="508" t="s">
        <v>30</v>
      </c>
      <c r="G7582" s="509"/>
      <c r="H7582" s="508" t="s">
        <v>3306</v>
      </c>
      <c r="I7582" s="510"/>
      <c r="J7582" s="511"/>
      <c r="K7582" s="504"/>
      <c r="L7582" s="508" t="s">
        <v>266</v>
      </c>
      <c r="M7582" s="508">
        <v>3897.8999999999996</v>
      </c>
      <c r="N7582" s="512">
        <v>0.41666666666666669</v>
      </c>
      <c r="O7582" s="897" t="s">
        <v>3343</v>
      </c>
    </row>
    <row r="7583" spans="1:18" x14ac:dyDescent="0.25">
      <c r="A7583" s="1102">
        <f>MAX(A7350:A7582)+1</f>
        <v>4628</v>
      </c>
      <c r="B7583" s="523" t="s">
        <v>3290</v>
      </c>
      <c r="C7583" s="524" t="s">
        <v>26</v>
      </c>
      <c r="D7583" s="525">
        <v>15.347</v>
      </c>
      <c r="E7583" s="526">
        <v>15.336</v>
      </c>
      <c r="F7583" s="527" t="s">
        <v>16</v>
      </c>
      <c r="G7583" s="561"/>
      <c r="H7583" s="527" t="s">
        <v>3338</v>
      </c>
      <c r="I7583" s="528" t="s">
        <v>3338</v>
      </c>
      <c r="J7583" s="529"/>
      <c r="K7583" s="523"/>
      <c r="L7583" s="527" t="s">
        <v>265</v>
      </c>
      <c r="M7583" s="527">
        <v>15526.1</v>
      </c>
      <c r="N7583" s="530">
        <v>4.1666666666666664E-2</v>
      </c>
      <c r="O7583" s="897" t="s">
        <v>3340</v>
      </c>
      <c r="P7583" s="867" t="s">
        <v>3396</v>
      </c>
      <c r="Q7583" s="847">
        <v>15337</v>
      </c>
      <c r="R7583" s="833" t="s">
        <v>3008</v>
      </c>
    </row>
    <row r="7584" spans="1:18" ht="19.5" thickBot="1" x14ac:dyDescent="0.3">
      <c r="A7584" s="1103"/>
      <c r="B7584" s="495" t="s">
        <v>3290</v>
      </c>
      <c r="C7584" s="496" t="s">
        <v>1358</v>
      </c>
      <c r="D7584" s="497">
        <v>2.3519999999999999</v>
      </c>
      <c r="E7584" s="498">
        <v>2.3420000000000001</v>
      </c>
      <c r="F7584" s="499" t="s">
        <v>16</v>
      </c>
      <c r="G7584" s="1079"/>
      <c r="H7584" s="499" t="s">
        <v>3338</v>
      </c>
      <c r="I7584" s="500" t="s">
        <v>3338</v>
      </c>
      <c r="J7584" s="501"/>
      <c r="K7584" s="495"/>
      <c r="L7584" s="499" t="s">
        <v>265</v>
      </c>
      <c r="M7584" s="499">
        <v>2352</v>
      </c>
      <c r="N7584" s="502">
        <v>4.1666666666666664E-2</v>
      </c>
      <c r="O7584" s="897" t="s">
        <v>3341</v>
      </c>
      <c r="P7584" s="867" t="s">
        <v>3395</v>
      </c>
      <c r="Q7584" s="847">
        <v>2342</v>
      </c>
      <c r="R7584" s="833" t="s">
        <v>3008</v>
      </c>
    </row>
    <row r="7585" spans="1:18" x14ac:dyDescent="0.25">
      <c r="A7585" s="1104">
        <f>MAX(A7352:A7584)+1</f>
        <v>4629</v>
      </c>
      <c r="B7585" s="759" t="s">
        <v>3290</v>
      </c>
      <c r="C7585" s="532" t="s">
        <v>3175</v>
      </c>
      <c r="D7585" s="533">
        <v>7.0789999999999997</v>
      </c>
      <c r="E7585" s="534"/>
      <c r="F7585" s="535" t="s">
        <v>16</v>
      </c>
      <c r="G7585" s="1075"/>
      <c r="H7585" s="535" t="s">
        <v>3338</v>
      </c>
      <c r="I7585" s="537"/>
      <c r="J7585" s="538"/>
      <c r="K7585" s="531"/>
      <c r="L7585" s="535" t="s">
        <v>265</v>
      </c>
      <c r="M7585" s="535">
        <v>7079.1399999999994</v>
      </c>
      <c r="N7585" s="539">
        <v>0.41666666666666669</v>
      </c>
      <c r="O7585" s="897" t="s">
        <v>3358</v>
      </c>
    </row>
    <row r="7586" spans="1:18" x14ac:dyDescent="0.25">
      <c r="A7586" s="1105"/>
      <c r="B7586" s="824" t="s">
        <v>3290</v>
      </c>
      <c r="C7586" s="820" t="s">
        <v>15</v>
      </c>
      <c r="D7586" s="821">
        <v>2.8679999999999999</v>
      </c>
      <c r="E7586" s="822"/>
      <c r="F7586" s="819" t="s">
        <v>16</v>
      </c>
      <c r="G7586" s="1076"/>
      <c r="H7586" s="819" t="s">
        <v>3338</v>
      </c>
      <c r="I7586" s="782"/>
      <c r="J7586" s="825"/>
      <c r="K7586" s="849"/>
      <c r="L7586" s="819" t="s">
        <v>28</v>
      </c>
      <c r="M7586" s="819">
        <v>2964.2200000000003</v>
      </c>
      <c r="N7586" s="811">
        <v>0.41666666666666669</v>
      </c>
      <c r="O7586" s="897" t="s">
        <v>3355</v>
      </c>
    </row>
    <row r="7587" spans="1:18" x14ac:dyDescent="0.25">
      <c r="A7587" s="1105"/>
      <c r="B7587" s="824" t="s">
        <v>3290</v>
      </c>
      <c r="C7587" s="820" t="s">
        <v>24</v>
      </c>
      <c r="D7587" s="821">
        <v>5.8120000000000003</v>
      </c>
      <c r="E7587" s="822"/>
      <c r="F7587" s="819" t="s">
        <v>16</v>
      </c>
      <c r="G7587" s="1076"/>
      <c r="H7587" s="819" t="s">
        <v>3338</v>
      </c>
      <c r="I7587" s="782"/>
      <c r="J7587" s="825"/>
      <c r="K7587" s="849"/>
      <c r="L7587" s="819" t="s">
        <v>28</v>
      </c>
      <c r="M7587" s="819">
        <v>5919.58</v>
      </c>
      <c r="N7587" s="811">
        <v>0.41666666666666669</v>
      </c>
      <c r="O7587" s="897" t="s">
        <v>3354</v>
      </c>
    </row>
    <row r="7588" spans="1:18" x14ac:dyDescent="0.25">
      <c r="A7588" s="1105"/>
      <c r="B7588" s="813" t="s">
        <v>3338</v>
      </c>
      <c r="C7588" s="814" t="s">
        <v>15</v>
      </c>
      <c r="D7588" s="815">
        <v>0.33</v>
      </c>
      <c r="E7588" s="815"/>
      <c r="F7588" s="816" t="s">
        <v>16</v>
      </c>
      <c r="G7588" s="817" t="s">
        <v>76</v>
      </c>
      <c r="H7588" s="816" t="s">
        <v>3338</v>
      </c>
      <c r="I7588" s="816"/>
      <c r="J7588" s="818"/>
      <c r="K7588" s="1080"/>
      <c r="L7588" s="816" t="s">
        <v>28</v>
      </c>
      <c r="M7588" s="816">
        <v>330</v>
      </c>
      <c r="N7588" s="811">
        <v>0.41666666666666669</v>
      </c>
      <c r="O7588" s="897" t="s">
        <v>3391</v>
      </c>
    </row>
    <row r="7589" spans="1:18" ht="19.5" thickBot="1" x14ac:dyDescent="0.3">
      <c r="A7589" s="1106"/>
      <c r="B7589" s="785" t="s">
        <v>3338</v>
      </c>
      <c r="C7589" s="786" t="s">
        <v>24</v>
      </c>
      <c r="D7589" s="787">
        <v>1.92</v>
      </c>
      <c r="E7589" s="787"/>
      <c r="F7589" s="788" t="s">
        <v>16</v>
      </c>
      <c r="G7589" s="789" t="s">
        <v>76</v>
      </c>
      <c r="H7589" s="788" t="s">
        <v>3338</v>
      </c>
      <c r="I7589" s="788"/>
      <c r="J7589" s="790"/>
      <c r="K7589" s="877"/>
      <c r="L7589" s="788" t="s">
        <v>28</v>
      </c>
      <c r="M7589" s="788">
        <v>1920</v>
      </c>
      <c r="N7589" s="784">
        <v>0.41666666666666669</v>
      </c>
      <c r="O7589" s="897" t="s">
        <v>3390</v>
      </c>
    </row>
    <row r="7590" spans="1:18" x14ac:dyDescent="0.25">
      <c r="A7590" s="1115">
        <f>MAX(A7356:A7589)+1</f>
        <v>4630</v>
      </c>
      <c r="B7590" s="866" t="s">
        <v>3290</v>
      </c>
      <c r="C7590" s="524" t="s">
        <v>23</v>
      </c>
      <c r="D7590" s="525">
        <v>16.491</v>
      </c>
      <c r="E7590" s="526"/>
      <c r="F7590" s="527" t="s">
        <v>16</v>
      </c>
      <c r="G7590" s="1122" t="s">
        <v>1633</v>
      </c>
      <c r="H7590" s="527" t="s">
        <v>3338</v>
      </c>
      <c r="I7590" s="1089" t="s">
        <v>3389</v>
      </c>
      <c r="J7590" s="529"/>
      <c r="K7590" s="523"/>
      <c r="L7590" s="527" t="s">
        <v>28</v>
      </c>
      <c r="M7590" s="527">
        <v>16677.73</v>
      </c>
      <c r="N7590" s="530">
        <v>0.45833333333333331</v>
      </c>
      <c r="O7590" s="897" t="s">
        <v>3357</v>
      </c>
    </row>
    <row r="7591" spans="1:18" ht="19.5" thickBot="1" x14ac:dyDescent="0.3">
      <c r="A7591" s="1116"/>
      <c r="B7591" s="1081" t="s">
        <v>3290</v>
      </c>
      <c r="C7591" s="1082" t="s">
        <v>20</v>
      </c>
      <c r="D7591" s="1083">
        <v>1.8919999999999999</v>
      </c>
      <c r="E7591" s="1084"/>
      <c r="F7591" s="1085" t="s">
        <v>16</v>
      </c>
      <c r="G7591" s="1123"/>
      <c r="H7591" s="1085" t="s">
        <v>3338</v>
      </c>
      <c r="I7591" s="1086"/>
      <c r="J7591" s="1087"/>
      <c r="K7591" s="1088"/>
      <c r="L7591" s="1085" t="s">
        <v>28</v>
      </c>
      <c r="M7591" s="1085">
        <v>1998.1400000000003</v>
      </c>
      <c r="N7591" s="846">
        <v>0.45833333333333331</v>
      </c>
      <c r="O7591" s="897" t="s">
        <v>3356</v>
      </c>
    </row>
    <row r="7592" spans="1:18" x14ac:dyDescent="0.25">
      <c r="A7592" s="1107">
        <f>MAX(A7357:A7590)+1</f>
        <v>4631</v>
      </c>
      <c r="B7592" s="759" t="s">
        <v>3290</v>
      </c>
      <c r="C7592" s="532" t="s">
        <v>47</v>
      </c>
      <c r="D7592" s="533">
        <v>17.157</v>
      </c>
      <c r="E7592" s="534"/>
      <c r="F7592" s="535" t="s">
        <v>16</v>
      </c>
      <c r="G7592" s="1124" t="s">
        <v>1634</v>
      </c>
      <c r="H7592" s="535" t="s">
        <v>3338</v>
      </c>
      <c r="I7592" s="537"/>
      <c r="J7592" s="538"/>
      <c r="K7592" s="531"/>
      <c r="L7592" s="535" t="s">
        <v>28</v>
      </c>
      <c r="M7592" s="535">
        <v>17379.25</v>
      </c>
      <c r="N7592" s="539">
        <v>0.5</v>
      </c>
      <c r="O7592" s="897" t="s">
        <v>3359</v>
      </c>
      <c r="Q7592" s="847">
        <v>17109</v>
      </c>
      <c r="R7592" s="833" t="s">
        <v>3008</v>
      </c>
    </row>
    <row r="7593" spans="1:18" ht="19.5" thickBot="1" x14ac:dyDescent="0.3">
      <c r="A7593" s="1108"/>
      <c r="B7593" s="1090" t="s">
        <v>3338</v>
      </c>
      <c r="C7593" s="1091" t="s">
        <v>47</v>
      </c>
      <c r="D7593" s="1092">
        <v>0.3</v>
      </c>
      <c r="E7593" s="1092" t="s">
        <v>1496</v>
      </c>
      <c r="F7593" s="1093" t="s">
        <v>16</v>
      </c>
      <c r="G7593" s="1125"/>
      <c r="H7593" s="1093" t="s">
        <v>3338</v>
      </c>
      <c r="I7593" s="1093" t="s">
        <v>1496</v>
      </c>
      <c r="J7593" s="1095"/>
      <c r="K7593" s="1096"/>
      <c r="L7593" s="1093" t="s">
        <v>28</v>
      </c>
      <c r="M7593" s="1093">
        <v>300</v>
      </c>
      <c r="N7593" s="1097">
        <v>0.5</v>
      </c>
      <c r="O7593" s="920" t="s">
        <v>3392</v>
      </c>
      <c r="P7593" s="921" t="s">
        <v>1024</v>
      </c>
    </row>
    <row r="7594" spans="1:18" x14ac:dyDescent="0.25">
      <c r="A7594" s="1102">
        <f>MAX(A7358:A7592)+1</f>
        <v>4632</v>
      </c>
      <c r="B7594" s="523" t="s">
        <v>3290</v>
      </c>
      <c r="C7594" s="524" t="s">
        <v>15</v>
      </c>
      <c r="D7594" s="525">
        <v>1.5429999999999999</v>
      </c>
      <c r="E7594" s="526"/>
      <c r="F7594" s="527" t="s">
        <v>30</v>
      </c>
      <c r="G7594" s="561"/>
      <c r="H7594" s="527" t="s">
        <v>3338</v>
      </c>
      <c r="I7594" s="528"/>
      <c r="J7594" s="529"/>
      <c r="K7594" s="523"/>
      <c r="L7594" s="527" t="s">
        <v>28</v>
      </c>
      <c r="M7594" s="527">
        <v>1543.4800000000002</v>
      </c>
      <c r="N7594" s="530">
        <v>0.41666666666666669</v>
      </c>
      <c r="O7594" s="897" t="s">
        <v>3348</v>
      </c>
    </row>
    <row r="7595" spans="1:18" x14ac:dyDescent="0.25">
      <c r="A7595" s="1102"/>
      <c r="B7595" s="523" t="s">
        <v>3290</v>
      </c>
      <c r="C7595" s="524" t="s">
        <v>24</v>
      </c>
      <c r="D7595" s="525">
        <v>7.117</v>
      </c>
      <c r="E7595" s="526"/>
      <c r="F7595" s="527" t="s">
        <v>30</v>
      </c>
      <c r="G7595" s="561"/>
      <c r="H7595" s="527" t="s">
        <v>3338</v>
      </c>
      <c r="I7595" s="528"/>
      <c r="J7595" s="529"/>
      <c r="K7595" s="523"/>
      <c r="L7595" s="527" t="s">
        <v>28</v>
      </c>
      <c r="M7595" s="527">
        <v>7117.6800000000012</v>
      </c>
      <c r="N7595" s="530">
        <v>0.41666666666666669</v>
      </c>
      <c r="O7595" s="897" t="s">
        <v>3347</v>
      </c>
    </row>
    <row r="7596" spans="1:18" ht="19.5" thickBot="1" x14ac:dyDescent="0.3">
      <c r="A7596" s="1103"/>
      <c r="B7596" s="645" t="s">
        <v>3290</v>
      </c>
      <c r="C7596" s="646" t="s">
        <v>20</v>
      </c>
      <c r="D7596" s="647">
        <v>6.2290000000000001</v>
      </c>
      <c r="E7596" s="648"/>
      <c r="F7596" s="649" t="s">
        <v>30</v>
      </c>
      <c r="G7596" s="1071"/>
      <c r="H7596" s="649" t="s">
        <v>3338</v>
      </c>
      <c r="I7596" s="651"/>
      <c r="J7596" s="652"/>
      <c r="K7596" s="645"/>
      <c r="L7596" s="649" t="s">
        <v>28</v>
      </c>
      <c r="M7596" s="649">
        <v>6229.5600000000013</v>
      </c>
      <c r="N7596" s="653">
        <v>0.41666666666666669</v>
      </c>
      <c r="O7596" s="897" t="s">
        <v>3349</v>
      </c>
    </row>
    <row r="7597" spans="1:18" ht="19.5" thickBot="1" x14ac:dyDescent="0.3">
      <c r="A7597" s="503">
        <f>MAX(A7361:A7596)+1</f>
        <v>4633</v>
      </c>
      <c r="B7597" s="504" t="s">
        <v>3290</v>
      </c>
      <c r="C7597" s="505" t="s">
        <v>3305</v>
      </c>
      <c r="D7597" s="506">
        <v>2.9140000000000001</v>
      </c>
      <c r="E7597" s="507"/>
      <c r="F7597" s="508" t="s">
        <v>30</v>
      </c>
      <c r="G7597" s="509"/>
      <c r="H7597" s="508" t="s">
        <v>3338</v>
      </c>
      <c r="I7597" s="510"/>
      <c r="J7597" s="511"/>
      <c r="K7597" s="504"/>
      <c r="L7597" s="508" t="s">
        <v>266</v>
      </c>
      <c r="M7597" s="508">
        <v>2914.3199999999997</v>
      </c>
      <c r="N7597" s="512">
        <v>0.45833333333333331</v>
      </c>
      <c r="O7597" s="897" t="s">
        <v>3350</v>
      </c>
    </row>
    <row r="7598" spans="1:18" ht="19.5" thickBot="1" x14ac:dyDescent="0.3">
      <c r="A7598" s="1068">
        <f>MAX(A7362:A7597)+1</f>
        <v>4634</v>
      </c>
      <c r="B7598" s="645" t="s">
        <v>3290</v>
      </c>
      <c r="C7598" s="646" t="s">
        <v>26</v>
      </c>
      <c r="D7598" s="647">
        <v>17.651</v>
      </c>
      <c r="E7598" s="648"/>
      <c r="F7598" s="649" t="s">
        <v>16</v>
      </c>
      <c r="G7598" s="1071"/>
      <c r="H7598" s="649" t="s">
        <v>3339</v>
      </c>
      <c r="I7598" s="651"/>
      <c r="J7598" s="652"/>
      <c r="K7598" s="645"/>
      <c r="L7598" s="649" t="s">
        <v>265</v>
      </c>
      <c r="M7598" s="649">
        <v>17826.480000000003</v>
      </c>
      <c r="N7598" s="653">
        <v>4.1666666666666664E-2</v>
      </c>
      <c r="O7598" s="897" t="s">
        <v>3342</v>
      </c>
    </row>
    <row r="7599" spans="1:18" ht="19.5" thickBot="1" x14ac:dyDescent="0.3">
      <c r="A7599" s="503">
        <f>MAX(A7363:A7598)+1</f>
        <v>4635</v>
      </c>
      <c r="B7599" s="504" t="s">
        <v>3290</v>
      </c>
      <c r="C7599" s="505" t="s">
        <v>26</v>
      </c>
      <c r="D7599" s="506">
        <v>14.93</v>
      </c>
      <c r="E7599" s="507"/>
      <c r="F7599" s="508" t="s">
        <v>30</v>
      </c>
      <c r="G7599" s="509"/>
      <c r="H7599" s="508" t="s">
        <v>3339</v>
      </c>
      <c r="I7599" s="510"/>
      <c r="J7599" s="511"/>
      <c r="K7599" s="504"/>
      <c r="L7599" s="508" t="s">
        <v>265</v>
      </c>
      <c r="M7599" s="508">
        <v>14930.519999999999</v>
      </c>
      <c r="N7599" s="512">
        <v>4.1666666666666664E-2</v>
      </c>
      <c r="O7599" s="897" t="s">
        <v>3345</v>
      </c>
    </row>
    <row r="7600" spans="1:18" x14ac:dyDescent="0.25">
      <c r="A7600" s="1102">
        <f>MAX(A7364:A7599)+1</f>
        <v>4636</v>
      </c>
      <c r="B7600" s="523" t="s">
        <v>3290</v>
      </c>
      <c r="C7600" s="524" t="s">
        <v>480</v>
      </c>
      <c r="D7600" s="525">
        <v>6.391</v>
      </c>
      <c r="E7600" s="526"/>
      <c r="F7600" s="527" t="s">
        <v>16</v>
      </c>
      <c r="G7600" s="561"/>
      <c r="H7600" s="527" t="s">
        <v>3339</v>
      </c>
      <c r="I7600" s="528"/>
      <c r="J7600" s="529"/>
      <c r="K7600" s="523"/>
      <c r="L7600" s="527" t="s">
        <v>266</v>
      </c>
      <c r="M7600" s="527">
        <v>6391.6800000000012</v>
      </c>
      <c r="N7600" s="530">
        <v>0.41666666666666669</v>
      </c>
      <c r="O7600" s="897" t="s">
        <v>3362</v>
      </c>
    </row>
    <row r="7601" spans="1:15" ht="19.5" thickBot="1" x14ac:dyDescent="0.3">
      <c r="A7601" s="1103"/>
      <c r="B7601" s="645" t="s">
        <v>3290</v>
      </c>
      <c r="C7601" s="646" t="s">
        <v>23</v>
      </c>
      <c r="D7601" s="647">
        <v>11.218999999999999</v>
      </c>
      <c r="E7601" s="648"/>
      <c r="F7601" s="649" t="s">
        <v>16</v>
      </c>
      <c r="G7601" s="1071"/>
      <c r="H7601" s="649" t="s">
        <v>3339</v>
      </c>
      <c r="I7601" s="651"/>
      <c r="J7601" s="652"/>
      <c r="K7601" s="645"/>
      <c r="L7601" s="649" t="s">
        <v>28</v>
      </c>
      <c r="M7601" s="649">
        <v>11337.57</v>
      </c>
      <c r="N7601" s="653">
        <v>0.41666666666666669</v>
      </c>
      <c r="O7601" s="897" t="s">
        <v>3361</v>
      </c>
    </row>
    <row r="7602" spans="1:15" x14ac:dyDescent="0.25">
      <c r="A7602" s="1107">
        <f>MAX(A7366:A7601)+1</f>
        <v>4637</v>
      </c>
      <c r="B7602" s="531" t="s">
        <v>3290</v>
      </c>
      <c r="C7602" s="532" t="s">
        <v>587</v>
      </c>
      <c r="D7602" s="533">
        <v>5.0629999999999997</v>
      </c>
      <c r="E7602" s="534"/>
      <c r="F7602" s="535" t="s">
        <v>16</v>
      </c>
      <c r="G7602" s="1074" t="s">
        <v>47</v>
      </c>
      <c r="H7602" s="535" t="s">
        <v>3339</v>
      </c>
      <c r="I7602" s="537"/>
      <c r="J7602" s="538"/>
      <c r="K7602" s="531"/>
      <c r="L7602" s="535" t="s">
        <v>28</v>
      </c>
      <c r="M7602" s="535">
        <v>5063.2</v>
      </c>
      <c r="N7602" s="539">
        <v>0.45833333333333331</v>
      </c>
      <c r="O7602" s="897" t="s">
        <v>3365</v>
      </c>
    </row>
    <row r="7603" spans="1:15" ht="19.5" thickBot="1" x14ac:dyDescent="0.3">
      <c r="A7603" s="1108"/>
      <c r="B7603" s="636" t="s">
        <v>3290</v>
      </c>
      <c r="C7603" s="637" t="s">
        <v>47</v>
      </c>
      <c r="D7603" s="638">
        <v>12.545999999999999</v>
      </c>
      <c r="E7603" s="639"/>
      <c r="F7603" s="640" t="s">
        <v>16</v>
      </c>
      <c r="G7603" s="1069"/>
      <c r="H7603" s="640" t="s">
        <v>3339</v>
      </c>
      <c r="I7603" s="642"/>
      <c r="J7603" s="643"/>
      <c r="K7603" s="636"/>
      <c r="L7603" s="640" t="s">
        <v>28</v>
      </c>
      <c r="M7603" s="640">
        <v>12699.64</v>
      </c>
      <c r="N7603" s="644">
        <v>0.45833333333333331</v>
      </c>
      <c r="O7603" s="897" t="s">
        <v>3364</v>
      </c>
    </row>
    <row r="7604" spans="1:15" x14ac:dyDescent="0.25">
      <c r="A7604" s="1102">
        <f>MAX(A7368:A7603)+1</f>
        <v>4638</v>
      </c>
      <c r="B7604" s="523" t="s">
        <v>3290</v>
      </c>
      <c r="C7604" s="524" t="s">
        <v>25</v>
      </c>
      <c r="D7604" s="525">
        <v>12.486000000000001</v>
      </c>
      <c r="E7604" s="526"/>
      <c r="F7604" s="527" t="s">
        <v>16</v>
      </c>
      <c r="G7604" s="561"/>
      <c r="H7604" s="527" t="s">
        <v>3339</v>
      </c>
      <c r="I7604" s="528"/>
      <c r="J7604" s="529"/>
      <c r="K7604" s="523"/>
      <c r="L7604" s="527" t="s">
        <v>265</v>
      </c>
      <c r="M7604" s="527">
        <v>12486.280000000002</v>
      </c>
      <c r="N7604" s="530">
        <v>0.5</v>
      </c>
      <c r="O7604" s="897" t="s">
        <v>3363</v>
      </c>
    </row>
    <row r="7605" spans="1:15" x14ac:dyDescent="0.25">
      <c r="A7605" s="1102"/>
      <c r="B7605" s="523" t="s">
        <v>3290</v>
      </c>
      <c r="C7605" s="524" t="s">
        <v>2771</v>
      </c>
      <c r="D7605" s="525">
        <v>4.4950000000000001</v>
      </c>
      <c r="E7605" s="526"/>
      <c r="F7605" s="527" t="s">
        <v>16</v>
      </c>
      <c r="G7605" s="561"/>
      <c r="H7605" s="527" t="s">
        <v>3339</v>
      </c>
      <c r="I7605" s="528"/>
      <c r="J7605" s="529"/>
      <c r="K7605" s="523"/>
      <c r="L7605" s="527" t="s">
        <v>28</v>
      </c>
      <c r="M7605" s="527">
        <v>4495.2</v>
      </c>
      <c r="N7605" s="530">
        <v>0.5</v>
      </c>
      <c r="O7605" s="897" t="s">
        <v>3360</v>
      </c>
    </row>
    <row r="7606" spans="1:15" ht="19.5" thickBot="1" x14ac:dyDescent="0.3">
      <c r="A7606" s="1103"/>
      <c r="B7606" s="645" t="s">
        <v>3290</v>
      </c>
      <c r="C7606" s="646" t="s">
        <v>24</v>
      </c>
      <c r="D7606" s="647">
        <v>1</v>
      </c>
      <c r="E7606" s="648"/>
      <c r="F7606" s="649" t="s">
        <v>16</v>
      </c>
      <c r="G7606" s="1071"/>
      <c r="H7606" s="649" t="s">
        <v>3339</v>
      </c>
      <c r="I7606" s="651"/>
      <c r="J7606" s="652"/>
      <c r="K7606" s="645"/>
      <c r="L7606" s="649" t="s">
        <v>28</v>
      </c>
      <c r="M7606" s="649">
        <v>1012.8000000000001</v>
      </c>
      <c r="N7606" s="653">
        <v>0.5</v>
      </c>
      <c r="O7606" s="897" t="s">
        <v>3346</v>
      </c>
    </row>
    <row r="7607" spans="1:15" ht="19.5" thickBot="1" x14ac:dyDescent="0.3">
      <c r="A7607" s="503">
        <f t="shared" ref="A7607:A7622" si="234">MAX(A7371:A7606)+1</f>
        <v>4639</v>
      </c>
      <c r="B7607" s="504" t="s">
        <v>3290</v>
      </c>
      <c r="C7607" s="505" t="s">
        <v>3305</v>
      </c>
      <c r="D7607" s="506">
        <v>3.2010000000000001</v>
      </c>
      <c r="E7607" s="507"/>
      <c r="F7607" s="508" t="s">
        <v>30</v>
      </c>
      <c r="G7607" s="509"/>
      <c r="H7607" s="508" t="s">
        <v>3339</v>
      </c>
      <c r="I7607" s="510"/>
      <c r="J7607" s="511"/>
      <c r="K7607" s="504"/>
      <c r="L7607" s="508" t="s">
        <v>266</v>
      </c>
      <c r="M7607" s="508">
        <v>3201.12</v>
      </c>
      <c r="N7607" s="512">
        <v>0.41666666666666669</v>
      </c>
      <c r="O7607" s="897" t="s">
        <v>3353</v>
      </c>
    </row>
    <row r="7608" spans="1:15" ht="19.5" thickBot="1" x14ac:dyDescent="0.3">
      <c r="A7608" s="1068">
        <f t="shared" si="234"/>
        <v>4640</v>
      </c>
      <c r="B7608" s="645" t="s">
        <v>3290</v>
      </c>
      <c r="C7608" s="646" t="s">
        <v>47</v>
      </c>
      <c r="D7608" s="647">
        <v>12.427</v>
      </c>
      <c r="E7608" s="648"/>
      <c r="F7608" s="649" t="s">
        <v>30</v>
      </c>
      <c r="G7608" s="1071"/>
      <c r="H7608" s="649" t="s">
        <v>3339</v>
      </c>
      <c r="I7608" s="651"/>
      <c r="J7608" s="652"/>
      <c r="K7608" s="645"/>
      <c r="L7608" s="649" t="s">
        <v>28</v>
      </c>
      <c r="M7608" s="649">
        <v>12427.880000000001</v>
      </c>
      <c r="N7608" s="653">
        <v>0.45833333333333331</v>
      </c>
      <c r="O7608" s="897" t="s">
        <v>3351</v>
      </c>
    </row>
    <row r="7609" spans="1:15" ht="19.5" thickBot="1" x14ac:dyDescent="0.3">
      <c r="A7609" s="1098">
        <f t="shared" si="234"/>
        <v>4641</v>
      </c>
      <c r="B7609" s="552" t="s">
        <v>3290</v>
      </c>
      <c r="C7609" s="553" t="s">
        <v>23</v>
      </c>
      <c r="D7609" s="554">
        <v>12.988</v>
      </c>
      <c r="E7609" s="555"/>
      <c r="F7609" s="556" t="s">
        <v>30</v>
      </c>
      <c r="G7609" s="1099"/>
      <c r="H7609" s="556" t="s">
        <v>3339</v>
      </c>
      <c r="I7609" s="558"/>
      <c r="J7609" s="1100"/>
      <c r="K7609" s="1101"/>
      <c r="L7609" s="556" t="s">
        <v>28</v>
      </c>
      <c r="M7609" s="556">
        <v>12988.240000000002</v>
      </c>
      <c r="N7609" s="560">
        <v>0.5</v>
      </c>
      <c r="O7609" s="897" t="s">
        <v>3352</v>
      </c>
    </row>
    <row r="7610" spans="1:15" ht="19.5" thickBot="1" x14ac:dyDescent="0.3">
      <c r="A7610" s="513">
        <f t="shared" si="234"/>
        <v>4642</v>
      </c>
      <c r="B7610" s="514" t="s">
        <v>3339</v>
      </c>
      <c r="C7610" s="515" t="s">
        <v>32</v>
      </c>
      <c r="D7610" s="516">
        <v>18.135000000000002</v>
      </c>
      <c r="E7610" s="517"/>
      <c r="F7610" s="518" t="s">
        <v>16</v>
      </c>
      <c r="G7610" s="519"/>
      <c r="H7610" s="518" t="s">
        <v>3402</v>
      </c>
      <c r="I7610" s="520"/>
      <c r="J7610" s="521"/>
      <c r="K7610" s="514"/>
      <c r="L7610" s="518" t="s">
        <v>266</v>
      </c>
      <c r="M7610" s="518">
        <v>18135.18</v>
      </c>
      <c r="N7610" s="522">
        <v>0.41666666666666669</v>
      </c>
      <c r="O7610" s="897" t="s">
        <v>3405</v>
      </c>
    </row>
    <row r="7611" spans="1:15" ht="19.5" thickBot="1" x14ac:dyDescent="0.3">
      <c r="A7611" s="503">
        <f t="shared" si="234"/>
        <v>4643</v>
      </c>
      <c r="B7611" s="504" t="s">
        <v>3339</v>
      </c>
      <c r="C7611" s="505" t="s">
        <v>32</v>
      </c>
      <c r="D7611" s="506">
        <v>18.094000000000001</v>
      </c>
      <c r="E7611" s="507"/>
      <c r="F7611" s="508" t="s">
        <v>16</v>
      </c>
      <c r="G7611" s="509"/>
      <c r="H7611" s="508" t="s">
        <v>3402</v>
      </c>
      <c r="I7611" s="510"/>
      <c r="J7611" s="511"/>
      <c r="K7611" s="504"/>
      <c r="L7611" s="508" t="s">
        <v>266</v>
      </c>
      <c r="M7611" s="508">
        <v>18094.650000000001</v>
      </c>
      <c r="N7611" s="512">
        <v>0.45833333333333331</v>
      </c>
      <c r="O7611" s="897" t="s">
        <v>3406</v>
      </c>
    </row>
    <row r="7612" spans="1:15" ht="19.5" thickBot="1" x14ac:dyDescent="0.3">
      <c r="A7612" s="513">
        <f t="shared" si="234"/>
        <v>4644</v>
      </c>
      <c r="B7612" s="514" t="s">
        <v>3339</v>
      </c>
      <c r="C7612" s="515" t="s">
        <v>587</v>
      </c>
      <c r="D7612" s="516">
        <v>14.775</v>
      </c>
      <c r="E7612" s="517"/>
      <c r="F7612" s="518" t="s">
        <v>30</v>
      </c>
      <c r="G7612" s="519" t="s">
        <v>23</v>
      </c>
      <c r="H7612" s="518" t="s">
        <v>3403</v>
      </c>
      <c r="I7612" s="520"/>
      <c r="J7612" s="521"/>
      <c r="K7612" s="514"/>
      <c r="L7612" s="518" t="s">
        <v>28</v>
      </c>
      <c r="M7612" s="518">
        <v>14775.6</v>
      </c>
      <c r="N7612" s="522">
        <v>0.41666666666666669</v>
      </c>
      <c r="O7612" s="897" t="s">
        <v>3404</v>
      </c>
    </row>
    <row r="7613" spans="1:15" x14ac:dyDescent="0.25">
      <c r="A7613" s="676">
        <f t="shared" si="234"/>
        <v>4645</v>
      </c>
      <c r="B7613" s="676"/>
      <c r="C7613" s="473"/>
      <c r="D7613" s="474"/>
      <c r="E7613" s="475"/>
      <c r="F7613" s="676"/>
      <c r="G7613" s="476"/>
      <c r="H7613" s="676"/>
      <c r="I7613" s="477"/>
      <c r="J7613" s="1073"/>
      <c r="K7613" s="676"/>
      <c r="L7613" s="676"/>
      <c r="M7613" s="676"/>
      <c r="N7613" s="676"/>
    </row>
    <row r="7614" spans="1:15" x14ac:dyDescent="0.25">
      <c r="A7614" s="676">
        <f t="shared" si="234"/>
        <v>4646</v>
      </c>
      <c r="B7614" s="676"/>
      <c r="C7614" s="473"/>
      <c r="D7614" s="474"/>
      <c r="E7614" s="475"/>
      <c r="F7614" s="676"/>
      <c r="G7614" s="476"/>
      <c r="H7614" s="676"/>
      <c r="I7614" s="477"/>
      <c r="J7614" s="1073"/>
      <c r="K7614" s="676"/>
      <c r="L7614" s="676"/>
      <c r="M7614" s="676"/>
      <c r="N7614" s="676"/>
    </row>
    <row r="7615" spans="1:15" x14ac:dyDescent="0.25">
      <c r="A7615" s="676">
        <f t="shared" si="234"/>
        <v>4647</v>
      </c>
      <c r="B7615" s="676"/>
      <c r="C7615" s="473"/>
      <c r="D7615" s="474"/>
      <c r="E7615" s="475"/>
      <c r="F7615" s="676"/>
      <c r="G7615" s="476"/>
      <c r="H7615" s="676"/>
      <c r="I7615" s="477"/>
      <c r="J7615" s="1073"/>
      <c r="K7615" s="676"/>
      <c r="L7615" s="676"/>
      <c r="M7615" s="676"/>
      <c r="N7615" s="676"/>
    </row>
    <row r="7616" spans="1:15" x14ac:dyDescent="0.25">
      <c r="A7616" s="676">
        <f t="shared" si="234"/>
        <v>4648</v>
      </c>
      <c r="B7616" s="676"/>
      <c r="C7616" s="473"/>
      <c r="D7616" s="474"/>
      <c r="E7616" s="475"/>
      <c r="F7616" s="676"/>
      <c r="G7616" s="476"/>
      <c r="H7616" s="676"/>
      <c r="I7616" s="477"/>
      <c r="J7616" s="1073"/>
      <c r="K7616" s="676"/>
      <c r="L7616" s="676"/>
      <c r="M7616" s="676"/>
      <c r="N7616" s="676"/>
    </row>
    <row r="7617" spans="1:14" x14ac:dyDescent="0.25">
      <c r="A7617" s="676">
        <f t="shared" si="234"/>
        <v>4649</v>
      </c>
      <c r="B7617" s="676"/>
      <c r="C7617" s="473"/>
      <c r="D7617" s="474"/>
      <c r="E7617" s="475"/>
      <c r="F7617" s="676"/>
      <c r="G7617" s="476"/>
      <c r="H7617" s="676"/>
      <c r="I7617" s="477"/>
      <c r="J7617" s="1073"/>
      <c r="K7617" s="676"/>
      <c r="L7617" s="676"/>
      <c r="M7617" s="676"/>
      <c r="N7617" s="676"/>
    </row>
    <row r="7618" spans="1:14" x14ac:dyDescent="0.25">
      <c r="A7618" s="676">
        <f t="shared" si="234"/>
        <v>4650</v>
      </c>
      <c r="B7618" s="676"/>
      <c r="C7618" s="473"/>
      <c r="D7618" s="474"/>
      <c r="E7618" s="475"/>
      <c r="F7618" s="676"/>
      <c r="G7618" s="476"/>
      <c r="H7618" s="676"/>
      <c r="I7618" s="477"/>
      <c r="J7618" s="1073"/>
      <c r="K7618" s="676"/>
      <c r="L7618" s="676"/>
      <c r="M7618" s="676"/>
      <c r="N7618" s="676"/>
    </row>
    <row r="7619" spans="1:14" x14ac:dyDescent="0.25">
      <c r="A7619" s="676">
        <f t="shared" si="234"/>
        <v>4651</v>
      </c>
      <c r="B7619" s="676"/>
      <c r="C7619" s="473"/>
      <c r="D7619" s="474"/>
      <c r="E7619" s="475"/>
      <c r="F7619" s="676"/>
      <c r="G7619" s="476"/>
      <c r="H7619" s="676"/>
      <c r="I7619" s="477"/>
      <c r="J7619" s="1073"/>
      <c r="K7619" s="676"/>
      <c r="L7619" s="676"/>
      <c r="M7619" s="676"/>
      <c r="N7619" s="676"/>
    </row>
    <row r="7620" spans="1:14" x14ac:dyDescent="0.25">
      <c r="A7620" s="676">
        <f t="shared" si="234"/>
        <v>4652</v>
      </c>
      <c r="B7620" s="676"/>
      <c r="C7620" s="473"/>
      <c r="D7620" s="474"/>
      <c r="E7620" s="475"/>
      <c r="F7620" s="676"/>
      <c r="G7620" s="476"/>
      <c r="H7620" s="676"/>
      <c r="I7620" s="477"/>
      <c r="J7620" s="1073"/>
      <c r="K7620" s="676"/>
      <c r="L7620" s="676"/>
      <c r="M7620" s="676"/>
      <c r="N7620" s="676"/>
    </row>
    <row r="7621" spans="1:14" x14ac:dyDescent="0.25">
      <c r="A7621" s="676">
        <f t="shared" si="234"/>
        <v>4653</v>
      </c>
      <c r="B7621" s="676"/>
      <c r="C7621" s="473"/>
      <c r="D7621" s="474"/>
      <c r="E7621" s="475"/>
      <c r="F7621" s="676"/>
      <c r="G7621" s="476"/>
      <c r="H7621" s="676"/>
      <c r="I7621" s="477"/>
      <c r="J7621" s="1073"/>
      <c r="K7621" s="676"/>
      <c r="L7621" s="676"/>
      <c r="M7621" s="676"/>
      <c r="N7621" s="676"/>
    </row>
    <row r="7622" spans="1:14" x14ac:dyDescent="0.25">
      <c r="A7622" s="676">
        <f t="shared" si="234"/>
        <v>4654</v>
      </c>
      <c r="B7622" s="676"/>
      <c r="C7622" s="473"/>
      <c r="D7622" s="474"/>
      <c r="E7622" s="475"/>
      <c r="F7622" s="676"/>
      <c r="G7622" s="476"/>
      <c r="H7622" s="676"/>
      <c r="I7622" s="477"/>
      <c r="J7622" s="1073"/>
      <c r="K7622" s="676"/>
      <c r="L7622" s="676"/>
      <c r="M7622" s="676"/>
      <c r="N7622" s="676"/>
    </row>
  </sheetData>
  <autoFilter ref="A2:R7622" xr:uid="{9E4C531E-AD50-422A-AC7C-8C5AF4C19268}">
    <filterColumn colId="10">
      <filters blank="1"/>
    </filterColumn>
  </autoFilter>
  <mergeCells count="2038">
    <mergeCell ref="A7529:A7531"/>
    <mergeCell ref="A7532:A7533"/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522:A7523"/>
    <mergeCell ref="A7524:A7525"/>
    <mergeCell ref="A7514:A7517"/>
    <mergeCell ref="A7518:A7520"/>
    <mergeCell ref="A7508:A7509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5402:A5403"/>
    <mergeCell ref="A5497:A5498"/>
    <mergeCell ref="A5499:A5500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599:A5600"/>
    <mergeCell ref="A6601:A6602"/>
    <mergeCell ref="A6552:A6554"/>
    <mergeCell ref="A6663:A6664"/>
    <mergeCell ref="A6644:A6647"/>
    <mergeCell ref="A6585:A6586"/>
    <mergeCell ref="A6649:A6651"/>
    <mergeCell ref="A5609:A5610"/>
    <mergeCell ref="A5619:A5620"/>
    <mergeCell ref="A5621:A5622"/>
    <mergeCell ref="A6589:A6590"/>
    <mergeCell ref="A6668:A6669"/>
    <mergeCell ref="G6604:G6605"/>
    <mergeCell ref="A5625:A5626"/>
    <mergeCell ref="A6624:A6625"/>
    <mergeCell ref="A6629:A6631"/>
    <mergeCell ref="A5606:A5607"/>
    <mergeCell ref="A6617:A6618"/>
    <mergeCell ref="A6678:A6679"/>
    <mergeCell ref="A5623:A5624"/>
    <mergeCell ref="A6635:A6637"/>
    <mergeCell ref="A6709:A6712"/>
    <mergeCell ref="A6611:A6612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418:A5419"/>
    <mergeCell ref="A5513:A5514"/>
    <mergeCell ref="A5527:A5528"/>
    <mergeCell ref="A5489:A5490"/>
    <mergeCell ref="A5400:A5401"/>
    <mergeCell ref="A5501:A5502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21:A1522"/>
    <mergeCell ref="A1523:A1524"/>
    <mergeCell ref="A1570:A1571"/>
    <mergeCell ref="A1572:A1573"/>
    <mergeCell ref="A1575:A157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A1407:A1408"/>
    <mergeCell ref="A1421:A1422"/>
    <mergeCell ref="A1459:A1460"/>
    <mergeCell ref="A1464:A1465"/>
    <mergeCell ref="A1469:A1470"/>
    <mergeCell ref="A1471:A1472"/>
    <mergeCell ref="A1409:A1410"/>
    <mergeCell ref="A1412:A1413"/>
    <mergeCell ref="A1415:A1416"/>
    <mergeCell ref="A1418:A1419"/>
    <mergeCell ref="G1418:G1419"/>
    <mergeCell ref="G1459:G1460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6560:G6561"/>
    <mergeCell ref="A6769:A6770"/>
    <mergeCell ref="A6785:A6786"/>
    <mergeCell ref="A6780:A6781"/>
    <mergeCell ref="A6771:A6774"/>
    <mergeCell ref="A6782:A6784"/>
    <mergeCell ref="A6721:A6722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6608:A6609"/>
    <mergeCell ref="A5472:A5474"/>
    <mergeCell ref="A6673:A6674"/>
    <mergeCell ref="A6763:A6765"/>
    <mergeCell ref="G1401:G1404"/>
    <mergeCell ref="A6640:A6642"/>
    <mergeCell ref="A6675:A6676"/>
    <mergeCell ref="G6660:G6661"/>
    <mergeCell ref="A6759:A6762"/>
    <mergeCell ref="A6889:A6890"/>
    <mergeCell ref="A6908:A6911"/>
    <mergeCell ref="A6912:A6913"/>
    <mergeCell ref="A6893:A6895"/>
    <mergeCell ref="G6861:G686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98:A6699"/>
    <mergeCell ref="G6080:G6081"/>
    <mergeCell ref="A6750:A6752"/>
    <mergeCell ref="A6756:A6758"/>
    <mergeCell ref="A6738:A6739"/>
    <mergeCell ref="A6766:A6767"/>
    <mergeCell ref="A6920:A6922"/>
    <mergeCell ref="G6785:G6786"/>
    <mergeCell ref="G6787:G6788"/>
    <mergeCell ref="A6801:A6802"/>
    <mergeCell ref="A6915:A6919"/>
    <mergeCell ref="A6887:A6888"/>
    <mergeCell ref="A6854:A6855"/>
    <mergeCell ref="A6975:A6978"/>
    <mergeCell ref="A6985:A6986"/>
    <mergeCell ref="A6987:A6988"/>
    <mergeCell ref="A6968:A6969"/>
    <mergeCell ref="A6948:A6950"/>
    <mergeCell ref="G6878:G6879"/>
    <mergeCell ref="A6870:A6872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6595:A6599"/>
    <mergeCell ref="G6718:G6720"/>
    <mergeCell ref="A6604:A6605"/>
    <mergeCell ref="G6999:G7003"/>
    <mergeCell ref="A7004:A7005"/>
    <mergeCell ref="A7017:A7019"/>
    <mergeCell ref="A7042:A7046"/>
    <mergeCell ref="A7047:A7049"/>
    <mergeCell ref="A7050:A7053"/>
    <mergeCell ref="A7011:A7013"/>
    <mergeCell ref="A6695:A6697"/>
    <mergeCell ref="A6700:A6702"/>
    <mergeCell ref="G6721:G6722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6856:A6859"/>
    <mergeCell ref="A6817:A6821"/>
    <mergeCell ref="A6891:A6892"/>
    <mergeCell ref="A6881:A6882"/>
    <mergeCell ref="A6861:A6863"/>
    <mergeCell ref="A6992:A6995"/>
    <mergeCell ref="A6703:A6706"/>
    <mergeCell ref="A6741:A6743"/>
    <mergeCell ref="A6744:A6746"/>
    <mergeCell ref="A6747:A6749"/>
    <mergeCell ref="A6840:A6843"/>
    <mergeCell ref="A6939:A6940"/>
    <mergeCell ref="A7078:A7079"/>
    <mergeCell ref="A7080:A7081"/>
    <mergeCell ref="G7080:G7081"/>
    <mergeCell ref="A7058:A7061"/>
    <mergeCell ref="A7144:A7147"/>
    <mergeCell ref="A7148:A7150"/>
    <mergeCell ref="G7148:G7150"/>
    <mergeCell ref="A7151:A7153"/>
    <mergeCell ref="A7131:A7134"/>
    <mergeCell ref="A7112:A7114"/>
    <mergeCell ref="A7115:A7118"/>
    <mergeCell ref="A7093:A7094"/>
    <mergeCell ref="G7115:G7118"/>
    <mergeCell ref="A7095:A7096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99:A7003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167:A7168"/>
    <mergeCell ref="A7185:A7187"/>
    <mergeCell ref="A7188:A7190"/>
    <mergeCell ref="G7173:G7176"/>
    <mergeCell ref="A7161:A7162"/>
    <mergeCell ref="A7163:A7164"/>
    <mergeCell ref="A7129:A7130"/>
    <mergeCell ref="G7129:G7130"/>
    <mergeCell ref="G7127:G7128"/>
    <mergeCell ref="A7127:A7128"/>
    <mergeCell ref="A7110:A7111"/>
    <mergeCell ref="A7135:A7137"/>
    <mergeCell ref="G7135:G7137"/>
    <mergeCell ref="A7104:A7105"/>
    <mergeCell ref="A7076:A7077"/>
    <mergeCell ref="A7138:A7139"/>
    <mergeCell ref="A7097:A7102"/>
    <mergeCell ref="A7106:A7109"/>
    <mergeCell ref="A7086:A7087"/>
    <mergeCell ref="G7204:G7205"/>
    <mergeCell ref="A7206:A7207"/>
    <mergeCell ref="G7206:G7207"/>
    <mergeCell ref="A7196:A7198"/>
    <mergeCell ref="A7209:A7210"/>
    <mergeCell ref="A7201:A7203"/>
    <mergeCell ref="A7204:A7205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199:A7200"/>
    <mergeCell ref="A7218:A7219"/>
    <mergeCell ref="A7259:A7261"/>
    <mergeCell ref="A7583:A7584"/>
    <mergeCell ref="A7585:A7589"/>
    <mergeCell ref="A7594:A7596"/>
    <mergeCell ref="A7600:A7601"/>
    <mergeCell ref="A7602:A7603"/>
    <mergeCell ref="A7604:A7606"/>
    <mergeCell ref="A7561:A7562"/>
    <mergeCell ref="A7564:A7566"/>
    <mergeCell ref="A7568:A7569"/>
    <mergeCell ref="A7571:A7575"/>
    <mergeCell ref="A7576:A7577"/>
    <mergeCell ref="A7578:A7580"/>
    <mergeCell ref="G7545:G7546"/>
    <mergeCell ref="G7534:G7535"/>
    <mergeCell ref="A7549:A7550"/>
    <mergeCell ref="G7549:G7550"/>
    <mergeCell ref="A7536:A7538"/>
    <mergeCell ref="A7539:A7540"/>
    <mergeCell ref="A7545:A7547"/>
    <mergeCell ref="A7551:A7552"/>
    <mergeCell ref="A7553:A7554"/>
    <mergeCell ref="A7534:A7535"/>
    <mergeCell ref="A7590:A7591"/>
    <mergeCell ref="G7590:G7591"/>
    <mergeCell ref="A7592:A7593"/>
    <mergeCell ref="G7592:G759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2026-10-27T12:33:45Z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