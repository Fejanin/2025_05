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553983B7-D990-49F5-A52E-494BF68821BD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Лист1!$A$2:$N$6868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A6851" i="1" l="1"/>
  <c r="O6825" i="1" l="1"/>
  <c r="K6792" i="1"/>
  <c r="K6793" i="1"/>
  <c r="K6794" i="1"/>
  <c r="K6795" i="1"/>
  <c r="K6796" i="1"/>
  <c r="K6797" i="1"/>
  <c r="K6798" i="1"/>
  <c r="K6799" i="1"/>
  <c r="K6800" i="1"/>
  <c r="K6801" i="1"/>
  <c r="K6802" i="1"/>
  <c r="K6791" i="1"/>
  <c r="O6829" i="1" l="1"/>
  <c r="O6830" i="1" l="1"/>
  <c r="O6834" i="1"/>
  <c r="O6822" i="1"/>
  <c r="O6823" i="1"/>
  <c r="O6824" i="1"/>
  <c r="O6828" i="1"/>
  <c r="O6833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s="1"/>
  <c r="A6804" i="1" s="1"/>
  <c r="A6805" i="1" l="1"/>
  <c r="A6806" i="1" l="1"/>
  <c r="A6807" i="1" l="1"/>
  <c r="A6808" i="1" s="1"/>
  <c r="A6812" i="1" s="1"/>
  <c r="A6816" i="1" l="1"/>
  <c r="A6817" i="1" l="1"/>
  <c r="A6822" i="1" l="1"/>
  <c r="A6828" i="1" l="1"/>
  <c r="A6831" i="1" s="1"/>
  <c r="A6833" i="1" s="1"/>
  <c r="A6835" i="1" l="1"/>
  <c r="A6836" i="1" s="1"/>
  <c r="A6838" i="1" s="1"/>
  <c r="A6840" i="1" l="1"/>
  <c r="A6843" i="1"/>
  <c r="A6844" i="1" s="1"/>
  <c r="A6845" i="1" l="1"/>
  <c r="A6848" i="1" l="1"/>
  <c r="A6849" i="1" s="1"/>
  <c r="A6853" i="1" s="1"/>
  <c r="A6855" i="1" s="1"/>
  <c r="A6856" i="1" s="1"/>
  <c r="A6857" i="1" s="1"/>
  <c r="A6858" i="1" s="1"/>
  <c r="A6859" i="1" s="1"/>
  <c r="A6860" i="1" s="1"/>
  <c r="A6861" i="1" s="1"/>
  <c r="A6862" i="1" s="1"/>
  <c r="A6864" i="1" s="1"/>
  <c r="A6865" i="1" s="1"/>
  <c r="A6866" i="1" s="1"/>
  <c r="A6867" i="1" s="1"/>
  <c r="A6868" i="1" s="1"/>
</calcChain>
</file>

<file path=xl/sharedStrings.xml><?xml version="1.0" encoding="utf-8"?>
<sst xmlns="http://schemas.openxmlformats.org/spreadsheetml/2006/main" count="43357" uniqueCount="1803">
  <si>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</si>
  <si>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</si>
  <si>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</si>
  <si>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</si>
  <si>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</si>
  <si>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</si>
  <si>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</si>
  <si>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</si>
  <si>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</si>
  <si>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</si>
  <si>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</si>
  <si>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</si>
  <si>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</si>
  <si>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</si>
  <si>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</si>
  <si>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</si>
  <si>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</si>
  <si>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</si>
  <si>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</si>
  <si>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</si>
  <si>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</si>
  <si>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</si>
  <si>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</si>
  <si>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</si>
  <si>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</si>
  <si>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</si>
  <si>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</si>
  <si>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</si>
  <si>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</si>
  <si>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</si>
  <si>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</si>
  <si>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</si>
  <si>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</si>
  <si>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</si>
  <si>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</si>
  <si>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</si>
  <si>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</si>
  <si>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</si>
  <si>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</si>
  <si>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</si>
  <si>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</si>
  <si>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</si>
  <si>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</si>
  <si>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</si>
  <si>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</si>
  <si>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</si>
  <si>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</si>
  <si>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</si>
  <si>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</si>
  <si>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</si>
  <si>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</si>
  <si>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</si>
  <si>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</si>
  <si>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</si>
  <si>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</si>
  <si>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</si>
  <si>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</si>
  <si>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</si>
  <si>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</si>
  <si>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</si>
  <si>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</si>
  <si>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</si>
  <si>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</si>
  <si>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</si>
  <si>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</si>
  <si>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</si>
  <si>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</si>
  <si>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</si>
  <si>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</si>
  <si>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</si>
  <si>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</si>
  <si>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</si>
  <si>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</si>
  <si>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</si>
  <si>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</si>
  <si>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</si>
  <si>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</si>
  <si>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</si>
  <si>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</si>
  <si>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</si>
  <si>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</si>
  <si>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</si>
  <si>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</si>
  <si>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</si>
  <si>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</si>
  <si>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</si>
  <si>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</si>
  <si>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</si>
  <si>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</si>
  <si>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</si>
  <si>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</si>
  <si>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</si>
  <si>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</si>
  <si>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</si>
  <si>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</si>
  <si>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</si>
  <si>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</si>
  <si>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</si>
  <si>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</si>
  <si>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</si>
  <si>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</si>
  <si>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</si>
  <si>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</si>
  <si>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</si>
  <si>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</si>
  <si>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</si>
  <si>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</si>
  <si>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</si>
  <si>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</si>
  <si>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</si>
  <si>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</si>
  <si>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</si>
  <si>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</si>
  <si>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</si>
  <si>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</si>
  <si>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</si>
  <si>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</si>
  <si>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</si>
  <si>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</si>
  <si>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</si>
  <si>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</si>
  <si>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</si>
  <si>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</si>
  <si>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</si>
  <si>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</si>
  <si>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</si>
  <si>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</si>
  <si>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</si>
  <si>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</si>
  <si>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</si>
  <si>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</si>
  <si>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</si>
  <si>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</si>
  <si>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</si>
  <si>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</si>
  <si>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</si>
  <si>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</si>
  <si>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</si>
  <si>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</si>
  <si>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</si>
  <si>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</si>
  <si>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</si>
  <si>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</si>
  <si>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</si>
  <si>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</si>
  <si>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</si>
  <si>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</si>
  <si>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</si>
  <si>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</si>
  <si>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</si>
  <si>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</si>
  <si>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</si>
  <si>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</si>
  <si>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</si>
  <si>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</si>
  <si>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</si>
  <si>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</si>
  <si>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</si>
  <si>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</si>
  <si>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</si>
  <si>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</si>
  <si>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</si>
  <si>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</si>
  <si>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</si>
  <si>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</si>
  <si>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</si>
  <si>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</si>
  <si>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</si>
  <si>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</si>
  <si>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</si>
  <si>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</si>
  <si>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</si>
  <si>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</si>
  <si>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</si>
  <si>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</si>
  <si>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</si>
  <si>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</si>
  <si>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</si>
  <si>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</si>
  <si>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</si>
  <si>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</si>
  <si>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</si>
  <si>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</si>
  <si>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</si>
  <si>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</si>
  <si>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</si>
  <si>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</si>
  <si>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</si>
  <si>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</si>
  <si>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</si>
  <si>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</si>
  <si>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</si>
  <si>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</si>
  <si>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</si>
  <si>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</si>
  <si>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</si>
  <si>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</si>
  <si>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</si>
  <si>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</si>
  <si>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</si>
  <si>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</si>
  <si>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</si>
  <si>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</si>
  <si>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</si>
  <si>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</si>
  <si>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</si>
  <si>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</si>
  <si>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</si>
  <si>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</si>
  <si>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</si>
  <si>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</si>
  <si>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</si>
  <si>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</si>
  <si>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</si>
  <si>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</si>
  <si>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</si>
  <si>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</si>
  <si>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</si>
  <si>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</si>
  <si>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</si>
  <si>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</si>
  <si>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</si>
  <si>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</si>
  <si>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</si>
  <si>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</si>
  <si>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</si>
  <si>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</si>
  <si>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</si>
  <si>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</si>
  <si>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</si>
  <si>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</si>
  <si>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</si>
  <si>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</si>
  <si>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</si>
  <si>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</si>
  <si>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</si>
  <si>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</si>
  <si>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</si>
  <si>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</si>
  <si>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</si>
  <si>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</si>
  <si>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</si>
  <si>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</si>
  <si>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</si>
  <si>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</si>
  <si>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</si>
  <si>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</si>
  <si>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</si>
  <si>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</si>
  <si>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</si>
  <si>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</si>
  <si>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</si>
  <si>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</si>
  <si>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</si>
  <si>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</si>
  <si>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</si>
  <si>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</si>
  <si>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</si>
  <si>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</si>
  <si>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</si>
  <si>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</si>
  <si>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</si>
  <si>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</si>
  <si>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</si>
  <si>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</si>
  <si>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</si>
  <si>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</si>
  <si>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</si>
  <si>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</si>
  <si>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</si>
  <si>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</si>
  <si>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</si>
  <si>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</si>
  <si>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</si>
  <si>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</si>
  <si>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</si>
  <si>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</si>
  <si>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</si>
  <si>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</si>
  <si>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</si>
  <si>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</si>
  <si>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</si>
  <si>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</si>
  <si>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</si>
  <si>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</si>
  <si>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</si>
  <si>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</si>
  <si>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</si>
  <si>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</si>
  <si>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</si>
  <si>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</si>
  <si>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</si>
  <si>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</si>
  <si>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</si>
  <si>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</si>
  <si>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</si>
  <si>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</si>
  <si>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</si>
  <si>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</si>
  <si>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</si>
  <si>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</si>
  <si>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</si>
  <si>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</si>
  <si>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</si>
  <si>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</si>
  <si>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</si>
  <si>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</si>
  <si>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</si>
  <si>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</si>
  <si>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</si>
  <si>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</si>
  <si>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</si>
  <si>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</si>
  <si>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</si>
  <si>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</si>
  <si>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</si>
  <si>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</si>
  <si>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</si>
  <si>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</si>
  <si>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</si>
  <si>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</si>
  <si>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</si>
  <si>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</si>
  <si>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</si>
  <si>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</si>
  <si>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</si>
  <si>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</si>
  <si>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</si>
  <si>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</si>
  <si>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</si>
  <si>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</si>
  <si>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</si>
  <si>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</si>
  <si>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</si>
  <si>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</si>
  <si>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</si>
  <si>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</si>
  <si>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</si>
  <si>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</si>
  <si>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</si>
  <si>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</si>
  <si>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</si>
  <si>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</si>
  <si>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</si>
  <si>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</si>
  <si>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</si>
  <si>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</si>
  <si>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</si>
  <si>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</si>
  <si>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</si>
  <si>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</si>
  <si>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</si>
  <si>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</si>
  <si>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</si>
  <si>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</si>
  <si>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</si>
  <si>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</si>
  <si>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</si>
  <si>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</si>
  <si>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</si>
  <si>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</si>
  <si>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</si>
  <si>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</si>
  <si>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</si>
  <si>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</si>
  <si>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</si>
  <si>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</si>
  <si>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</si>
  <si>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</si>
  <si>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</si>
  <si>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</si>
  <si>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</si>
  <si>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</si>
  <si>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</si>
  <si>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</si>
  <si>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</si>
  <si>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</si>
  <si>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</si>
  <si>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</si>
  <si>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</si>
  <si>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</si>
  <si>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</si>
  <si>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</si>
  <si>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</si>
  <si>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</si>
  <si>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</si>
  <si>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</si>
  <si>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</si>
  <si>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</si>
  <si>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</si>
  <si>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</si>
  <si>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</si>
  <si>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</si>
  <si>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</si>
  <si>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</si>
  <si>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</si>
  <si>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</si>
  <si>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</si>
  <si>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</si>
  <si>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</si>
  <si>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</si>
  <si>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</si>
  <si>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</si>
  <si>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</si>
  <si>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</si>
  <si>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</si>
  <si>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</si>
  <si>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</si>
  <si>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</si>
  <si>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</si>
  <si>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</si>
  <si>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</si>
  <si>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</si>
  <si>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</si>
  <si>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</si>
  <si>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</si>
  <si>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</si>
  <si>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</si>
  <si>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</si>
  <si>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</si>
  <si>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</si>
  <si>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</si>
  <si>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</si>
  <si>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</si>
  <si>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</si>
  <si>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</si>
  <si>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</si>
  <si>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</si>
  <si>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</si>
  <si>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</si>
  <si>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</si>
  <si>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</si>
  <si>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</si>
  <si>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</si>
  <si>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</si>
  <si>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</si>
  <si>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</si>
  <si>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</si>
  <si>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</si>
  <si>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</si>
  <si>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</si>
  <si>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</si>
  <si>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</si>
  <si>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</si>
  <si>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</si>
  <si>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</si>
  <si>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</si>
  <si>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</si>
  <si>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</si>
  <si>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</si>
  <si>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</si>
  <si>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</si>
  <si>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</si>
  <si>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</si>
  <si>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</si>
  <si>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</si>
  <si>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</si>
  <si>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</si>
  <si>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</si>
  <si>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</si>
  <si>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</si>
  <si>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</si>
  <si>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</si>
  <si>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</si>
  <si>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</si>
  <si>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</si>
  <si>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</si>
  <si>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</si>
  <si>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</si>
  <si>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</si>
  <si>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</si>
  <si>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</si>
  <si>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</si>
  <si>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</si>
  <si>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</si>
  <si>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</si>
  <si>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</si>
  <si>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</si>
  <si>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</si>
  <si>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</si>
  <si>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</si>
  <si>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</si>
  <si>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</si>
  <si>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</si>
  <si>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</si>
  <si>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</si>
  <si>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</si>
  <si>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</si>
  <si>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</si>
  <si>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</si>
  <si>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</si>
  <si>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</si>
  <si>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</si>
  <si>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</si>
  <si>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</si>
  <si>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</si>
  <si>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</si>
  <si>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</si>
  <si>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</si>
  <si>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</si>
  <si>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</si>
  <si>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</si>
  <si>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</si>
  <si>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</si>
  <si>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</si>
  <si>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</si>
  <si>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</si>
  <si>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</si>
  <si>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</si>
  <si>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</si>
  <si>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</si>
  <si>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</si>
  <si>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</si>
  <si>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</si>
  <si>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</si>
  <si>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</si>
  <si>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</si>
  <si>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</si>
  <si>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</si>
  <si>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</si>
  <si>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</si>
  <si>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</si>
  <si>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</si>
  <si>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</si>
  <si>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</si>
  <si>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</si>
  <si>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</si>
  <si>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</si>
  <si>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</si>
  <si>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</si>
  <si>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</si>
  <si>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</si>
  <si>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</si>
  <si>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</si>
  <si>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</si>
  <si>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</si>
  <si>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</si>
  <si>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</si>
  <si>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</si>
  <si>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</si>
  <si>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</si>
  <si>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</si>
  <si>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</si>
  <si>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</si>
  <si>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</si>
  <si>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</si>
  <si>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</si>
  <si>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</si>
  <si>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</si>
  <si>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</si>
  <si>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</si>
  <si>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</si>
  <si>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</si>
  <si>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</si>
  <si>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</si>
  <si>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</si>
  <si>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</si>
  <si>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</si>
  <si>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</si>
  <si>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</si>
  <si>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</si>
  <si>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</si>
  <si>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</si>
  <si>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</si>
  <si>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</si>
  <si>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</si>
  <si>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</si>
  <si>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</si>
  <si>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</si>
  <si>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</si>
  <si>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</si>
  <si>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</si>
  <si>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</si>
  <si>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</si>
  <si>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</si>
  <si>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</si>
  <si>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</si>
  <si>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</si>
  <si>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</si>
  <si>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</si>
  <si>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</si>
  <si>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</si>
  <si>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</si>
  <si>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</si>
  <si>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</si>
  <si>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</si>
  <si>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</si>
  <si>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</si>
  <si>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</si>
  <si>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</si>
  <si>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</si>
  <si>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</si>
  <si>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</si>
  <si>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</si>
  <si>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</si>
  <si>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</si>
  <si>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</si>
  <si>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</si>
  <si>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</si>
  <si>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</si>
  <si>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</si>
  <si>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</si>
  <si>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</si>
  <si>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</si>
  <si>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</si>
  <si>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</si>
  <si>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</si>
  <si>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</si>
  <si>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</si>
  <si>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</si>
  <si>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</si>
  <si>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</si>
  <si>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</si>
  <si>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</si>
  <si>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</si>
  <si>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</si>
  <si>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</si>
  <si>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</si>
  <si>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</si>
  <si>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</si>
  <si>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</si>
  <si>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</si>
  <si>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</si>
  <si>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</si>
  <si>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</si>
  <si>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</si>
  <si>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</si>
  <si>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</si>
  <si>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</si>
  <si>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</si>
  <si>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</si>
  <si>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</si>
  <si>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</si>
  <si>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</si>
  <si>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</si>
  <si>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</si>
  <si>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</si>
  <si>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</si>
  <si>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</si>
  <si>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</si>
  <si>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</si>
  <si>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</si>
  <si>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</si>
  <si>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</si>
  <si>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</si>
  <si>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</si>
  <si>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</si>
  <si>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</si>
  <si>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</si>
  <si>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</si>
  <si>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</si>
  <si>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</si>
  <si>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</si>
  <si>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</si>
  <si>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</si>
  <si>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</si>
  <si>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</si>
  <si>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</si>
  <si>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</si>
  <si>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</si>
  <si>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</si>
  <si>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</si>
  <si>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</si>
  <si>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</si>
  <si>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</si>
  <si>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</si>
  <si>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</si>
  <si>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</si>
  <si>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</si>
  <si>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</si>
  <si>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</si>
  <si>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</si>
  <si>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</si>
  <si>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</si>
  <si>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</si>
  <si>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</si>
  <si>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</si>
  <si>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</si>
  <si>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</si>
  <si>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</si>
  <si>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</si>
  <si>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</si>
  <si>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</si>
  <si>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</si>
  <si>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</si>
  <si>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</si>
  <si>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</si>
  <si>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</si>
  <si>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</si>
  <si>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</si>
  <si>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</si>
  <si>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</si>
  <si>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</si>
  <si>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</si>
  <si>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</si>
  <si>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</si>
  <si>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</si>
  <si>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</si>
  <si>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</si>
  <si>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</si>
  <si>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</si>
  <si>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</si>
  <si>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</si>
  <si>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</si>
  <si>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</si>
  <si>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</si>
  <si>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</si>
  <si>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</si>
  <si>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</si>
  <si>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</si>
  <si>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</si>
  <si>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</si>
  <si>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</si>
  <si>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</si>
  <si>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</si>
  <si>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</si>
  <si>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</si>
  <si>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</si>
  <si>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</si>
  <si>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</si>
  <si>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</si>
  <si>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</si>
  <si>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</si>
  <si>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</si>
  <si>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</si>
  <si>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</si>
  <si>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</si>
  <si>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</si>
  <si>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</si>
  <si>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</si>
  <si>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</si>
  <si>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</si>
  <si>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</si>
  <si>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</si>
  <si>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</si>
  <si>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</si>
  <si>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</si>
  <si>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</si>
  <si>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</si>
  <si>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</si>
  <si>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</si>
  <si>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</si>
  <si>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</si>
  <si>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</si>
  <si>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</si>
  <si>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</si>
  <si>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</si>
  <si>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</si>
  <si>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</si>
  <si>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</si>
  <si>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</si>
  <si>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</si>
  <si>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</si>
  <si>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</si>
  <si>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</si>
  <si>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</si>
  <si>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</si>
  <si>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</si>
  <si>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</si>
  <si>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</si>
  <si>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</si>
  <si>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</si>
  <si>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</si>
  <si>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</si>
  <si>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</si>
  <si>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</si>
  <si>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</si>
  <si>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</si>
  <si>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</si>
  <si>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</si>
  <si>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</si>
  <si>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</si>
  <si>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</si>
  <si>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</si>
  <si>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</si>
  <si>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</si>
  <si>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</si>
  <si>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</si>
  <si>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</si>
  <si>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</si>
  <si>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</si>
  <si>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</si>
  <si>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</si>
  <si>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</si>
  <si>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</si>
  <si>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</si>
  <si>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</si>
  <si>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</si>
  <si>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</si>
  <si>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</si>
  <si>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</si>
  <si>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</si>
  <si>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</si>
  <si>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</si>
  <si>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</si>
  <si>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</si>
  <si>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</si>
  <si>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</si>
  <si>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</si>
  <si>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</si>
  <si>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</si>
  <si>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</si>
  <si>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</si>
  <si>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</si>
  <si>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</si>
  <si>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</si>
  <si>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</si>
  <si>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</si>
  <si>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</si>
  <si>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</si>
  <si>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</si>
  <si>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</si>
  <si>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</si>
  <si>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</si>
  <si>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</si>
  <si>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</si>
  <si>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</si>
  <si>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</si>
  <si>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</si>
  <si>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</si>
  <si>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</si>
  <si>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</si>
  <si>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</si>
  <si>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</si>
  <si>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</si>
  <si>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</si>
  <si>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</si>
  <si>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</si>
  <si>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</si>
  <si>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</si>
  <si>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</si>
  <si>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</si>
  <si>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</si>
  <si>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</si>
  <si>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</si>
  <si>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</si>
  <si>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</si>
  <si>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</si>
  <si>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</si>
  <si>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</si>
  <si>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</si>
  <si>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</si>
  <si>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</si>
  <si>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</si>
  <si>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</si>
  <si>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</si>
  <si>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</si>
  <si>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</si>
  <si>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</si>
  <si>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</si>
  <si>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</si>
  <si>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</si>
  <si>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</si>
  <si>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</si>
  <si>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</si>
  <si>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</si>
  <si>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</si>
  <si>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</si>
  <si>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</si>
  <si>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</si>
  <si>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</si>
  <si>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</si>
  <si>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</si>
  <si>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</si>
  <si>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</si>
  <si>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</si>
  <si>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</si>
  <si>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</si>
  <si>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</si>
  <si>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</si>
  <si>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</si>
  <si>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</si>
  <si>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</si>
  <si>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</si>
  <si>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</si>
  <si>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</si>
  <si>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</si>
  <si>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</si>
  <si>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</si>
  <si>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</si>
  <si>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</si>
  <si>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</si>
  <si>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</si>
  <si>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</si>
  <si>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</si>
  <si>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</si>
  <si>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</si>
  <si>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</si>
  <si>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</si>
  <si>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</si>
  <si>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</si>
  <si>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</si>
  <si>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</si>
  <si>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</si>
  <si>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</si>
  <si>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</si>
  <si>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</si>
  <si>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</si>
  <si>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</si>
  <si>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</si>
  <si>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</si>
  <si>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</si>
  <si>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</si>
  <si>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</si>
  <si>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</si>
  <si>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</si>
  <si>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</si>
  <si>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</si>
  <si>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</si>
  <si>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</si>
  <si>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</si>
  <si>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</si>
  <si>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</si>
  <si>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</si>
  <si>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</si>
  <si>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</si>
  <si>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</si>
  <si>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</si>
  <si>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</si>
  <si>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</si>
  <si>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</si>
  <si>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</si>
  <si>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</si>
  <si>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</si>
  <si>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</si>
  <si>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</si>
  <si>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</si>
  <si>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</si>
  <si>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</si>
  <si>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</si>
  <si>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</si>
  <si>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</si>
  <si>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</si>
  <si>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</si>
  <si>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</si>
  <si>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</si>
  <si>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</si>
  <si>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</si>
  <si>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</si>
  <si>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</si>
  <si>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</si>
  <si>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</si>
  <si>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</si>
  <si>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</si>
  <si>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</si>
  <si>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</si>
  <si>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</si>
  <si>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</si>
  <si>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</si>
  <si>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</si>
  <si>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</si>
  <si>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</si>
  <si>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</si>
  <si>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</si>
  <si>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</si>
  <si>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</si>
  <si>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</si>
  <si>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</si>
  <si>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</si>
  <si>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</si>
  <si>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</si>
  <si>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</si>
  <si>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</si>
  <si>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</si>
  <si>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</si>
  <si>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</si>
  <si>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</si>
  <si>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</si>
  <si>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</si>
  <si>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</si>
  <si>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</si>
  <si>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</si>
  <si>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</si>
  <si>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</si>
  <si>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</si>
  <si>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</si>
  <si>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</si>
  <si>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</si>
  <si>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</si>
  <si>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</si>
  <si>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</si>
  <si>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</si>
  <si>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</si>
  <si>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</si>
  <si>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</si>
  <si>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</si>
  <si>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</si>
  <si>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</si>
  <si>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</si>
  <si>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</si>
  <si>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</si>
  <si>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</si>
  <si>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</si>
  <si>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</si>
  <si>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</si>
  <si>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</si>
  <si>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</si>
  <si>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</si>
  <si>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</si>
  <si>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</si>
  <si>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</si>
  <si>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</si>
  <si>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</si>
  <si>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</si>
  <si>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</si>
  <si>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</si>
  <si>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</si>
  <si>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</si>
  <si>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</si>
  <si>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</si>
  <si>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</si>
  <si>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</si>
  <si>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</si>
  <si>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</si>
  <si>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</si>
  <si>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</si>
  <si>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</si>
  <si>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</si>
  <si>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</si>
  <si>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</si>
  <si>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</si>
  <si>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</si>
  <si>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</si>
  <si>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</si>
  <si>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</si>
  <si>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</si>
  <si>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</si>
  <si>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</si>
  <si>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</si>
  <si>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</si>
  <si>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</si>
  <si>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</si>
  <si>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</si>
  <si>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</si>
  <si>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</si>
  <si>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</si>
  <si>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</si>
  <si>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</si>
  <si>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</si>
  <si>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</si>
  <si>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</si>
  <si>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</si>
  <si>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</si>
  <si>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</si>
  <si>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</si>
  <si>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</si>
  <si>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</si>
  <si>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</si>
  <si>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</si>
  <si>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</si>
  <si>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</si>
  <si>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</si>
  <si>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</si>
  <si>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</si>
  <si>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</si>
  <si>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</si>
  <si>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</si>
  <si>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</si>
  <si>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</si>
  <si>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</si>
  <si>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</si>
  <si>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</si>
  <si>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</si>
  <si>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</si>
  <si>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</si>
  <si>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</si>
  <si>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</si>
  <si>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</si>
  <si>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</si>
  <si>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</si>
  <si>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</si>
  <si>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</si>
  <si>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</si>
  <si>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</si>
  <si>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</si>
  <si>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</si>
  <si>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</si>
  <si>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</si>
  <si>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</si>
  <si>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</si>
  <si>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</si>
  <si>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</si>
  <si>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</si>
  <si>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</si>
  <si>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</si>
  <si>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</si>
  <si>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</si>
  <si>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</si>
  <si>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</si>
  <si>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</si>
  <si>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</si>
  <si>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</si>
  <si>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</si>
  <si>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</si>
  <si>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</si>
  <si>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</si>
  <si>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</si>
  <si>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</si>
  <si>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</si>
  <si>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</si>
  <si>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</si>
  <si>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</si>
  <si>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</si>
  <si>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</si>
  <si>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</si>
  <si>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</si>
  <si>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</si>
  <si>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</si>
  <si>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</si>
  <si>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</si>
  <si>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</si>
  <si>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</si>
  <si>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</si>
  <si>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</si>
  <si>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</si>
  <si>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</si>
  <si>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</si>
  <si>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</si>
  <si>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</si>
  <si>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</si>
  <si>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</si>
  <si>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</si>
  <si>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</si>
  <si>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</si>
  <si>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</si>
  <si>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</si>
  <si>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</si>
  <si>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</si>
  <si>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</si>
  <si>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</si>
  <si>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</si>
  <si>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</si>
  <si>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</si>
  <si>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</si>
  <si>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</si>
  <si>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</si>
  <si>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</si>
  <si>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</si>
  <si>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</si>
  <si>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</si>
  <si>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</si>
  <si>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</si>
  <si>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</si>
  <si>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</si>
  <si>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</si>
  <si>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</si>
  <si>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</si>
  <si>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</si>
  <si>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</si>
  <si>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</si>
  <si>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</si>
  <si>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</si>
  <si>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</si>
  <si>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</si>
  <si>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</si>
  <si>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</si>
  <si>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</si>
  <si>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</si>
  <si>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</si>
  <si>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</si>
  <si>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</si>
  <si>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</si>
  <si>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</si>
  <si>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</si>
  <si>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</si>
  <si>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</si>
  <si>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</si>
  <si>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</si>
  <si>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</si>
  <si>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</si>
  <si>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</si>
  <si>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</si>
  <si>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</si>
  <si>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</si>
  <si>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</si>
  <si>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</si>
  <si>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</si>
  <si>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</si>
  <si>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</si>
  <si>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</si>
  <si>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</si>
  <si>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</si>
  <si>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</si>
  <si>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</si>
  <si>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</si>
  <si>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</si>
  <si>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</si>
  <si>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</si>
  <si>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</si>
  <si>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</si>
  <si>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</si>
  <si>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</si>
  <si>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</si>
  <si>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</si>
  <si>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</si>
  <si>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</si>
  <si>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</si>
  <si>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</si>
  <si>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</si>
  <si>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</si>
  <si>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</si>
  <si>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</si>
  <si>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</si>
  <si>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</si>
  <si>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</si>
  <si>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</si>
  <si>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</si>
  <si>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</si>
  <si>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</si>
  <si>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</si>
  <si>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</si>
  <si>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</si>
  <si>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</si>
  <si>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</si>
  <si>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</si>
  <si>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</si>
  <si>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</si>
  <si>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</si>
  <si>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</si>
  <si>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</si>
  <si>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</si>
  <si>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</si>
  <si>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</si>
  <si>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</si>
  <si>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</si>
  <si>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</si>
  <si>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</si>
  <si>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</si>
  <si>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</si>
  <si>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</si>
  <si>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</si>
  <si>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</si>
  <si>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</si>
  <si>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</si>
  <si>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</si>
  <si>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</si>
  <si>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</si>
  <si>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</si>
  <si>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</si>
  <si>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</si>
  <si>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</si>
  <si>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</si>
  <si>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</si>
  <si>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</si>
  <si>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</si>
  <si>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</si>
  <si>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</si>
  <si>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</si>
  <si>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</si>
  <si>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</si>
  <si>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</si>
  <si>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</si>
  <si>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</si>
  <si>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</si>
  <si>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</si>
  <si>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</si>
  <si>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</si>
  <si>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</si>
  <si>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</si>
  <si>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</si>
  <si>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</si>
  <si>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</si>
  <si>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</si>
  <si>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</si>
  <si>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</si>
  <si>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</si>
  <si>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</si>
  <si>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</si>
  <si>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</si>
  <si>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</si>
  <si>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</si>
  <si>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</si>
  <si>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</si>
  <si>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</si>
  <si>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</si>
  <si>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</si>
  <si>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</si>
  <si>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</si>
  <si>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</si>
  <si>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</si>
  <si>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</si>
  <si>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</si>
  <si>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</si>
  <si>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</si>
  <si>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</si>
  <si>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</si>
  <si>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</si>
  <si>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</si>
  <si>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</si>
  <si>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</si>
  <si>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</si>
  <si>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</si>
  <si>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</si>
  <si>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</si>
  <si>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</si>
  <si>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</si>
  <si>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</si>
  <si>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</si>
  <si>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</si>
  <si>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</si>
  <si>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</si>
  <si>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</si>
  <si>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</si>
  <si>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</si>
  <si>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</si>
  <si>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</si>
  <si>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</si>
  <si>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</si>
  <si>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</si>
  <si>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</si>
  <si>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</si>
  <si>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</si>
  <si>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</si>
  <si>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</si>
  <si>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</si>
  <si>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</si>
  <si>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</si>
  <si>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</si>
  <si>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</si>
  <si>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</si>
  <si>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</si>
  <si>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</si>
  <si>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</si>
  <si>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</si>
  <si>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</si>
  <si>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</si>
  <si>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</si>
  <si>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</si>
  <si>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</si>
  <si>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</si>
  <si>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</si>
  <si>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</si>
  <si>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</si>
  <si>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</si>
  <si>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</si>
  <si>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</si>
  <si>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</si>
  <si>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</si>
  <si>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</si>
  <si>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</si>
  <si>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</si>
  <si>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</si>
  <si>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</si>
  <si>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</si>
  <si>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</si>
  <si>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</si>
  <si>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</si>
  <si>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</si>
  <si>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</si>
  <si>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</si>
  <si>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</si>
  <si>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</si>
  <si>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</si>
  <si>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</si>
  <si>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</si>
  <si>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</si>
  <si>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</si>
  <si>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</si>
  <si>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</si>
  <si>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</si>
  <si>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</si>
  <si>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</si>
  <si>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</si>
  <si>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</si>
  <si>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</si>
  <si>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</si>
  <si>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</si>
  <si>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</si>
  <si>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</si>
  <si>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</si>
  <si>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</si>
  <si>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</si>
  <si>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</si>
  <si>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</si>
  <si>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</si>
  <si>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</si>
  <si>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</si>
  <si>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</si>
  <si>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</si>
  <si>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</si>
  <si>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</si>
  <si>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</si>
  <si>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</si>
  <si>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</si>
  <si>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</si>
  <si>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</si>
  <si>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</si>
  <si>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</si>
  <si>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</si>
  <si>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</si>
  <si>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</si>
  <si>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</si>
  <si>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</si>
  <si>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</si>
  <si>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</si>
  <si>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</si>
  <si>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</si>
  <si>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</si>
  <si>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</si>
  <si>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</si>
  <si>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</si>
  <si>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</si>
  <si>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</si>
  <si>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</si>
  <si>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</si>
  <si>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</si>
  <si>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</si>
  <si>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</si>
  <si>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</si>
  <si>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</si>
  <si>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</si>
  <si>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</si>
  <si>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</si>
  <si>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</si>
  <si>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</si>
  <si>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</si>
  <si>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</si>
  <si>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</si>
  <si>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</si>
  <si>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</si>
  <si>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</si>
  <si>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</si>
  <si>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</si>
  <si>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</si>
  <si>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</si>
  <si>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</si>
  <si>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</si>
  <si>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</si>
  <si>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</si>
  <si>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</si>
  <si>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</si>
  <si>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</si>
  <si>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</si>
  <si>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</si>
  <si>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</si>
  <si>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</si>
  <si>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</si>
  <si>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</si>
  <si>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</si>
  <si>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</si>
  <si>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</si>
  <si>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</si>
  <si>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</si>
  <si>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</si>
  <si>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</si>
  <si>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</si>
  <si>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</si>
  <si>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</si>
  <si>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</si>
  <si>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</si>
  <si>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</si>
  <si>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</si>
  <si>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</si>
  <si>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</si>
  <si>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</si>
  <si>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</si>
  <si>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</si>
  <si>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</si>
  <si>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</si>
  <si>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</si>
  <si>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</si>
  <si>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</si>
  <si>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</si>
  <si>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</si>
  <si>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</si>
  <si>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</si>
  <si>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</si>
  <si>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</si>
  <si>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</si>
  <si>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</si>
  <si>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</si>
  <si>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</si>
  <si>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</si>
  <si>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</si>
  <si>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</si>
  <si>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</si>
  <si>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</si>
  <si>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</si>
  <si>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</si>
  <si>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</si>
  <si>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</si>
  <si>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</si>
  <si>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</si>
  <si>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</si>
  <si>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</si>
  <si>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</si>
  <si>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</si>
  <si>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</si>
  <si>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</si>
  <si>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</si>
  <si>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</si>
  <si>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</si>
  <si>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</si>
  <si>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</si>
  <si>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</si>
  <si>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</si>
  <si>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</si>
  <si>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</si>
  <si>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</si>
  <si>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</si>
  <si>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</si>
  <si>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</si>
  <si>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</si>
  <si>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</si>
  <si>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</si>
  <si>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</si>
  <si>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</si>
  <si>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</si>
  <si>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</si>
  <si>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</si>
  <si>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</si>
  <si>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</si>
  <si>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</si>
  <si>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</si>
  <si>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</si>
  <si>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</si>
  <si>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</si>
  <si>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</si>
  <si>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</si>
  <si>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</si>
  <si>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</si>
  <si>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</si>
  <si>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</si>
  <si>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</si>
  <si>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</si>
  <si>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</si>
  <si>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</si>
  <si>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</si>
  <si>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</si>
  <si>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</si>
  <si>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</si>
  <si>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</si>
  <si>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</si>
  <si>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</si>
  <si>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</si>
  <si>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</si>
  <si>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</si>
  <si>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</si>
  <si>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</si>
  <si>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</si>
  <si>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</si>
  <si>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</si>
  <si>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</si>
  <si>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</si>
  <si>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</si>
  <si>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</si>
  <si>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</si>
  <si>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</si>
  <si>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</si>
  <si>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</si>
  <si>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</si>
  <si>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</si>
  <si>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</si>
  <si>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</si>
  <si>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</si>
  <si>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</si>
  <si>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</si>
  <si>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</si>
  <si>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</si>
  <si>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</si>
  <si>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</si>
  <si>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</si>
  <si>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</si>
  <si>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</si>
  <si>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</si>
  <si>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</si>
  <si>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</si>
  <si>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</si>
  <si>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</si>
  <si>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</si>
  <si>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</si>
  <si>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</si>
  <si>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</si>
  <si>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</si>
  <si>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</si>
  <si>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</si>
  <si>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</si>
  <si>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</si>
  <si>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</si>
  <si>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</si>
  <si>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</si>
  <si>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</si>
  <si>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</si>
  <si>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</si>
  <si>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</si>
  <si>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</si>
  <si>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</si>
  <si>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</si>
  <si>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</si>
  <si>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</si>
  <si>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</si>
  <si>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</si>
  <si>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</si>
  <si>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</si>
  <si>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</si>
  <si>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</si>
  <si>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</si>
  <si>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</si>
  <si>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</si>
  <si>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</si>
  <si>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</si>
  <si>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</si>
  <si>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</si>
  <si>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</si>
  <si>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</si>
  <si>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</si>
  <si>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</si>
  <si>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</si>
  <si>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</si>
  <si>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</si>
  <si>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</si>
  <si>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</si>
  <si>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</si>
  <si>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</si>
  <si>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</si>
  <si>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</si>
  <si>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</si>
  <si>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</si>
  <si>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</si>
  <si>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</si>
  <si>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</si>
  <si>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</si>
  <si>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</si>
  <si>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</si>
  <si>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</si>
  <si>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</si>
  <si>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</si>
  <si>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</si>
  <si>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</si>
  <si>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</si>
  <si>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</si>
  <si>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</si>
  <si>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</si>
  <si>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</si>
  <si>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</si>
  <si>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</si>
  <si>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</si>
  <si>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</si>
  <si>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</si>
  <si>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</si>
  <si>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</si>
  <si>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</si>
  <si>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</si>
  <si>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</si>
  <si>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</si>
  <si>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</si>
  <si>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</si>
  <si>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</si>
  <si>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</si>
  <si>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</si>
  <si>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</si>
  <si>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</si>
  <si>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</si>
  <si>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</si>
  <si>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</si>
  <si>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</si>
  <si>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</si>
  <si>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</si>
  <si>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</si>
  <si>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</si>
  <si>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</si>
  <si>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</si>
  <si>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</si>
  <si>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</si>
  <si>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</si>
  <si>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</si>
  <si>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</si>
  <si>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</si>
  <si>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</si>
  <si>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</si>
  <si>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</si>
  <si>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</si>
  <si>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</si>
  <si>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</si>
  <si>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</si>
  <si>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</si>
  <si>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</si>
  <si>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</si>
  <si>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</si>
  <si>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</si>
  <si>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</si>
  <si>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</si>
  <si>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</si>
  <si>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</si>
  <si>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</si>
  <si>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</si>
  <si>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</si>
  <si>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</si>
  <si>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</si>
  <si>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</si>
  <si>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</si>
  <si>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</si>
  <si>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</si>
  <si>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</si>
  <si>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</si>
  <si>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</si>
  <si>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</si>
  <si>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</si>
  <si>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</si>
  <si>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</si>
  <si>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</si>
  <si>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</si>
  <si>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</si>
  <si>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</si>
  <si>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</si>
  <si>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</si>
  <si>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</si>
  <si>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</si>
  <si>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</si>
  <si>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</si>
  <si>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</si>
  <si>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</si>
  <si>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</si>
  <si>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</si>
  <si>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</si>
  <si>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</si>
  <si>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</si>
  <si>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</si>
  <si>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</si>
  <si>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</si>
  <si>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</si>
  <si>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</si>
  <si>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</si>
  <si>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</si>
  <si>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</si>
  <si>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</si>
  <si>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</si>
  <si>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</si>
  <si>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</si>
  <si>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</si>
  <si>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</si>
  <si>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</si>
  <si>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</si>
  <si>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</si>
  <si>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</si>
  <si>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</si>
  <si>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</si>
  <si>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</si>
  <si>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</si>
  <si>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</si>
  <si>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</si>
  <si>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</si>
  <si>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</si>
  <si>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</si>
  <si>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</si>
  <si>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</si>
  <si>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</si>
  <si>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</si>
  <si>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</si>
  <si>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</si>
  <si>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</si>
  <si>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</si>
  <si>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</si>
  <si>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</si>
  <si>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</si>
  <si>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</si>
  <si>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</si>
  <si>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</si>
  <si>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</si>
  <si>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</si>
  <si>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</si>
  <si>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</si>
  <si>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</si>
  <si>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</si>
  <si>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</si>
  <si>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</si>
  <si>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</si>
  <si>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</si>
  <si>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</si>
  <si>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</si>
  <si>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</si>
  <si>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</si>
  <si>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</si>
  <si>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</si>
  <si>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</si>
  <si>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</si>
  <si>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</si>
  <si>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</si>
  <si>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</si>
  <si>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</si>
  <si>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</si>
  <si>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</si>
  <si>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</si>
  <si>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</si>
  <si>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</si>
  <si>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</si>
  <si>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</si>
  <si>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</si>
  <si>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</si>
  <si>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</si>
  <si>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</si>
  <si>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</si>
  <si>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</si>
  <si>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+</t>
  </si>
  <si>
    <t>минус 0,8т ветчины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</si>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</sst>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7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 wrapText="1"/>
    </xf>
    <xf numFmtId="166" fontId="43" fillId="44" borderId="0" xfId="0" applyNumberFormat="1" applyFont="1" applyFill="1" applyAlignment="1">
      <alignment horizontal="left" vertical="center" wrapText="1"/>
    </xf>
    <xf numFmtId="166" fontId="43" fillId="45" borderId="0" xfId="0" applyNumberFormat="1" applyFont="1" applyFill="1" applyAlignment="1">
      <alignment horizontal="left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14" fillId="17" borderId="79" xfId="0" applyFont="1" applyFill="1" applyBorder="1" applyAlignment="1">
      <alignment horizontal="center" vertical="center" wrapText="1"/>
    </xf>
    <xf numFmtId="166" fontId="43" fillId="46" borderId="0" xfId="0" applyNumberFormat="1" applyFont="1" applyFill="1" applyAlignment="1">
      <alignment horizontal="left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68"/>
  <sheetViews>
    <sheetView tabSelected="1" zoomScale="85" zoomScaleNormal="85" workbookViewId="0">
      <pane ySplit="2" topLeftCell="A3" activePane="bottomLeft" state="frozen"/>
      <selection pane="bottomLeft" activeCell="E6816" sqref="E6816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67" customWidth="1"/>
    <col min="16" max="16" width="14.140625" style="847" customWidth="1"/>
    <col min="17" max="17" width="10.42578125" style="833" customWidth="1"/>
    <col min="18" max="1021" width="9.140625" style="2"/>
  </cols>
  <sheetData>
    <row r="1" spans="1:17" ht="19.5" customHeight="1" thickBot="1" x14ac:dyDescent="0.3">
      <c r="A1" s="959" t="s">
        <v>0</v>
      </c>
      <c r="B1" s="959"/>
      <c r="C1" s="959"/>
      <c r="D1" s="959"/>
      <c r="E1" s="959"/>
      <c r="F1" s="959"/>
      <c r="G1" s="959"/>
      <c r="H1" s="959"/>
      <c r="I1" s="959"/>
      <c r="J1" s="959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60">
        <v>1</v>
      </c>
      <c r="B3" s="96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60"/>
      <c r="B4" s="96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54">
        <v>3</v>
      </c>
      <c r="B6" s="95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54"/>
      <c r="B7" s="95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54"/>
      <c r="B8" s="95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54">
        <v>5</v>
      </c>
      <c r="B10" s="95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54"/>
      <c r="B11" s="95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50">
        <v>8</v>
      </c>
      <c r="B14" s="95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50"/>
      <c r="B15" s="95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54">
        <v>11</v>
      </c>
      <c r="B18" s="95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54"/>
      <c r="B19" s="95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54"/>
      <c r="B20" s="95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54"/>
      <c r="B21" s="95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54">
        <v>13</v>
      </c>
      <c r="B23" s="95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54"/>
      <c r="B24" s="95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50">
        <v>14</v>
      </c>
      <c r="B25" s="95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50"/>
      <c r="B26" s="95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54">
        <v>15</v>
      </c>
      <c r="B27" s="95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54"/>
      <c r="B28" s="95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54"/>
      <c r="B29" s="95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54"/>
      <c r="B30" s="95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50">
        <v>16</v>
      </c>
      <c r="B31" s="95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50"/>
      <c r="B32" s="95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50"/>
      <c r="B33" s="95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50"/>
      <c r="B34" s="95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54">
        <v>17</v>
      </c>
      <c r="B35" s="95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54"/>
      <c r="B36" s="95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54">
        <v>21</v>
      </c>
      <c r="B40" s="95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54"/>
      <c r="B41" s="95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54">
        <v>23</v>
      </c>
      <c r="B43" s="95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54"/>
      <c r="B44" s="95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54"/>
      <c r="B45" s="95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50">
        <v>24</v>
      </c>
      <c r="B46" s="95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50"/>
      <c r="B47" s="95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54">
        <v>25</v>
      </c>
      <c r="B48" s="95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54"/>
      <c r="B49" s="95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54"/>
      <c r="B50" s="95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50">
        <v>26</v>
      </c>
      <c r="B51" s="95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50"/>
      <c r="B52" s="95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54">
        <v>29</v>
      </c>
      <c r="B55" s="95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54"/>
      <c r="B56" s="95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50">
        <v>32</v>
      </c>
      <c r="B59" s="95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50"/>
      <c r="B60" s="95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50">
        <v>34</v>
      </c>
      <c r="B62" s="95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50"/>
      <c r="B63" s="95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50"/>
      <c r="B64" s="95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50"/>
      <c r="B65" s="95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50"/>
      <c r="B66" s="95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54">
        <v>35</v>
      </c>
      <c r="B67" s="95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54"/>
      <c r="B68" s="95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29">
        <v>40</v>
      </c>
      <c r="B73" s="95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29"/>
      <c r="B74" s="95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30">
        <v>41</v>
      </c>
      <c r="B75" s="95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30"/>
      <c r="B76" s="95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30"/>
      <c r="B77" s="95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29">
        <v>42</v>
      </c>
      <c r="B78" s="95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29"/>
      <c r="B79" s="95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30">
        <v>49</v>
      </c>
      <c r="B86" s="95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30"/>
      <c r="B87" s="95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30"/>
      <c r="B88" s="95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29">
        <v>50</v>
      </c>
      <c r="B89" s="95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29"/>
      <c r="B90" s="95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30">
        <v>51</v>
      </c>
      <c r="B91" s="95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30"/>
      <c r="B92" s="95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30">
        <v>53</v>
      </c>
      <c r="B94" s="95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30"/>
      <c r="B95" s="95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29">
        <v>54</v>
      </c>
      <c r="B96" s="95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29"/>
      <c r="B97" s="95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29"/>
      <c r="B98" s="95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29">
        <v>58</v>
      </c>
      <c r="B102" s="95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29"/>
      <c r="B103" s="95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29">
        <v>60</v>
      </c>
      <c r="B105" s="95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29"/>
      <c r="B106" s="95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29"/>
      <c r="B107" s="95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30">
        <v>61</v>
      </c>
      <c r="B108" s="95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30"/>
      <c r="B109" s="95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30"/>
      <c r="B110" s="95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29">
        <v>64</v>
      </c>
      <c r="B113" s="95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29"/>
      <c r="B114" s="95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29">
        <v>66</v>
      </c>
      <c r="B116" s="95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29"/>
      <c r="B117" s="95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30">
        <v>67</v>
      </c>
      <c r="B118" s="95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30"/>
      <c r="B119" s="95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30"/>
      <c r="B120" s="95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29">
        <v>68</v>
      </c>
      <c r="B121" s="95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29"/>
      <c r="B122" s="95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30">
        <v>69</v>
      </c>
      <c r="B123" s="95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30"/>
      <c r="B124" s="95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29">
        <v>72</v>
      </c>
      <c r="B127" s="950" t="s">
        <v>65</v>
      </c>
      <c r="C127" s="119" t="s">
        <v>26</v>
      </c>
      <c r="D127" s="120">
        <v>3.3</v>
      </c>
      <c r="E127" s="121"/>
      <c r="F127" s="122" t="s">
        <v>30</v>
      </c>
      <c r="G127" s="956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29"/>
      <c r="B128" s="950"/>
      <c r="C128" s="103" t="s">
        <v>26</v>
      </c>
      <c r="D128" s="88">
        <v>12.9</v>
      </c>
      <c r="E128" s="106"/>
      <c r="F128" s="107" t="s">
        <v>16</v>
      </c>
      <c r="G128" s="956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29">
        <v>76</v>
      </c>
      <c r="B132" s="95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29"/>
      <c r="B133" s="95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29"/>
      <c r="B134" s="95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29"/>
      <c r="B135" s="95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29">
        <v>78</v>
      </c>
      <c r="B137" s="95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29"/>
      <c r="B138" s="95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5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5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2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2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2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3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3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2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2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3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3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3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3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3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3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3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3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2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2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2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2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2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2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3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58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3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58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2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2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2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2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2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2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2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2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2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3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3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2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2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3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3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2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2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3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3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3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3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3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2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2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3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3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3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2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2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3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3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2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2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3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3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2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2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2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3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3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2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56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2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56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2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2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3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3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3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3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2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2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2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2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2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2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3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3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2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2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2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2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3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3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2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2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2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2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2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3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3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2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2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3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3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2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4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2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41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3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3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2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56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2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56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2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2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2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2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2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2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2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2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3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3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2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2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3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3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2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2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2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2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3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3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3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3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3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3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3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3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2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2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3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58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3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58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3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3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3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3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3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3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3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3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3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3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3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3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3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3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2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2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3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3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2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2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2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2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3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3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3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3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3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3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2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2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3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3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3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3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3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3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3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2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2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2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2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2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2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2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2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2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2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2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2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3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3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2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2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3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3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3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3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3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3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3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3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2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2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3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3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3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2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2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3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3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3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3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3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3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2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2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2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2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2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2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52" t="s">
        <v>133</v>
      </c>
      <c r="J420" s="952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3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3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2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2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3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3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2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2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2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2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3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3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3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3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3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2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2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2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3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3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2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2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3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3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2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3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2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3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3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3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2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2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2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2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2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2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3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3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3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2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2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3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3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2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2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2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2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2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2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2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2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3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3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3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3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2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2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2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3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3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3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3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3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3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2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2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3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5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3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51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2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51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2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51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2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51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2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2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2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2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2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2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3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3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3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2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2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2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3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3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3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3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3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2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2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2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3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3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3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3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3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3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2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2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2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3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3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3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3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2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2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2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3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3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3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2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3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2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3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2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2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2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2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2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3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3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3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3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2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2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2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3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3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3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2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2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2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2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2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2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3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3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3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3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3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3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3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3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2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2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2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3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3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3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3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3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3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2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2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2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2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2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2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2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2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2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2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2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2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3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3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3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2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2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2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3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3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3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3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3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2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2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3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3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3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2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2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2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2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3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3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3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3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3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3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2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2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2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3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3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3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3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3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3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4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3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48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3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2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2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2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3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3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3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2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2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3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3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3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3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3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3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2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2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3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3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2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2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2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2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2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2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2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2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2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3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3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3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3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4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4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4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3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3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3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4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4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3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3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3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4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4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2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2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2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3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3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3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2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2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2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2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2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2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2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2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3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3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3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3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3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3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3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2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4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2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47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2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2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2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2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2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3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3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3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3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3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3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3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2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2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2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2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6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6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6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6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6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6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3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3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3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3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2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2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2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3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3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3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3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3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3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3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3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3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3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3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3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3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6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6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3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3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3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2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2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3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3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2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2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2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2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3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3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3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3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3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3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3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2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2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2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2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3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3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2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3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2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3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3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3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3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3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3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3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3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3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3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3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3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3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3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2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2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2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3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3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3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2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2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3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3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3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3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2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2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2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3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3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3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3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3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3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3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3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3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2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2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2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2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2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2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2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2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2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2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3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3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3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2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2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2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2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2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3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3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2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2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2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3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3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3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2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2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2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2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2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2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2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3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3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2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2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2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3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3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3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2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2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3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3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2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2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3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3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2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2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3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3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3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3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2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3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2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3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3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3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3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3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3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2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2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3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3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3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3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3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3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3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3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2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2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2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2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2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2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4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4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2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2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3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3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2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2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2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2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2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3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3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3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3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3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2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2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2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3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3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3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2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2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2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3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3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3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3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2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2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2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3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3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2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2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2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3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3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3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3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3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2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2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3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3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2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2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3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3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2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2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2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2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2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2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2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3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3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2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2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3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3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2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2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2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3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3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2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2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3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3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3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3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2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2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2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3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3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2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2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3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3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3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2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2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3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3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3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3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3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3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3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3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2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2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2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2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2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3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3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2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2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3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3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3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2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2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2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3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3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2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3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2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3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3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3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3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3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3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3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3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3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2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2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3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3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3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3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2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2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3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3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3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2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2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3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3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3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3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2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3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2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3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38.25" hidden="1" thickBot="1" x14ac:dyDescent="0.3">
      <c r="A1125" s="93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3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2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2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2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2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3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3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2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2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3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3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2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2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3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3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3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3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2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2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2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2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2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2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2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2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3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3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3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3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2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3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2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3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2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2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3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3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2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2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2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2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3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3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2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2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3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3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3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3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3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3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3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2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2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2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2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2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2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2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3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2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3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2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2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3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3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2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2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3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3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3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3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2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2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2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2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3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3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3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3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3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3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3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3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3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3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3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3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3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2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2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3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3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2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2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3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3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2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3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2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3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3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3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3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3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2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2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2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2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3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3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3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3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2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2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2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2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2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2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2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2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2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2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3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3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2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2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2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2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3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3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3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3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3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3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2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2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2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3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3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2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2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3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3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3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3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3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3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3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3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3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3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3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3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3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2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2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3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3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3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4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3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4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2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2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2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3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3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3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2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2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2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2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3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3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3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3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2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2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3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3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2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2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2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2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2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2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3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3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3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3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3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3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3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3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2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2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3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3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2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2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3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3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3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3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2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2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3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3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3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3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3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3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3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3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2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2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3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3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3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3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3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3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3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3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3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3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3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3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3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3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2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2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3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3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3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3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3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2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2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2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2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2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2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2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2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3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3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2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2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2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3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3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3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3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3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3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3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3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2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2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3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3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3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3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3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3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3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3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3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2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2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3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3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2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3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2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3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3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3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2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2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2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3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3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3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3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3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3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3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3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2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2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3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3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2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2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2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3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3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3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3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3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3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3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2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2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2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2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2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3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3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2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2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2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2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2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3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3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2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2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2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3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3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2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2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3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3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2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2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2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2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2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2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3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3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3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3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3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3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3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3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2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2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3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3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2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2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2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3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2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3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2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2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2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3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3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3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3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3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3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3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3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3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3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3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2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2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2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2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3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3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3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3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3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2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2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3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3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3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3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2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2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2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2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2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2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2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2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3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3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3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2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3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2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3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2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2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2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2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2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3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3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3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3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3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3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3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2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2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2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2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2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3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3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2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2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2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3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3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3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3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3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3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2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2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2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2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2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2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2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3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3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2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2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2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2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30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3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2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2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3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3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2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2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3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3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3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3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3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3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2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2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3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3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3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2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2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3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3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3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3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2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3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2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3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3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3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3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3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3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3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3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3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2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2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2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2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2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2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2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2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2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2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3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3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3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3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3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3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2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2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3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3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3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3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3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3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3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2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2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2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3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3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3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3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3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3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3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3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3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3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3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3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3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3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2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2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3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3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3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3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2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2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3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3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2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2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2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3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3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3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3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30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3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3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3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3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30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3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3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2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2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3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3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3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3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3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3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2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2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2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2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3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3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3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3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2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2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2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3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3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3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3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3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3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2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3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2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3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30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3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3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3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2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2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2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2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3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3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2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2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2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2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2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2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2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3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3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3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2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2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2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2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2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2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2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2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2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3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3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2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2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2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2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3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3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2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2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2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3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3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3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2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2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2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2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3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3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3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3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30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3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2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2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3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3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2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2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2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3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3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3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3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3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3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3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3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3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2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2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3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3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2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2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2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30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3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3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3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2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3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2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3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30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3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2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2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2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2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2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2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3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3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2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2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2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3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3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2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2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2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2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3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3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3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2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2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3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3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2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2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3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3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2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2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2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2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2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2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2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2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30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3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3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3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2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2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3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3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2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2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2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2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3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3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2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2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2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2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2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2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2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3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3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4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43" t="s">
        <v>467</v>
      </c>
      <c r="H2160" s="414" t="s">
        <v>515</v>
      </c>
      <c r="I2160" s="415" t="s">
        <v>516</v>
      </c>
      <c r="J2160" s="94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4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43"/>
      <c r="H2161" s="421" t="s">
        <v>515</v>
      </c>
      <c r="I2161" s="422" t="s">
        <v>516</v>
      </c>
      <c r="J2161" s="94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4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43"/>
      <c r="H2162" s="429" t="s">
        <v>515</v>
      </c>
      <c r="I2162" s="430" t="s">
        <v>516</v>
      </c>
      <c r="J2162" s="94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4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43" t="s">
        <v>467</v>
      </c>
      <c r="H2165" s="414" t="s">
        <v>516</v>
      </c>
      <c r="I2165" s="415" t="s">
        <v>516</v>
      </c>
      <c r="J2165" s="94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4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43"/>
      <c r="H2166" s="429" t="s">
        <v>516</v>
      </c>
      <c r="I2166" s="430" t="s">
        <v>516</v>
      </c>
      <c r="J2166" s="94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3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3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3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2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2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30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3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2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2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2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2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3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3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3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3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30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3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3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2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3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2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3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30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40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3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40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2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4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2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4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30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3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3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3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2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2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3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3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2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2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2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2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2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3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3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3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2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2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2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30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3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2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2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2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2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2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2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3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3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3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3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2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2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3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3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3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2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2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2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2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2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2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3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3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3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3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3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3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3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2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2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2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2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2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2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2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3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3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3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3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3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2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2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2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2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2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3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3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2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2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2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3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3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2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2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2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2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2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2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2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3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3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3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3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30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3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3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3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3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3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3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3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3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3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3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3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2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2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3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3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3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2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2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2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2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2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3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3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30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3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3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3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3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3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30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3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3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3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30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3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3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2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2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2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2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3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3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3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3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3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2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2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2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2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2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2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3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3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2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2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3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3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2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2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2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2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2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2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2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3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3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3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3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3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2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2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30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3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2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2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3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3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2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2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2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2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2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2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2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3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3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3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2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2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30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3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3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3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3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3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3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3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2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2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2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3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3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2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2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2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2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2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2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3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2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3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2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3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3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3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3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3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30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3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2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2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3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3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2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3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2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3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2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2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3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3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2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2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3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3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30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3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3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3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3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3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3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3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2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2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3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3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3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3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3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3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3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3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2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2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2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3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3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2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2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3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3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2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2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2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2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3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3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3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3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2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2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2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3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2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3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3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3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3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3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3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3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2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2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3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3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2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2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2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3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3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3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3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3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3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3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2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2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2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3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2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3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2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2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2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2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3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3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3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2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2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3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3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3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3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3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2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2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3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3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3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3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3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3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3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3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3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3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2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2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2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2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3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3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2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2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2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2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2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2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3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3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3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3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3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3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3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3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2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2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3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3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3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3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3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3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2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2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2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3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3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2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2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2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2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3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3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3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3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2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3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2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3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2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3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3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3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3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3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2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2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3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3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2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2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3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3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3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30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3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2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2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2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3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3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2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2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3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3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3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3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3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2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2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3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3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3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3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2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2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3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3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2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2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2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2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3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3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3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3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3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3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3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3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3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3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3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3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3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30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3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3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3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2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2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3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3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3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3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3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30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3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2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2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2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3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3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3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2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2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2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2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3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3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3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3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3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3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3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2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3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2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3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3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3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3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3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2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2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3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3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2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2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2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3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3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3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3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3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3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3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3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3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3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3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3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3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3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3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3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3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3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3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3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3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3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3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2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2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2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3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3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2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2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2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2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3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3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2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2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3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3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3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3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3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3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3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30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3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2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2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2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3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3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3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3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3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3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2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2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3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3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3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3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3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3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3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3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3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3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3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3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3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3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2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2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2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2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2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3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3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3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3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3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3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3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3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3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30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3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2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2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3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3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3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2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2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3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3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3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3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3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3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2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2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3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3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2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3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2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3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2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3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2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3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3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3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3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3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3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2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2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2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3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2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3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2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3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3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3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3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3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3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3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3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2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2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3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3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2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2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2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3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3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3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3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3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2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3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2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3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3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3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2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2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3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3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2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2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3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3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3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3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3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3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3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3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3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3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3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3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3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3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2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2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2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2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2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3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3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3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3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3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3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3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2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2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3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3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3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3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2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2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2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2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3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3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3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3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2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2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2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2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3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3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3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3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3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2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2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3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3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3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3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3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3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3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3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2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2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3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3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2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2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2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3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3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3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2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2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3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3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2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2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2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2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3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3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3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2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2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2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2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2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3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3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3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3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3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2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2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3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3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2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2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3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3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2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2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3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3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3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3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3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3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3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3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3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3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3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3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2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2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2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2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3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3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2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2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3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3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3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3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2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2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2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3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3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3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2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2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3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3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2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2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3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3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3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3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3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2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2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3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3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3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3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3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3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3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3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3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3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2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2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2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2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3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3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3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2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2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2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2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2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3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3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2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2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3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3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3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3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3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3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2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2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3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3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3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3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3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3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3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3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3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3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3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3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3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3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3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3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30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3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3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3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3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3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3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3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3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3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3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3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3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3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3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3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2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2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3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3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2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2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3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3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3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3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3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3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3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3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2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2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3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3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2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2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3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3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3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3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2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2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2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3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3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2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2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2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2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3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3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3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3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3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3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3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3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3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3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3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3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2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2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2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2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3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3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3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3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3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3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3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3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2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2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2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2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2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2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2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2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3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3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3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3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3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3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3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3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3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3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3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2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2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3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3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3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3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3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3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2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2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2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2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3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3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2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2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2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3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3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3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3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3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3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3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3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3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3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3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2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3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2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3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3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3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3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3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3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3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2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2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2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2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2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3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3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3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3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3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3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3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3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3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3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3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3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2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3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2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3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3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3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2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2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2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2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3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3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2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2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2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2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2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3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3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2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3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2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3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92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1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9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2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92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1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9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2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9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2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9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2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9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2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92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2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92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1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2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2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92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9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9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9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9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9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9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9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2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92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2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9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2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92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9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9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9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9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9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9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1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2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2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92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2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9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1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2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2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92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9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9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2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92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9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9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9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9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2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9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9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9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92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9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9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9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9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9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9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2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92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1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2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2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92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1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2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2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92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2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9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2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92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9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92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2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9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2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92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9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2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9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9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2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9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9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9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9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9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9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92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2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9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1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2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2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92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2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9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2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92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9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9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2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92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1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2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2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9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9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2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92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2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9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1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2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2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92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9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9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9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9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9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9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2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9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2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9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1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2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2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92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9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2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9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9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2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92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9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2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9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9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9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9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9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2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92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9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2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92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9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9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9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9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9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9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9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9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9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9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9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92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2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92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1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9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2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2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2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9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9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2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9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9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2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9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9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9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9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1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2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2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9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9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9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2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92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2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92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2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9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2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9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9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9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9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9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92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2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92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9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2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9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2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92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2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9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2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92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1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2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2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9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9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92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9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2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9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2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92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2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9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2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92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2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92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9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9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9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9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9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9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9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92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2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92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2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9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9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9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2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92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9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9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9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9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2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92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2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9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9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9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2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9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9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9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9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9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9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92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2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92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1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2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2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9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9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2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92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9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9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2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9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9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2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92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1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9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2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2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2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9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1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2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2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92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2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9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2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92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9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9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9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9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9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9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2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92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2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9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9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2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92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9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9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2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9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2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92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1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2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2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92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2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9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9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2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9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2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92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9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9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9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9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9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9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9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9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92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2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92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9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9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1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2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2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92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9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9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9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9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9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2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9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9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9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9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92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9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2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92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2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9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2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92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9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2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92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2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11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2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2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92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9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9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9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9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2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9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2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92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9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2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9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2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92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2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92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2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9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9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9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92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9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9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9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9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92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1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9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2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92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9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9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1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9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1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92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9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9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9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9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9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9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92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9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92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9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9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9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9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92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9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9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9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1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9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9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1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9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9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9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9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9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92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9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9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9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9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9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9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9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92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9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9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9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9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92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9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9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9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9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9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92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9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9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9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92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9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9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9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9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92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9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9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9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9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9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9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92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9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9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9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9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92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9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9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9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92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9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92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9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9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92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9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9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9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9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9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9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92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9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9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9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9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92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9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9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9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9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9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9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9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92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9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9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9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9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9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9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92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9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9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92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1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9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2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9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9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9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9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9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9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92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9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9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9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92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9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9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1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9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9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9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1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92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9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9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92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9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9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9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9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92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9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9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9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9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9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1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9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1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92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9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9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9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9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9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9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92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9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9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9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92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9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9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9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9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9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9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92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9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9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92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1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9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2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9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2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9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2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9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9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92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9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92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9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9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9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9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92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9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9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1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9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1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9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9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9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9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9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9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9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9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92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9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9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9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9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92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9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92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9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9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9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9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9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92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9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9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9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9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9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9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9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92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9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9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9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9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9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9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9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9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9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1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9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1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9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9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9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9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9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92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9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9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9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9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9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92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9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9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9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9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9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92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9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9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9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9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9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9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9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9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9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92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9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9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9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92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9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92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9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9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9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9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9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9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9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92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9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9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9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9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9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9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9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9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9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9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9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92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9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92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9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9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9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9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1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9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92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9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9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9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92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9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9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9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92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9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92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9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9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9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9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92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9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9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9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9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92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9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9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9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9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92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9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92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9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9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9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9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92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9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9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92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9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92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9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9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9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92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9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9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9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92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9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9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9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9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9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9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9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9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92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9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9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9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9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92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1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9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2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9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2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9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9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9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9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9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9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9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92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9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9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92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9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9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9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92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9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9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9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92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9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92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1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9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2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9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9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9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9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9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9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92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9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9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9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9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9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92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9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92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9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92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9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9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9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9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9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92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9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9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9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9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92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9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9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9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92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9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9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9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9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9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9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9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9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92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9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9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9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9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9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92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9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9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9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92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9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92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1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9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2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92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9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9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9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9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9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92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9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9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9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9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9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9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92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9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9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9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92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9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9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1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9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9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9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1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9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9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9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9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1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9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1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92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9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92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9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9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9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9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9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92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1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9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2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92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9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9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9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9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9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9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9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92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1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9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2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9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9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9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9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92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9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9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9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92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1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9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2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92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9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9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9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9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9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9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1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9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1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92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9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92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9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92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9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9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9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9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9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92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9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9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9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92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9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9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1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9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9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1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92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9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92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1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9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2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9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9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92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9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9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9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9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1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9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1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92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9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9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9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92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9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9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9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92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1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9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2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9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9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9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92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9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92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1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9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2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9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9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9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9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92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9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9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9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9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92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9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9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9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9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9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92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9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9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9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92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1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9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2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9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9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9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9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9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92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1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9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2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9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9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9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9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9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92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9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9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92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9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92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9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9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9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9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9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92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1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9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2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92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9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9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1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9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1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92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9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9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9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9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92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9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9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9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92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1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9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2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9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9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92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9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9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1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9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1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92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9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9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9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9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92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9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9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9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9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9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1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9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1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92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9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9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9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9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92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9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92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9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9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9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9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9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9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1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9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1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9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1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9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1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92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9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92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9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9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9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9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9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92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9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9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9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9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1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9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1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9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9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9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92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9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9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1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9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1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92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9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9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9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9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92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1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9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2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9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2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9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1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9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1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9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9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9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9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9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9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92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9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9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9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92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1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9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22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9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9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9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9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9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92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9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9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9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9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92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9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92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9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9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1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9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9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1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92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9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9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1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9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1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9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9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9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9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9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9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9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92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9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9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92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1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9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2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9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2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9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2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9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9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92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1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9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2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92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9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9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9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9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92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1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9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2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9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9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92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9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9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9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9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9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92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1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9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2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9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9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9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9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9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92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9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9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9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9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9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9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9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9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9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9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9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9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92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9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9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9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9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9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9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92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9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9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9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92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9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92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1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9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2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9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9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9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9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92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1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9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2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92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9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92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1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9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2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92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9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9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9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9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92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9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9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1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9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1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9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9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9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92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9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9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9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9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9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9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92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9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92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1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9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2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9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9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92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9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9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9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9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92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9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9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9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9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92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9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9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9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92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9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92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9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9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9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9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92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9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9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9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9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1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9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92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9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9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9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9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92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9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9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9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9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9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9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9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9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9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9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9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9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9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92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9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9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9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9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9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92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9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92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9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92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1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9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2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9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2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9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2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9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2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9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9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9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9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9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9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9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9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9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9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92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9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9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9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9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92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9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9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92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9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9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9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9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9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1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9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1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9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1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9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9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9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92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9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9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9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92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9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92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9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9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9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9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9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9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9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9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9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9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9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9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2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9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2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9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9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92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1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9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2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9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9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92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1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9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2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9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9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92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9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9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9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92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9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9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9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92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1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9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2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92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9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9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9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92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9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9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9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92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9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9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9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9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9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9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9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9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9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92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9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92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9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9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9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9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9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9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9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92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9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9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9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9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9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92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9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9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1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9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1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92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9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9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92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9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9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9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92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9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92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1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9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2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92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9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9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9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92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9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9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1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9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1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9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9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9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9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9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92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9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9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92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9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9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1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9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1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9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1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9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9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9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9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1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92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9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9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9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9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9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9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9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9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1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9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2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9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9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9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9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9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92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9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92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9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9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9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9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92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9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9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9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92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9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92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9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9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9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9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9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92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9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9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9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9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92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9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9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1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9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1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9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9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92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9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92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9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92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9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9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9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92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9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9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9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92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9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9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1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9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1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92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9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6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6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0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0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0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9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9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0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90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0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0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0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0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0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9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9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911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9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1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6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90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6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7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7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11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1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9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9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9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9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9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9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9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9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9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9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1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9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1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92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9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92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9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92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9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9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9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9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9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9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9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9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9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92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9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9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9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9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9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92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9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9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9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9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9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9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9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9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9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9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9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92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9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9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1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9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1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9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9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11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1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90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90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90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90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4"/>
    </row>
    <row r="6674" spans="1:17" ht="18.75" hidden="1" customHeight="1" thickBot="1" x14ac:dyDescent="0.3">
      <c r="A6674" s="91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4"/>
    </row>
    <row r="6675" spans="1:17" ht="19.5" hidden="1" thickBot="1" x14ac:dyDescent="0.3">
      <c r="A6675" s="892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4"/>
    </row>
    <row r="6676" spans="1:17" ht="19.5" hidden="1" thickBot="1" x14ac:dyDescent="0.3">
      <c r="A6676" s="89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4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4"/>
    </row>
    <row r="6678" spans="1:17" ht="19.5" hidden="1" thickBot="1" x14ac:dyDescent="0.3">
      <c r="A6678" s="892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9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90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4" t="s">
        <v>1647</v>
      </c>
      <c r="Q6680" s="833" t="s">
        <v>1648</v>
      </c>
    </row>
    <row r="6681" spans="1:17" ht="18.75" hidden="1" customHeight="1" thickBot="1" x14ac:dyDescent="0.3">
      <c r="A6681" s="91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758" t="s">
        <v>1645</v>
      </c>
      <c r="P6681" s="834"/>
    </row>
    <row r="6682" spans="1:17" ht="19.5" hidden="1" thickBot="1" x14ac:dyDescent="0.3">
      <c r="A6682" s="90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4" t="s">
        <v>1651</v>
      </c>
      <c r="Q6682" s="833" t="s">
        <v>1652</v>
      </c>
    </row>
    <row r="6683" spans="1:17" ht="18.75" hidden="1" customHeight="1" thickBot="1" x14ac:dyDescent="0.3">
      <c r="A6683" s="90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758" t="s">
        <v>1649</v>
      </c>
      <c r="P6683" s="834"/>
    </row>
    <row r="6684" spans="1:17" ht="19.5" hidden="1" thickBot="1" x14ac:dyDescent="0.3">
      <c r="A6684" s="90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90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758" t="s">
        <v>1679</v>
      </c>
    </row>
    <row r="6686" spans="1:17" ht="19.5" hidden="1" thickBot="1" x14ac:dyDescent="0.3">
      <c r="A6686" s="90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758" t="s">
        <v>1680</v>
      </c>
    </row>
    <row r="6687" spans="1:17" ht="19.5" hidden="1" thickBot="1" x14ac:dyDescent="0.3">
      <c r="A6687" s="91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90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90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4"/>
    </row>
    <row r="6690" spans="1:16" ht="19.5" hidden="1" thickBot="1" x14ac:dyDescent="0.3">
      <c r="A6690" s="90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758" t="s">
        <v>1663</v>
      </c>
      <c r="P6690" s="834"/>
    </row>
    <row r="6691" spans="1:16" ht="19.5" hidden="1" thickBot="1" x14ac:dyDescent="0.3">
      <c r="A6691" s="90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91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90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90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90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4"/>
    </row>
    <row r="6696" spans="1:16" ht="19.5" hidden="1" thickBot="1" x14ac:dyDescent="0.3">
      <c r="A6696" s="90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758" t="s">
        <v>1655</v>
      </c>
      <c r="P6696" s="834"/>
    </row>
    <row r="6697" spans="1:16" ht="19.5" hidden="1" thickBot="1" x14ac:dyDescent="0.3">
      <c r="A6697" s="91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4"/>
    </row>
    <row r="6698" spans="1:16" ht="19.5" hidden="1" thickBot="1" x14ac:dyDescent="0.3">
      <c r="A6698" s="90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4"/>
    </row>
    <row r="6699" spans="1:16" ht="18.75" hidden="1" customHeight="1" thickBot="1" x14ac:dyDescent="0.3">
      <c r="A6699" s="90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758" t="s">
        <v>1677</v>
      </c>
      <c r="P6699" s="834"/>
    </row>
    <row r="6700" spans="1:16" ht="19.5" hidden="1" thickBot="1" x14ac:dyDescent="0.3">
      <c r="A6700" s="90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4"/>
    </row>
    <row r="6701" spans="1:16" ht="19.5" hidden="1" thickBot="1" x14ac:dyDescent="0.3">
      <c r="A6701" s="90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758" t="s">
        <v>1638</v>
      </c>
    </row>
    <row r="6702" spans="1:16" ht="19.5" hidden="1" thickBot="1" x14ac:dyDescent="0.3">
      <c r="A6702" s="91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7" hidden="1" thickBot="1" x14ac:dyDescent="0.3">
      <c r="A6703" s="892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867" t="s">
        <v>1666</v>
      </c>
    </row>
    <row r="6704" spans="1:16" ht="19.5" hidden="1" thickBot="1" x14ac:dyDescent="0.3">
      <c r="A6704" s="89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867" t="s">
        <v>1667</v>
      </c>
    </row>
    <row r="6705" spans="1:16" ht="19.5" hidden="1" thickBot="1" x14ac:dyDescent="0.3">
      <c r="A6705" s="89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867" t="s">
        <v>1668</v>
      </c>
    </row>
    <row r="6706" spans="1:16" ht="19.5" hidden="1" thickBot="1" x14ac:dyDescent="0.3">
      <c r="A6706" s="89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867" t="s">
        <v>1024</v>
      </c>
    </row>
    <row r="6707" spans="1:16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867" t="s">
        <v>1656</v>
      </c>
    </row>
    <row r="6708" spans="1:16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867" t="s">
        <v>1659</v>
      </c>
    </row>
    <row r="6709" spans="1:16" ht="19.5" hidden="1" thickBot="1" x14ac:dyDescent="0.3">
      <c r="A6709" s="89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867" t="s">
        <v>1673</v>
      </c>
      <c r="P6709" s="847" t="s">
        <v>1675</v>
      </c>
    </row>
    <row r="6710" spans="1:16" ht="19.5" hidden="1" thickBot="1" x14ac:dyDescent="0.3">
      <c r="A6710" s="89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867" t="s">
        <v>1671</v>
      </c>
    </row>
    <row r="6711" spans="1:16" ht="19.5" hidden="1" thickBot="1" x14ac:dyDescent="0.3">
      <c r="A6711" s="89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867" t="s">
        <v>1672</v>
      </c>
    </row>
    <row r="6712" spans="1:16" ht="19.5" hidden="1" thickBot="1" x14ac:dyDescent="0.3">
      <c r="A6712" s="89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867" t="s">
        <v>1674</v>
      </c>
    </row>
    <row r="6713" spans="1:16" ht="19.5" hidden="1" thickBot="1" x14ac:dyDescent="0.3">
      <c r="A6713" s="90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867" t="s">
        <v>1698</v>
      </c>
    </row>
    <row r="6714" spans="1:16" ht="19.5" hidden="1" thickBot="1" x14ac:dyDescent="0.3">
      <c r="A6714" s="90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867" t="s">
        <v>1699</v>
      </c>
    </row>
    <row r="6715" spans="1:16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867" t="s">
        <v>1660</v>
      </c>
    </row>
    <row r="6716" spans="1:16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867" t="s">
        <v>1758</v>
      </c>
    </row>
    <row r="6717" spans="1:16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867" t="s">
        <v>1664</v>
      </c>
      <c r="P6717" s="847" t="s">
        <v>1665</v>
      </c>
    </row>
    <row r="6718" spans="1:16" ht="19.5" hidden="1" thickBot="1" x14ac:dyDescent="0.3">
      <c r="A6718" s="90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6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867" t="s">
        <v>1690</v>
      </c>
    </row>
    <row r="6719" spans="1:16" ht="19.5" hidden="1" thickBot="1" x14ac:dyDescent="0.3">
      <c r="A6719" s="90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6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867" t="s">
        <v>1689</v>
      </c>
    </row>
    <row r="6720" spans="1:16" ht="19.5" hidden="1" thickBot="1" x14ac:dyDescent="0.3">
      <c r="A6720" s="90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6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867" t="s">
        <v>1691</v>
      </c>
    </row>
    <row r="6721" spans="1:17" ht="19.5" hidden="1" thickBot="1" x14ac:dyDescent="0.3">
      <c r="A6721" s="89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867" t="s">
        <v>1682</v>
      </c>
    </row>
    <row r="6722" spans="1:17" ht="19.5" hidden="1" thickBot="1" x14ac:dyDescent="0.3">
      <c r="A6722" s="89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1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867" t="s">
        <v>1683</v>
      </c>
    </row>
    <row r="6723" spans="1:17" ht="19.5" hidden="1" thickBot="1" x14ac:dyDescent="0.3">
      <c r="A6723" s="90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1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867" t="s">
        <v>1669</v>
      </c>
    </row>
    <row r="6724" spans="1:17" ht="19.5" hidden="1" thickBot="1" x14ac:dyDescent="0.3">
      <c r="A6724" s="90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2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867" t="s">
        <v>1670</v>
      </c>
      <c r="Q6724" s="835"/>
    </row>
    <row r="6725" spans="1:17" ht="19.5" hidden="1" thickBot="1" x14ac:dyDescent="0.3">
      <c r="A6725" s="90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867" t="s">
        <v>1685</v>
      </c>
      <c r="P6725" s="834"/>
    </row>
    <row r="6726" spans="1:17" ht="19.5" hidden="1" thickBot="1" x14ac:dyDescent="0.3">
      <c r="A6726" s="91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867" t="s">
        <v>1686</v>
      </c>
      <c r="P6726" s="834"/>
    </row>
    <row r="6727" spans="1:17" ht="19.5" hidden="1" thickBot="1" x14ac:dyDescent="0.3">
      <c r="A6727" s="892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867" t="s">
        <v>1687</v>
      </c>
    </row>
    <row r="6728" spans="1:17" ht="19.5" hidden="1" thickBot="1" x14ac:dyDescent="0.3">
      <c r="A6728" s="89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867" t="s">
        <v>1688</v>
      </c>
    </row>
    <row r="6729" spans="1:17" ht="19.5" hidden="1" thickBot="1" x14ac:dyDescent="0.3">
      <c r="A6729" s="89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867" t="s">
        <v>1696</v>
      </c>
    </row>
    <row r="6730" spans="1:17" ht="19.5" hidden="1" thickBot="1" x14ac:dyDescent="0.3">
      <c r="A6730" s="89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867" t="s">
        <v>1697</v>
      </c>
      <c r="P6730" s="834"/>
    </row>
    <row r="6731" spans="1:17" ht="19.5" hidden="1" thickBot="1" x14ac:dyDescent="0.3">
      <c r="A6731" s="892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867" t="s">
        <v>1694</v>
      </c>
    </row>
    <row r="6732" spans="1:17" ht="19.5" hidden="1" thickBot="1" x14ac:dyDescent="0.3">
      <c r="A6732" s="89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867" t="s">
        <v>1695</v>
      </c>
      <c r="P6732" s="834"/>
    </row>
    <row r="6733" spans="1:17" ht="19.5" hidden="1" thickBot="1" x14ac:dyDescent="0.3">
      <c r="A6733" s="911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867" t="s">
        <v>1692</v>
      </c>
      <c r="P6733" s="834"/>
    </row>
    <row r="6734" spans="1:17" ht="19.5" hidden="1" thickBot="1" x14ac:dyDescent="0.3">
      <c r="A6734" s="91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867" t="s">
        <v>1693</v>
      </c>
      <c r="P6734" s="834"/>
    </row>
    <row r="6735" spans="1:17" ht="19.5" hidden="1" thickBot="1" x14ac:dyDescent="0.3">
      <c r="A6735" s="905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867" t="s">
        <v>1709</v>
      </c>
      <c r="P6735" s="834"/>
    </row>
    <row r="6736" spans="1:17" ht="19.5" hidden="1" thickBot="1" x14ac:dyDescent="0.3">
      <c r="A6736" s="90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867" t="s">
        <v>1710</v>
      </c>
      <c r="P6736" s="834"/>
    </row>
    <row r="6737" spans="1:16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867" t="s">
        <v>1706</v>
      </c>
      <c r="P6737" s="834"/>
    </row>
    <row r="6738" spans="1:16" ht="19.5" hidden="1" thickBot="1" x14ac:dyDescent="0.3">
      <c r="A6738" s="905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867" t="s">
        <v>1707</v>
      </c>
      <c r="P6738" s="834"/>
    </row>
    <row r="6739" spans="1:16" ht="19.5" hidden="1" thickBot="1" x14ac:dyDescent="0.3">
      <c r="A6739" s="90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867" t="s">
        <v>1708</v>
      </c>
      <c r="P6739" s="834"/>
    </row>
    <row r="6740" spans="1:16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867" t="s">
        <v>1716</v>
      </c>
    </row>
    <row r="6741" spans="1:16" ht="19.5" hidden="1" thickBot="1" x14ac:dyDescent="0.3">
      <c r="A6741" s="905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867" t="s">
        <v>1728</v>
      </c>
      <c r="P6741" s="847" t="s">
        <v>1731</v>
      </c>
    </row>
    <row r="6742" spans="1:16" ht="19.5" hidden="1" thickBot="1" x14ac:dyDescent="0.3">
      <c r="A6742" s="906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867" t="s">
        <v>1730</v>
      </c>
    </row>
    <row r="6743" spans="1:16" ht="19.5" hidden="1" thickBot="1" x14ac:dyDescent="0.3">
      <c r="A6743" s="90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867" t="s">
        <v>1729</v>
      </c>
    </row>
    <row r="6744" spans="1:16" ht="19.5" hidden="1" thickBot="1" x14ac:dyDescent="0.3">
      <c r="A6744" s="89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867" t="s">
        <v>1712</v>
      </c>
      <c r="P6744" s="847" t="s">
        <v>1715</v>
      </c>
    </row>
    <row r="6745" spans="1:16" ht="19.5" hidden="1" thickBot="1" x14ac:dyDescent="0.3">
      <c r="A6745" s="899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867" t="s">
        <v>1714</v>
      </c>
    </row>
    <row r="6746" spans="1:16" ht="19.5" hidden="1" thickBot="1" x14ac:dyDescent="0.3">
      <c r="A6746" s="89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867" t="s">
        <v>1713</v>
      </c>
      <c r="P6746" s="847" t="s">
        <v>1720</v>
      </c>
    </row>
    <row r="6747" spans="1:16" ht="19.5" hidden="1" thickBot="1" x14ac:dyDescent="0.3">
      <c r="A6747" s="892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867" t="s">
        <v>1717</v>
      </c>
    </row>
    <row r="6748" spans="1:16" ht="19.5" hidden="1" thickBot="1" x14ac:dyDescent="0.3">
      <c r="A6748" s="89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867" t="s">
        <v>1719</v>
      </c>
    </row>
    <row r="6749" spans="1:16" ht="19.5" hidden="1" thickBot="1" x14ac:dyDescent="0.3">
      <c r="A6749" s="89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867" t="s">
        <v>1718</v>
      </c>
    </row>
    <row r="6750" spans="1:16" ht="19.5" hidden="1" thickBot="1" x14ac:dyDescent="0.3">
      <c r="A6750" s="89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867" t="s">
        <v>1747</v>
      </c>
    </row>
    <row r="6751" spans="1:16" ht="19.5" hidden="1" thickBot="1" x14ac:dyDescent="0.3">
      <c r="A6751" s="899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867" t="s">
        <v>1748</v>
      </c>
    </row>
    <row r="6752" spans="1:16" ht="19.5" hidden="1" thickBot="1" x14ac:dyDescent="0.3">
      <c r="A6752" s="89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867" t="s">
        <v>1024</v>
      </c>
    </row>
    <row r="6753" spans="1:15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867" t="s">
        <v>1711</v>
      </c>
    </row>
    <row r="6754" spans="1:15" ht="19.5" hidden="1" thickBot="1" x14ac:dyDescent="0.3">
      <c r="A6754" s="89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867" t="s">
        <v>1736</v>
      </c>
    </row>
    <row r="6755" spans="1:15" ht="19.5" hidden="1" thickBot="1" x14ac:dyDescent="0.3">
      <c r="A6755" s="89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867" t="s">
        <v>1737</v>
      </c>
    </row>
    <row r="6756" spans="1:15" ht="19.5" hidden="1" thickBot="1" x14ac:dyDescent="0.3">
      <c r="A6756" s="905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867" t="s">
        <v>1738</v>
      </c>
    </row>
    <row r="6757" spans="1:15" ht="19.5" hidden="1" thickBot="1" x14ac:dyDescent="0.3">
      <c r="A6757" s="906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867" t="s">
        <v>1740</v>
      </c>
    </row>
    <row r="6758" spans="1:15" ht="19.5" hidden="1" thickBot="1" x14ac:dyDescent="0.3">
      <c r="A6758" s="90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867" t="s">
        <v>1739</v>
      </c>
    </row>
    <row r="6759" spans="1:15" ht="19.5" hidden="1" thickBot="1" x14ac:dyDescent="0.3">
      <c r="A6759" s="90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867" t="s">
        <v>1732</v>
      </c>
    </row>
    <row r="6760" spans="1:15" ht="19.5" hidden="1" thickBot="1" x14ac:dyDescent="0.3">
      <c r="A6760" s="90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867" t="s">
        <v>1733</v>
      </c>
    </row>
    <row r="6761" spans="1:15" ht="19.5" hidden="1" thickBot="1" x14ac:dyDescent="0.3">
      <c r="A6761" s="90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867" t="s">
        <v>1734</v>
      </c>
    </row>
    <row r="6762" spans="1:15" ht="19.5" hidden="1" thickBot="1" x14ac:dyDescent="0.3">
      <c r="A6762" s="91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867" t="s">
        <v>1735</v>
      </c>
    </row>
    <row r="6763" spans="1:15" ht="19.5" hidden="1" thickBot="1" x14ac:dyDescent="0.3">
      <c r="A6763" s="905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867" t="s">
        <v>1725</v>
      </c>
    </row>
    <row r="6764" spans="1:15" ht="19.5" hidden="1" thickBot="1" x14ac:dyDescent="0.3">
      <c r="A6764" s="90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867" t="s">
        <v>1726</v>
      </c>
    </row>
    <row r="6765" spans="1:15" ht="19.5" hidden="1" thickBot="1" x14ac:dyDescent="0.3">
      <c r="A6765" s="90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867" t="s">
        <v>1727</v>
      </c>
    </row>
    <row r="6766" spans="1:15" ht="19.5" hidden="1" thickBot="1" x14ac:dyDescent="0.3">
      <c r="A6766" s="89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867" t="s">
        <v>1741</v>
      </c>
    </row>
    <row r="6767" spans="1:15" ht="19.5" hidden="1" thickBot="1" x14ac:dyDescent="0.3">
      <c r="A6767" s="899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867" t="s">
        <v>1742</v>
      </c>
    </row>
    <row r="6768" spans="1:15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867" t="s">
        <v>1749</v>
      </c>
    </row>
    <row r="6769" spans="1:15" ht="19.5" hidden="1" thickBot="1" x14ac:dyDescent="0.3">
      <c r="A6769" s="89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867" t="s">
        <v>1753</v>
      </c>
    </row>
    <row r="6770" spans="1:15" ht="19.5" hidden="1" thickBot="1" x14ac:dyDescent="0.3">
      <c r="A6770" s="89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867" t="s">
        <v>1752</v>
      </c>
    </row>
    <row r="6771" spans="1:15" ht="19.5" hidden="1" thickBot="1" x14ac:dyDescent="0.3">
      <c r="A6771" s="905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867" t="s">
        <v>1743</v>
      </c>
    </row>
    <row r="6772" spans="1:15" ht="19.5" hidden="1" thickBot="1" x14ac:dyDescent="0.3">
      <c r="A6772" s="906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867" t="s">
        <v>1745</v>
      </c>
    </row>
    <row r="6773" spans="1:15" ht="19.5" hidden="1" thickBot="1" x14ac:dyDescent="0.3">
      <c r="A6773" s="90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867" t="s">
        <v>1744</v>
      </c>
    </row>
    <row r="6774" spans="1:15" ht="19.5" hidden="1" thickBot="1" x14ac:dyDescent="0.3">
      <c r="A6774" s="90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867" t="s">
        <v>1746</v>
      </c>
    </row>
    <row r="6775" spans="1:15" ht="19.5" hidden="1" thickBot="1" x14ac:dyDescent="0.3">
      <c r="A6775" s="90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867" t="s">
        <v>1754</v>
      </c>
    </row>
    <row r="6776" spans="1:15" ht="19.5" hidden="1" thickBot="1" x14ac:dyDescent="0.3">
      <c r="A6776" s="90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867" t="s">
        <v>1755</v>
      </c>
    </row>
    <row r="6777" spans="1:15" ht="19.5" hidden="1" thickBot="1" x14ac:dyDescent="0.3">
      <c r="A6777" s="90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867" t="s">
        <v>1756</v>
      </c>
    </row>
    <row r="6778" spans="1:15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867" t="s">
        <v>1757</v>
      </c>
    </row>
    <row r="6779" spans="1:15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867" t="s">
        <v>1751</v>
      </c>
    </row>
    <row r="6780" spans="1:15" ht="19.5" hidden="1" thickBot="1" x14ac:dyDescent="0.3">
      <c r="A6780" s="905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867" t="s">
        <v>1760</v>
      </c>
    </row>
    <row r="6781" spans="1:15" ht="19.5" hidden="1" thickBot="1" x14ac:dyDescent="0.3">
      <c r="A6781" s="90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867" t="s">
        <v>1761</v>
      </c>
    </row>
    <row r="6782" spans="1:15" ht="19.5" hidden="1" thickBot="1" x14ac:dyDescent="0.3">
      <c r="A6782" s="90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867" t="s">
        <v>1762</v>
      </c>
    </row>
    <row r="6783" spans="1:15" ht="19.5" hidden="1" thickBot="1" x14ac:dyDescent="0.3">
      <c r="A6783" s="90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867" t="s">
        <v>1763</v>
      </c>
    </row>
    <row r="6784" spans="1:15" ht="19.5" hidden="1" thickBot="1" x14ac:dyDescent="0.3">
      <c r="A6784" s="90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867" t="s">
        <v>1764</v>
      </c>
    </row>
    <row r="6785" spans="1:15" ht="18.75" hidden="1" customHeight="1" x14ac:dyDescent="0.25">
      <c r="A6785" s="905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1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867" t="s">
        <v>1767</v>
      </c>
    </row>
    <row r="6786" spans="1:15" ht="19.5" hidden="1" thickBot="1" x14ac:dyDescent="0.3">
      <c r="A6786" s="90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2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867" t="s">
        <v>1768</v>
      </c>
    </row>
    <row r="6787" spans="1:15" ht="49.5" hidden="1" customHeight="1" x14ac:dyDescent="0.25">
      <c r="A6787" s="89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1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867" t="s">
        <v>1780</v>
      </c>
    </row>
    <row r="6788" spans="1:15" ht="49.5" hidden="1" customHeight="1" thickBot="1" x14ac:dyDescent="0.3">
      <c r="A6788" s="899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1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867" t="s">
        <v>1781</v>
      </c>
    </row>
    <row r="6789" spans="1:15" ht="19.5" hidden="1" thickBot="1" x14ac:dyDescent="0.3">
      <c r="A6789" s="892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867" t="s">
        <v>1765</v>
      </c>
    </row>
    <row r="6790" spans="1:15" ht="19.5" hidden="1" thickBot="1" x14ac:dyDescent="0.3">
      <c r="A6790" s="89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867" t="s">
        <v>1766</v>
      </c>
    </row>
    <row r="6791" spans="1:15" ht="19.5" hidden="1" thickBot="1" x14ac:dyDescent="0.3">
      <c r="A6791" s="89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867" t="s">
        <v>1772</v>
      </c>
    </row>
    <row r="6792" spans="1:15" ht="19.5" hidden="1" thickBot="1" x14ac:dyDescent="0.3">
      <c r="A6792" s="899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867" t="s">
        <v>1024</v>
      </c>
    </row>
    <row r="6793" spans="1:15" ht="19.5" hidden="1" thickBot="1" x14ac:dyDescent="0.3">
      <c r="A6793" s="899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867" t="s">
        <v>1773</v>
      </c>
    </row>
    <row r="6794" spans="1:15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867" t="s">
        <v>1782</v>
      </c>
    </row>
    <row r="6795" spans="1:15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867" t="s">
        <v>1771</v>
      </c>
    </row>
    <row r="6796" spans="1:15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867" t="s">
        <v>1788</v>
      </c>
    </row>
    <row r="6797" spans="1:15" ht="19.5" hidden="1" thickBot="1" x14ac:dyDescent="0.3">
      <c r="A6797" s="90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02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867" t="s">
        <v>1776</v>
      </c>
    </row>
    <row r="6798" spans="1:15" ht="19.5" hidden="1" thickBot="1" x14ac:dyDescent="0.3">
      <c r="A6798" s="90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867" t="s">
        <v>1778</v>
      </c>
    </row>
    <row r="6799" spans="1:15" ht="19.5" hidden="1" thickBot="1" x14ac:dyDescent="0.3">
      <c r="A6799" s="90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867" t="s">
        <v>1779</v>
      </c>
    </row>
    <row r="6800" spans="1:15" ht="19.5" hidden="1" thickBot="1" x14ac:dyDescent="0.3">
      <c r="A6800" s="90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867" t="s">
        <v>1777</v>
      </c>
    </row>
    <row r="6801" spans="1:15" ht="19.5" hidden="1" thickBot="1" x14ac:dyDescent="0.3">
      <c r="A6801" s="892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867" t="s">
        <v>1790</v>
      </c>
    </row>
    <row r="6802" spans="1:15" ht="19.5" hidden="1" thickBot="1" x14ac:dyDescent="0.3">
      <c r="A6802" s="89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867" t="s">
        <v>1789</v>
      </c>
    </row>
    <row r="6803" spans="1:15" ht="19.5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/>
      <c r="F6803" s="508" t="s">
        <v>16</v>
      </c>
      <c r="G6803" s="509"/>
      <c r="H6803" s="508" t="s">
        <v>1769</v>
      </c>
      <c r="I6803" s="510"/>
      <c r="J6803" s="511"/>
      <c r="K6803" s="504"/>
      <c r="L6803" s="508" t="s">
        <v>266</v>
      </c>
      <c r="M6803" s="508">
        <v>18126.759999999998</v>
      </c>
      <c r="N6803" s="512">
        <v>0.41666666666666669</v>
      </c>
    </row>
    <row r="6804" spans="1:15" ht="19.5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14"/>
      <c r="L6804" s="518" t="s">
        <v>266</v>
      </c>
      <c r="M6804" s="518">
        <v>18171.45</v>
      </c>
      <c r="N6804" s="522">
        <v>0.45833333333333331</v>
      </c>
      <c r="O6804" s="867" t="s">
        <v>1791</v>
      </c>
    </row>
    <row r="6805" spans="1:15" ht="19.5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/>
      <c r="F6805" s="508" t="s">
        <v>16</v>
      </c>
      <c r="G6805" s="509"/>
      <c r="H6805" s="508" t="s">
        <v>1769</v>
      </c>
      <c r="I6805" s="510"/>
      <c r="J6805" s="511"/>
      <c r="K6805" s="504"/>
      <c r="L6805" s="508" t="s">
        <v>266</v>
      </c>
      <c r="M6805" s="508">
        <v>17890.199999999997</v>
      </c>
      <c r="N6805" s="512">
        <v>0.5</v>
      </c>
    </row>
    <row r="6806" spans="1:15" ht="19.5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/>
      <c r="F6806" s="518" t="s">
        <v>16</v>
      </c>
      <c r="G6806" s="519"/>
      <c r="H6806" s="518" t="s">
        <v>1769</v>
      </c>
      <c r="I6806" s="520"/>
      <c r="J6806" s="521"/>
      <c r="K6806" s="514"/>
      <c r="L6806" s="518" t="s">
        <v>266</v>
      </c>
      <c r="M6806" s="518">
        <v>18182.159999999996</v>
      </c>
      <c r="N6806" s="522">
        <v>0.54166666666666663</v>
      </c>
    </row>
    <row r="6807" spans="1:15" ht="19.5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/>
      <c r="F6807" s="556" t="s">
        <v>16</v>
      </c>
      <c r="G6807" s="557"/>
      <c r="H6807" s="556" t="s">
        <v>1769</v>
      </c>
      <c r="I6807" s="558"/>
      <c r="J6807" s="559"/>
      <c r="K6807" s="552"/>
      <c r="L6807" s="556" t="s">
        <v>266</v>
      </c>
      <c r="M6807" s="556">
        <v>18167.34</v>
      </c>
      <c r="N6807" s="560">
        <v>0.58333333333333337</v>
      </c>
    </row>
    <row r="6808" spans="1:15" ht="56.25" x14ac:dyDescent="0.25">
      <c r="A6808" s="892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79"/>
      <c r="L6808" s="483" t="s">
        <v>28</v>
      </c>
      <c r="M6808" s="483">
        <v>1104.48</v>
      </c>
      <c r="N6808" s="486">
        <v>0.625</v>
      </c>
      <c r="O6808" s="867" t="s">
        <v>1784</v>
      </c>
    </row>
    <row r="6809" spans="1:15" x14ac:dyDescent="0.25">
      <c r="A6809" s="89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91"/>
      <c r="L6809" s="763" t="s">
        <v>28</v>
      </c>
      <c r="M6809" s="763">
        <v>8809.7200000000012</v>
      </c>
      <c r="N6809" s="770">
        <v>0.625</v>
      </c>
      <c r="O6809" s="867" t="s">
        <v>1785</v>
      </c>
    </row>
    <row r="6810" spans="1:15" x14ac:dyDescent="0.25">
      <c r="A6810" s="89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91"/>
      <c r="L6810" s="763" t="s">
        <v>28</v>
      </c>
      <c r="M6810" s="763">
        <v>8130.0599999999995</v>
      </c>
      <c r="N6810" s="770">
        <v>0.625</v>
      </c>
      <c r="O6810" s="867" t="s">
        <v>1786</v>
      </c>
    </row>
    <row r="6811" spans="1:15" ht="19.5" thickBot="1" x14ac:dyDescent="0.3">
      <c r="A6811" s="89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9"/>
      <c r="L6811" s="808" t="s">
        <v>28</v>
      </c>
      <c r="M6811" s="856">
        <v>5715</v>
      </c>
      <c r="N6811" s="778">
        <v>0.625</v>
      </c>
      <c r="O6811" s="867" t="s">
        <v>1787</v>
      </c>
    </row>
    <row r="6812" spans="1:15" x14ac:dyDescent="0.25">
      <c r="A6812" s="89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/>
      <c r="J6812" s="538"/>
      <c r="K6812" s="531"/>
      <c r="L6812" s="535" t="s">
        <v>265</v>
      </c>
      <c r="M6812" s="535">
        <v>13866.84</v>
      </c>
      <c r="N6812" s="539">
        <v>0.375</v>
      </c>
      <c r="O6812" s="867" t="s">
        <v>1799</v>
      </c>
    </row>
    <row r="6813" spans="1:15" x14ac:dyDescent="0.25">
      <c r="A6813" s="899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/>
      <c r="J6813" s="570"/>
      <c r="K6813" s="563"/>
      <c r="L6813" s="567" t="s">
        <v>265</v>
      </c>
      <c r="M6813" s="567">
        <v>2539.8399999999997</v>
      </c>
      <c r="N6813" s="571">
        <v>0.375</v>
      </c>
      <c r="O6813" s="867" t="s">
        <v>1800</v>
      </c>
    </row>
    <row r="6814" spans="1:15" x14ac:dyDescent="0.25">
      <c r="A6814" s="899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/>
      <c r="J6814" s="825"/>
      <c r="K6814" s="849"/>
      <c r="L6814" s="819" t="s">
        <v>265</v>
      </c>
      <c r="M6814" s="819">
        <v>1265.2599999999995</v>
      </c>
      <c r="N6814" s="811">
        <v>0.375</v>
      </c>
      <c r="O6814" s="867" t="s">
        <v>1801</v>
      </c>
    </row>
    <row r="6815" spans="1:15" ht="19.5" thickBot="1" x14ac:dyDescent="0.3">
      <c r="A6815" s="89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/>
      <c r="J6815" s="790"/>
      <c r="K6815" s="877"/>
      <c r="L6815" s="788" t="s">
        <v>265</v>
      </c>
      <c r="M6815" s="788">
        <v>1815</v>
      </c>
      <c r="N6815" s="784">
        <v>0.375</v>
      </c>
      <c r="O6815" s="867" t="s">
        <v>1802</v>
      </c>
    </row>
    <row r="6816" spans="1:15" ht="19.5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/>
      <c r="F6816" s="518" t="s">
        <v>30</v>
      </c>
      <c r="G6816" s="519"/>
      <c r="H6816" s="518" t="s">
        <v>1774</v>
      </c>
      <c r="I6816" s="520"/>
      <c r="J6816" s="521"/>
      <c r="K6816" s="514"/>
      <c r="L6816" s="518" t="s">
        <v>28</v>
      </c>
      <c r="M6816" s="518">
        <v>11131.199999999999</v>
      </c>
      <c r="N6816" s="522">
        <v>0.41666666666666669</v>
      </c>
    </row>
    <row r="6817" spans="1:17" x14ac:dyDescent="0.25">
      <c r="A6817" s="89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/>
      <c r="F6817" s="535" t="s">
        <v>16</v>
      </c>
      <c r="G6817" s="536"/>
      <c r="H6817" s="535" t="s">
        <v>1774</v>
      </c>
      <c r="I6817" s="537"/>
      <c r="J6817" s="538"/>
      <c r="K6817" s="531"/>
      <c r="L6817" s="535" t="s">
        <v>266</v>
      </c>
      <c r="M6817" s="535">
        <v>10512.859999999997</v>
      </c>
      <c r="N6817" s="539">
        <v>0.41666666666666669</v>
      </c>
    </row>
    <row r="6818" spans="1:17" x14ac:dyDescent="0.25">
      <c r="A6818" s="899"/>
      <c r="B6818" s="849" t="s">
        <v>1759</v>
      </c>
      <c r="C6818" s="820" t="s">
        <v>32</v>
      </c>
      <c r="D6818" s="821">
        <v>1.7490000000000001</v>
      </c>
      <c r="E6818" s="822"/>
      <c r="F6818" s="819" t="s">
        <v>16</v>
      </c>
      <c r="G6818" s="823" t="s">
        <v>1702</v>
      </c>
      <c r="H6818" s="819" t="s">
        <v>1774</v>
      </c>
      <c r="I6818" s="782"/>
      <c r="J6818" s="825"/>
      <c r="K6818" s="849"/>
      <c r="L6818" s="819" t="s">
        <v>266</v>
      </c>
      <c r="M6818" s="819">
        <v>1752.3000000000002</v>
      </c>
      <c r="N6818" s="811">
        <v>0.41666666666666669</v>
      </c>
    </row>
    <row r="6819" spans="1:17" x14ac:dyDescent="0.25">
      <c r="A6819" s="899"/>
      <c r="B6819" s="848" t="s">
        <v>1774</v>
      </c>
      <c r="C6819" s="799" t="s">
        <v>41</v>
      </c>
      <c r="D6819" s="800">
        <v>1.98</v>
      </c>
      <c r="E6819" s="800"/>
      <c r="F6819" s="801" t="s">
        <v>16</v>
      </c>
      <c r="G6819" s="802" t="s">
        <v>76</v>
      </c>
      <c r="H6819" s="816" t="s">
        <v>1783</v>
      </c>
      <c r="I6819" s="801"/>
      <c r="J6819" s="803"/>
      <c r="K6819" s="848"/>
      <c r="L6819" s="816" t="s">
        <v>266</v>
      </c>
      <c r="M6819" s="801">
        <v>1981.2</v>
      </c>
      <c r="N6819" s="811">
        <v>0.41666666666666669</v>
      </c>
    </row>
    <row r="6820" spans="1:17" x14ac:dyDescent="0.25">
      <c r="A6820" s="899"/>
      <c r="B6820" s="848" t="s">
        <v>1774</v>
      </c>
      <c r="C6820" s="799" t="s">
        <v>32</v>
      </c>
      <c r="D6820" s="800">
        <v>6.32</v>
      </c>
      <c r="E6820" s="800"/>
      <c r="F6820" s="801" t="s">
        <v>16</v>
      </c>
      <c r="G6820" s="802" t="s">
        <v>1792</v>
      </c>
      <c r="H6820" s="816" t="s">
        <v>1783</v>
      </c>
      <c r="I6820" s="801"/>
      <c r="J6820" s="803"/>
      <c r="K6820" s="848"/>
      <c r="L6820" s="816" t="s">
        <v>266</v>
      </c>
      <c r="M6820" s="801">
        <v>6325.8</v>
      </c>
      <c r="N6820" s="811">
        <v>0.41666666666666669</v>
      </c>
    </row>
    <row r="6821" spans="1:17" ht="19.5" thickBot="1" x14ac:dyDescent="0.3">
      <c r="A6821" s="89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69"/>
      <c r="L6821" s="873" t="s">
        <v>266</v>
      </c>
      <c r="M6821" s="873">
        <v>5701.8</v>
      </c>
      <c r="N6821" s="784">
        <v>0.41666666666666669</v>
      </c>
      <c r="O6821" s="867" t="s">
        <v>1024</v>
      </c>
    </row>
    <row r="6822" spans="1:17" x14ac:dyDescent="0.25">
      <c r="A6822" s="892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/>
      <c r="F6822" s="483" t="s">
        <v>16</v>
      </c>
      <c r="G6822" s="549" t="s">
        <v>1775</v>
      </c>
      <c r="H6822" s="483" t="s">
        <v>1770</v>
      </c>
      <c r="I6822" s="484"/>
      <c r="J6822" s="485"/>
      <c r="K6822" s="479"/>
      <c r="L6822" s="483" t="s">
        <v>28</v>
      </c>
      <c r="M6822" s="483">
        <v>5401.7999999999993</v>
      </c>
      <c r="N6822" s="486">
        <v>0.5</v>
      </c>
      <c r="O6822" s="890">
        <f t="shared" ref="O6822:O6833" si="206">M6822+P6822</f>
        <v>4195.7999999999993</v>
      </c>
      <c r="P6822" s="847">
        <v>-1206</v>
      </c>
    </row>
    <row r="6823" spans="1:17" x14ac:dyDescent="0.25">
      <c r="A6823" s="893"/>
      <c r="B6823" s="791" t="s">
        <v>1759</v>
      </c>
      <c r="C6823" s="764" t="s">
        <v>15</v>
      </c>
      <c r="D6823" s="765">
        <v>2.6219999999999999</v>
      </c>
      <c r="E6823" s="766"/>
      <c r="F6823" s="763" t="s">
        <v>16</v>
      </c>
      <c r="G6823" s="767"/>
      <c r="H6823" s="763" t="s">
        <v>1770</v>
      </c>
      <c r="I6823" s="768"/>
      <c r="J6823" s="779"/>
      <c r="K6823" s="791"/>
      <c r="L6823" s="763" t="s">
        <v>28</v>
      </c>
      <c r="M6823" s="763">
        <v>2720.36</v>
      </c>
      <c r="N6823" s="770">
        <v>0.5</v>
      </c>
      <c r="O6823" s="890">
        <f t="shared" si="206"/>
        <v>2690.36</v>
      </c>
      <c r="P6823" s="847">
        <v>-30</v>
      </c>
    </row>
    <row r="6824" spans="1:17" x14ac:dyDescent="0.25">
      <c r="A6824" s="893"/>
      <c r="B6824" s="791" t="s">
        <v>1723</v>
      </c>
      <c r="C6824" s="764" t="s">
        <v>24</v>
      </c>
      <c r="D6824" s="765">
        <v>5.4240000000000004</v>
      </c>
      <c r="E6824" s="766"/>
      <c r="F6824" s="763" t="s">
        <v>16</v>
      </c>
      <c r="G6824" s="767" t="s">
        <v>1775</v>
      </c>
      <c r="H6824" s="763" t="s">
        <v>1770</v>
      </c>
      <c r="I6824" s="768"/>
      <c r="J6824" s="779"/>
      <c r="K6824" s="791"/>
      <c r="L6824" s="763" t="s">
        <v>28</v>
      </c>
      <c r="M6824" s="763">
        <v>5454.6</v>
      </c>
      <c r="N6824" s="770">
        <v>0.54166666666666663</v>
      </c>
      <c r="O6824" s="890">
        <f t="shared" si="206"/>
        <v>4446.6000000000004</v>
      </c>
      <c r="P6824" s="847">
        <v>-1008</v>
      </c>
    </row>
    <row r="6825" spans="1:17" x14ac:dyDescent="0.25">
      <c r="A6825" s="893"/>
      <c r="B6825" s="881" t="s">
        <v>1759</v>
      </c>
      <c r="C6825" s="882" t="s">
        <v>24</v>
      </c>
      <c r="D6825" s="883">
        <v>4.1840000000000002</v>
      </c>
      <c r="E6825" s="884"/>
      <c r="F6825" s="885" t="s">
        <v>16</v>
      </c>
      <c r="G6825" s="886"/>
      <c r="H6825" s="885" t="s">
        <v>1770</v>
      </c>
      <c r="I6825" s="887"/>
      <c r="J6825" s="888"/>
      <c r="K6825" s="881"/>
      <c r="L6825" s="885" t="s">
        <v>28</v>
      </c>
      <c r="M6825" s="885">
        <v>4295.45</v>
      </c>
      <c r="N6825" s="846">
        <v>0.54166666666666663</v>
      </c>
      <c r="O6825" s="890">
        <f t="shared" ref="O6825" si="207">M6825+P6825</f>
        <v>2775.45</v>
      </c>
      <c r="P6825" s="847">
        <v>-1520</v>
      </c>
    </row>
    <row r="6826" spans="1:17" x14ac:dyDescent="0.25">
      <c r="A6826" s="893"/>
      <c r="B6826" s="891" t="s">
        <v>1774</v>
      </c>
      <c r="C6826" s="842" t="s">
        <v>15</v>
      </c>
      <c r="D6826" s="843">
        <v>1.357</v>
      </c>
      <c r="E6826" s="843"/>
      <c r="F6826" s="844" t="s">
        <v>16</v>
      </c>
      <c r="G6826" s="851" t="s">
        <v>76</v>
      </c>
      <c r="H6826" s="844" t="s">
        <v>1770</v>
      </c>
      <c r="I6826" s="844"/>
      <c r="J6826" s="845"/>
      <c r="K6826" s="891"/>
      <c r="L6826" s="844" t="s">
        <v>28</v>
      </c>
      <c r="M6826" s="844">
        <v>1377.6</v>
      </c>
      <c r="N6826" s="846">
        <v>0.54166666666666663</v>
      </c>
      <c r="O6826" s="890"/>
    </row>
    <row r="6827" spans="1:17" ht="19.5" thickBot="1" x14ac:dyDescent="0.3">
      <c r="A6827" s="894"/>
      <c r="B6827" s="891" t="s">
        <v>1774</v>
      </c>
      <c r="C6827" s="842" t="s">
        <v>24</v>
      </c>
      <c r="D6827" s="843">
        <v>2.1360000000000001</v>
      </c>
      <c r="E6827" s="843"/>
      <c r="F6827" s="844" t="s">
        <v>16</v>
      </c>
      <c r="G6827" s="851" t="s">
        <v>76</v>
      </c>
      <c r="H6827" s="844" t="s">
        <v>1770</v>
      </c>
      <c r="I6827" s="844"/>
      <c r="J6827" s="845"/>
      <c r="K6827" s="891"/>
      <c r="L6827" s="844" t="s">
        <v>28</v>
      </c>
      <c r="M6827" s="844">
        <v>2160</v>
      </c>
      <c r="N6827" s="846">
        <v>0.54166666666666663</v>
      </c>
      <c r="O6827" s="890"/>
    </row>
    <row r="6828" spans="1:17" ht="37.5" x14ac:dyDescent="0.25">
      <c r="A6828" s="908">
        <f>MAX(A6789:A6827)+1</f>
        <v>4267</v>
      </c>
      <c r="B6828" s="759" t="s">
        <v>1723</v>
      </c>
      <c r="C6828" s="532" t="s">
        <v>47</v>
      </c>
      <c r="D6828" s="533">
        <v>15.48</v>
      </c>
      <c r="E6828" s="534"/>
      <c r="F6828" s="535" t="s">
        <v>16</v>
      </c>
      <c r="G6828" s="536" t="s">
        <v>1795</v>
      </c>
      <c r="H6828" s="535" t="s">
        <v>1770</v>
      </c>
      <c r="I6828" s="537"/>
      <c r="J6828" s="538"/>
      <c r="K6828" s="531"/>
      <c r="L6828" s="535" t="s">
        <v>28</v>
      </c>
      <c r="M6828" s="535">
        <v>15500.699999999999</v>
      </c>
      <c r="N6828" s="539">
        <v>0.58333333333333337</v>
      </c>
      <c r="O6828" s="880">
        <f t="shared" si="206"/>
        <v>11900.699999999999</v>
      </c>
      <c r="P6828" s="847">
        <v>-3600</v>
      </c>
      <c r="Q6828" s="833" t="s">
        <v>1794</v>
      </c>
    </row>
    <row r="6829" spans="1:17" x14ac:dyDescent="0.25">
      <c r="A6829" s="909"/>
      <c r="B6829" s="824" t="s">
        <v>1723</v>
      </c>
      <c r="C6829" s="820" t="s">
        <v>23</v>
      </c>
      <c r="D6829" s="821">
        <v>12.407999999999999</v>
      </c>
      <c r="E6829" s="822"/>
      <c r="F6829" s="819" t="s">
        <v>16</v>
      </c>
      <c r="G6829" s="823" t="s">
        <v>1775</v>
      </c>
      <c r="H6829" s="819" t="s">
        <v>1770</v>
      </c>
      <c r="I6829" s="782"/>
      <c r="J6829" s="825"/>
      <c r="K6829" s="849"/>
      <c r="L6829" s="819" t="s">
        <v>28</v>
      </c>
      <c r="M6829" s="819">
        <v>12426.6</v>
      </c>
      <c r="N6829" s="811">
        <v>0.45833333333333331</v>
      </c>
      <c r="O6829" s="880">
        <f>M6829+P6829</f>
        <v>6423.6</v>
      </c>
      <c r="P6829" s="847">
        <v>-6003</v>
      </c>
    </row>
    <row r="6830" spans="1:17" ht="38.25" thickBot="1" x14ac:dyDescent="0.3">
      <c r="A6830" s="910"/>
      <c r="B6830" s="889" t="s">
        <v>1759</v>
      </c>
      <c r="C6830" s="870" t="s">
        <v>47</v>
      </c>
      <c r="D6830" s="871">
        <v>2.2669999999999999</v>
      </c>
      <c r="E6830" s="872"/>
      <c r="F6830" s="873" t="s">
        <v>16</v>
      </c>
      <c r="G6830" s="789" t="s">
        <v>1796</v>
      </c>
      <c r="H6830" s="873" t="s">
        <v>1770</v>
      </c>
      <c r="I6830" s="875"/>
      <c r="J6830" s="876"/>
      <c r="K6830" s="869"/>
      <c r="L6830" s="873" t="s">
        <v>28</v>
      </c>
      <c r="M6830" s="873">
        <v>2371.2200000000003</v>
      </c>
      <c r="N6830" s="784">
        <v>0.58333333333333337</v>
      </c>
      <c r="O6830" s="880">
        <f>M6830</f>
        <v>2371.2200000000003</v>
      </c>
      <c r="P6830" s="847" t="s">
        <v>1793</v>
      </c>
    </row>
    <row r="6831" spans="1:17" x14ac:dyDescent="0.25">
      <c r="A6831" s="892">
        <f>MAX(A6790:A6830)+1</f>
        <v>4268</v>
      </c>
      <c r="B6831" s="479" t="s">
        <v>1759</v>
      </c>
      <c r="C6831" s="480" t="s">
        <v>26</v>
      </c>
      <c r="D6831" s="481">
        <v>17.286999999999999</v>
      </c>
      <c r="E6831" s="482"/>
      <c r="F6831" s="483" t="s">
        <v>16</v>
      </c>
      <c r="G6831" s="549"/>
      <c r="H6831" s="483" t="s">
        <v>1770</v>
      </c>
      <c r="I6831" s="484"/>
      <c r="J6831" s="485"/>
      <c r="K6831" s="479"/>
      <c r="L6831" s="483" t="s">
        <v>265</v>
      </c>
      <c r="M6831" s="483">
        <v>17441.560000000001</v>
      </c>
      <c r="N6831" s="486">
        <v>0.375</v>
      </c>
      <c r="O6831" s="878"/>
    </row>
    <row r="6832" spans="1:17" ht="19.5" thickBot="1" x14ac:dyDescent="0.3">
      <c r="A6832" s="894"/>
      <c r="B6832" s="859" t="s">
        <v>1774</v>
      </c>
      <c r="C6832" s="854" t="s">
        <v>26</v>
      </c>
      <c r="D6832" s="855">
        <v>0.5</v>
      </c>
      <c r="E6832" s="855"/>
      <c r="F6832" s="856" t="s">
        <v>16</v>
      </c>
      <c r="G6832" s="857" t="s">
        <v>76</v>
      </c>
      <c r="H6832" s="856" t="s">
        <v>1770</v>
      </c>
      <c r="I6832" s="856"/>
      <c r="J6832" s="858"/>
      <c r="K6832" s="859"/>
      <c r="L6832" s="856" t="s">
        <v>265</v>
      </c>
      <c r="M6832" s="856">
        <v>510</v>
      </c>
      <c r="N6832" s="653">
        <v>0.375</v>
      </c>
      <c r="O6832" s="878"/>
    </row>
    <row r="6833" spans="1:16" x14ac:dyDescent="0.25">
      <c r="A6833" s="897">
        <f>MAX(A6791:A6832)+1</f>
        <v>4269</v>
      </c>
      <c r="B6833" s="552" t="s">
        <v>1759</v>
      </c>
      <c r="C6833" s="553" t="s">
        <v>23</v>
      </c>
      <c r="D6833" s="554">
        <v>17.472000000000001</v>
      </c>
      <c r="E6833" s="555"/>
      <c r="F6833" s="556" t="s">
        <v>16</v>
      </c>
      <c r="G6833" s="557"/>
      <c r="H6833" s="556" t="s">
        <v>1770</v>
      </c>
      <c r="I6833" s="558"/>
      <c r="J6833" s="559"/>
      <c r="K6833" s="552"/>
      <c r="L6833" s="556" t="s">
        <v>28</v>
      </c>
      <c r="M6833" s="556">
        <v>17649.77</v>
      </c>
      <c r="N6833" s="560">
        <v>0.625</v>
      </c>
      <c r="O6833" s="879">
        <f t="shared" si="206"/>
        <v>16443.77</v>
      </c>
      <c r="P6833" s="847">
        <v>-1206</v>
      </c>
    </row>
    <row r="6834" spans="1:16" ht="19.5" thickBot="1" x14ac:dyDescent="0.3">
      <c r="A6834" s="898"/>
      <c r="B6834" s="849" t="s">
        <v>1723</v>
      </c>
      <c r="C6834" s="820" t="s">
        <v>1382</v>
      </c>
      <c r="D6834" s="821">
        <v>1.4139999999999999</v>
      </c>
      <c r="E6834" s="822"/>
      <c r="F6834" s="819" t="s">
        <v>16</v>
      </c>
      <c r="G6834" s="823"/>
      <c r="H6834" s="819" t="s">
        <v>1770</v>
      </c>
      <c r="I6834" s="782"/>
      <c r="J6834" s="825"/>
      <c r="K6834" s="849"/>
      <c r="L6834" s="819" t="s">
        <v>28</v>
      </c>
      <c r="M6834" s="819">
        <v>1472.01</v>
      </c>
      <c r="N6834" s="811">
        <v>0.45833333333333331</v>
      </c>
      <c r="O6834" s="879">
        <f>M6834+P6834</f>
        <v>1244.01</v>
      </c>
      <c r="P6834" s="847">
        <v>-228</v>
      </c>
    </row>
    <row r="6835" spans="1:16" ht="19.5" thickBot="1" x14ac:dyDescent="0.3">
      <c r="A6835" s="513">
        <f>MAX(A6792:A6833)+1</f>
        <v>4270</v>
      </c>
      <c r="B6835" s="514" t="s">
        <v>1769</v>
      </c>
      <c r="C6835" s="515" t="s">
        <v>26</v>
      </c>
      <c r="D6835" s="516">
        <v>15.28</v>
      </c>
      <c r="E6835" s="517"/>
      <c r="F6835" s="518" t="s">
        <v>30</v>
      </c>
      <c r="G6835" s="519"/>
      <c r="H6835" s="518" t="s">
        <v>1770</v>
      </c>
      <c r="I6835" s="520"/>
      <c r="J6835" s="521"/>
      <c r="K6835" s="514"/>
      <c r="L6835" s="518" t="s">
        <v>265</v>
      </c>
      <c r="M6835" s="518">
        <v>15280.68</v>
      </c>
      <c r="N6835" s="522">
        <v>0.375</v>
      </c>
    </row>
    <row r="6836" spans="1:16" x14ac:dyDescent="0.25">
      <c r="A6836" s="897">
        <f>MAX(A6793:A6835)+1</f>
        <v>4271</v>
      </c>
      <c r="B6836" s="531" t="s">
        <v>1769</v>
      </c>
      <c r="C6836" s="532" t="s">
        <v>26</v>
      </c>
      <c r="D6836" s="533">
        <v>15.718</v>
      </c>
      <c r="E6836" s="534"/>
      <c r="F6836" s="535" t="s">
        <v>16</v>
      </c>
      <c r="G6836" s="536"/>
      <c r="H6836" s="535" t="s">
        <v>1783</v>
      </c>
      <c r="I6836" s="537"/>
      <c r="J6836" s="538"/>
      <c r="K6836" s="531"/>
      <c r="L6836" s="535" t="s">
        <v>265</v>
      </c>
      <c r="M6836" s="535">
        <v>15820.990000000002</v>
      </c>
      <c r="N6836" s="539">
        <v>0.375</v>
      </c>
    </row>
    <row r="6837" spans="1:16" ht="19.5" thickBot="1" x14ac:dyDescent="0.3">
      <c r="A6837" s="898"/>
      <c r="B6837" s="636" t="s">
        <v>1769</v>
      </c>
      <c r="C6837" s="637" t="s">
        <v>952</v>
      </c>
      <c r="D6837" s="638">
        <v>1.66</v>
      </c>
      <c r="E6837" s="639"/>
      <c r="F6837" s="640" t="s">
        <v>16</v>
      </c>
      <c r="G6837" s="641"/>
      <c r="H6837" s="640" t="s">
        <v>1783</v>
      </c>
      <c r="I6837" s="642"/>
      <c r="J6837" s="643"/>
      <c r="K6837" s="636"/>
      <c r="L6837" s="640" t="s">
        <v>265</v>
      </c>
      <c r="M6837" s="640">
        <v>1743.48</v>
      </c>
      <c r="N6837" s="644">
        <v>0.375</v>
      </c>
    </row>
    <row r="6838" spans="1:16" x14ac:dyDescent="0.25">
      <c r="A6838" s="892">
        <f>MAX(A6795:A6837)+1</f>
        <v>4272</v>
      </c>
      <c r="B6838" s="479" t="s">
        <v>1769</v>
      </c>
      <c r="C6838" s="480" t="s">
        <v>587</v>
      </c>
      <c r="D6838" s="481">
        <v>9.4969999999999999</v>
      </c>
      <c r="E6838" s="482"/>
      <c r="F6838" s="483" t="s">
        <v>16</v>
      </c>
      <c r="G6838" s="549" t="s">
        <v>47</v>
      </c>
      <c r="H6838" s="483" t="s">
        <v>1783</v>
      </c>
      <c r="I6838" s="484"/>
      <c r="J6838" s="485"/>
      <c r="K6838" s="479"/>
      <c r="L6838" s="483" t="s">
        <v>28</v>
      </c>
      <c r="M6838" s="483">
        <v>9497.5999999999985</v>
      </c>
      <c r="N6838" s="486">
        <v>0.41666666666666669</v>
      </c>
    </row>
    <row r="6839" spans="1:16" ht="19.5" thickBot="1" x14ac:dyDescent="0.3">
      <c r="A6839" s="894"/>
      <c r="B6839" s="645" t="s">
        <v>1769</v>
      </c>
      <c r="C6839" s="646" t="s">
        <v>47</v>
      </c>
      <c r="D6839" s="647">
        <v>8.5619999999999994</v>
      </c>
      <c r="E6839" s="648"/>
      <c r="F6839" s="649" t="s">
        <v>16</v>
      </c>
      <c r="G6839" s="650"/>
      <c r="H6839" s="649" t="s">
        <v>1783</v>
      </c>
      <c r="I6839" s="651"/>
      <c r="J6839" s="652"/>
      <c r="K6839" s="645"/>
      <c r="L6839" s="649" t="s">
        <v>28</v>
      </c>
      <c r="M6839" s="649">
        <v>8634.7800000000007</v>
      </c>
      <c r="N6839" s="653">
        <v>0.41666666666666669</v>
      </c>
    </row>
    <row r="6840" spans="1:16" x14ac:dyDescent="0.25">
      <c r="A6840" s="897">
        <f>MAX(A6797:A6839)+1</f>
        <v>4273</v>
      </c>
      <c r="B6840" s="531" t="s">
        <v>1769</v>
      </c>
      <c r="C6840" s="532" t="s">
        <v>840</v>
      </c>
      <c r="D6840" s="533">
        <v>13.709</v>
      </c>
      <c r="E6840" s="534"/>
      <c r="F6840" s="535" t="s">
        <v>16</v>
      </c>
      <c r="G6840" s="536"/>
      <c r="H6840" s="535" t="s">
        <v>1783</v>
      </c>
      <c r="I6840" s="537"/>
      <c r="J6840" s="538"/>
      <c r="K6840" s="531"/>
      <c r="L6840" s="535" t="s">
        <v>266</v>
      </c>
      <c r="M6840" s="535">
        <v>13800.840000000002</v>
      </c>
      <c r="N6840" s="539">
        <v>0.45833333333333331</v>
      </c>
    </row>
    <row r="6841" spans="1:16" x14ac:dyDescent="0.25">
      <c r="A6841" s="899"/>
      <c r="B6841" s="563" t="s">
        <v>1769</v>
      </c>
      <c r="C6841" s="564" t="s">
        <v>913</v>
      </c>
      <c r="D6841" s="565">
        <v>2.3730000000000002</v>
      </c>
      <c r="E6841" s="566"/>
      <c r="F6841" s="567" t="s">
        <v>16</v>
      </c>
      <c r="G6841" s="568"/>
      <c r="H6841" s="567" t="s">
        <v>1783</v>
      </c>
      <c r="I6841" s="569"/>
      <c r="J6841" s="570"/>
      <c r="K6841" s="563"/>
      <c r="L6841" s="567" t="s">
        <v>266</v>
      </c>
      <c r="M6841" s="567">
        <v>2417.71</v>
      </c>
      <c r="N6841" s="571">
        <v>0.45833333333333331</v>
      </c>
    </row>
    <row r="6842" spans="1:16" ht="19.5" thickBot="1" x14ac:dyDescent="0.3">
      <c r="A6842" s="898"/>
      <c r="B6842" s="636" t="s">
        <v>1769</v>
      </c>
      <c r="C6842" s="637" t="s">
        <v>23</v>
      </c>
      <c r="D6842" s="638">
        <v>1.6</v>
      </c>
      <c r="E6842" s="639"/>
      <c r="F6842" s="640" t="s">
        <v>16</v>
      </c>
      <c r="G6842" s="641"/>
      <c r="H6842" s="640" t="s">
        <v>1783</v>
      </c>
      <c r="I6842" s="642"/>
      <c r="J6842" s="643"/>
      <c r="K6842" s="636"/>
      <c r="L6842" s="640" t="s">
        <v>28</v>
      </c>
      <c r="M6842" s="640">
        <v>1612.56</v>
      </c>
      <c r="N6842" s="644">
        <v>0.45833333333333331</v>
      </c>
    </row>
    <row r="6843" spans="1:16" ht="19.5" thickBot="1" x14ac:dyDescent="0.3">
      <c r="A6843" s="572">
        <f t="shared" ref="A6843:A6867" si="208">MAX(A6800:A6842)+1</f>
        <v>4274</v>
      </c>
      <c r="B6843" s="573" t="s">
        <v>1769</v>
      </c>
      <c r="C6843" s="574" t="s">
        <v>23</v>
      </c>
      <c r="D6843" s="575">
        <v>17.567</v>
      </c>
      <c r="E6843" s="576"/>
      <c r="F6843" s="577" t="s">
        <v>16</v>
      </c>
      <c r="G6843" s="578"/>
      <c r="H6843" s="577" t="s">
        <v>1783</v>
      </c>
      <c r="I6843" s="579"/>
      <c r="J6843" s="580"/>
      <c r="K6843" s="573"/>
      <c r="L6843" s="577" t="s">
        <v>28</v>
      </c>
      <c r="M6843" s="577">
        <v>17606.16</v>
      </c>
      <c r="N6843" s="581">
        <v>0.5</v>
      </c>
    </row>
    <row r="6844" spans="1:16" ht="19.5" thickBot="1" x14ac:dyDescent="0.3">
      <c r="A6844" s="503">
        <f t="shared" si="208"/>
        <v>4275</v>
      </c>
      <c r="B6844" s="504" t="s">
        <v>1774</v>
      </c>
      <c r="C6844" s="505" t="s">
        <v>26</v>
      </c>
      <c r="D6844" s="506">
        <v>17.376999999999999</v>
      </c>
      <c r="E6844" s="507"/>
      <c r="F6844" s="508" t="s">
        <v>16</v>
      </c>
      <c r="G6844" s="509"/>
      <c r="H6844" s="508" t="s">
        <v>1797</v>
      </c>
      <c r="I6844" s="510"/>
      <c r="J6844" s="511"/>
      <c r="K6844" s="504"/>
      <c r="L6844" s="508" t="s">
        <v>265</v>
      </c>
      <c r="M6844" s="508">
        <v>17561.68</v>
      </c>
      <c r="N6844" s="512">
        <v>0.375</v>
      </c>
    </row>
    <row r="6845" spans="1:16" x14ac:dyDescent="0.25">
      <c r="A6845" s="892">
        <f t="shared" si="208"/>
        <v>4276</v>
      </c>
      <c r="B6845" s="479" t="s">
        <v>1774</v>
      </c>
      <c r="C6845" s="480" t="s">
        <v>26</v>
      </c>
      <c r="D6845" s="481">
        <v>13.737</v>
      </c>
      <c r="E6845" s="482"/>
      <c r="F6845" s="483" t="s">
        <v>16</v>
      </c>
      <c r="G6845" s="549"/>
      <c r="H6845" s="483" t="s">
        <v>1797</v>
      </c>
      <c r="I6845" s="484"/>
      <c r="J6845" s="485"/>
      <c r="K6845" s="479"/>
      <c r="L6845" s="483" t="s">
        <v>265</v>
      </c>
      <c r="M6845" s="483">
        <v>13866.14</v>
      </c>
      <c r="N6845" s="486">
        <v>0.41666666666666669</v>
      </c>
    </row>
    <row r="6846" spans="1:16" x14ac:dyDescent="0.25">
      <c r="A6846" s="893"/>
      <c r="B6846" s="523" t="s">
        <v>1774</v>
      </c>
      <c r="C6846" s="524" t="s">
        <v>1358</v>
      </c>
      <c r="D6846" s="525">
        <v>1.8759999999999999</v>
      </c>
      <c r="E6846" s="526"/>
      <c r="F6846" s="527" t="s">
        <v>16</v>
      </c>
      <c r="G6846" s="561" t="s">
        <v>844</v>
      </c>
      <c r="H6846" s="527" t="s">
        <v>1797</v>
      </c>
      <c r="I6846" s="528"/>
      <c r="J6846" s="529"/>
      <c r="K6846" s="523"/>
      <c r="L6846" s="527" t="s">
        <v>265</v>
      </c>
      <c r="M6846" s="527">
        <v>1966.3799999999997</v>
      </c>
      <c r="N6846" s="530">
        <v>0.41666666666666669</v>
      </c>
    </row>
    <row r="6847" spans="1:16" ht="19.5" thickBot="1" x14ac:dyDescent="0.3">
      <c r="A6847" s="894"/>
      <c r="B6847" s="645" t="s">
        <v>1774</v>
      </c>
      <c r="C6847" s="646" t="s">
        <v>1358</v>
      </c>
      <c r="D6847" s="647">
        <v>1.6930000000000001</v>
      </c>
      <c r="E6847" s="648"/>
      <c r="F6847" s="649" t="s">
        <v>16</v>
      </c>
      <c r="G6847" s="650" t="s">
        <v>845</v>
      </c>
      <c r="H6847" s="649" t="s">
        <v>1797</v>
      </c>
      <c r="I6847" s="651"/>
      <c r="J6847" s="652"/>
      <c r="K6847" s="645"/>
      <c r="L6847" s="649" t="s">
        <v>265</v>
      </c>
      <c r="M6847" s="649">
        <v>1759.38</v>
      </c>
      <c r="N6847" s="653">
        <v>0.41666666666666669</v>
      </c>
    </row>
    <row r="6848" spans="1:16" ht="19.5" thickBot="1" x14ac:dyDescent="0.3">
      <c r="A6848" s="503">
        <f t="shared" si="208"/>
        <v>4277</v>
      </c>
      <c r="B6848" s="504" t="s">
        <v>1774</v>
      </c>
      <c r="C6848" s="505" t="s">
        <v>26</v>
      </c>
      <c r="D6848" s="506">
        <v>14.86</v>
      </c>
      <c r="E6848" s="507"/>
      <c r="F6848" s="508" t="s">
        <v>30</v>
      </c>
      <c r="G6848" s="509"/>
      <c r="H6848" s="508" t="s">
        <v>1797</v>
      </c>
      <c r="I6848" s="510"/>
      <c r="J6848" s="511"/>
      <c r="K6848" s="504"/>
      <c r="L6848" s="508" t="s">
        <v>265</v>
      </c>
      <c r="M6848" s="508">
        <v>14860.759999999997</v>
      </c>
      <c r="N6848" s="512">
        <v>0.375</v>
      </c>
    </row>
    <row r="6849" spans="1:14" x14ac:dyDescent="0.25">
      <c r="A6849" s="892">
        <f t="shared" si="208"/>
        <v>4278</v>
      </c>
      <c r="B6849" s="479" t="s">
        <v>1774</v>
      </c>
      <c r="C6849" s="480" t="s">
        <v>15</v>
      </c>
      <c r="D6849" s="481">
        <v>5.1420000000000003</v>
      </c>
      <c r="E6849" s="482"/>
      <c r="F6849" s="483" t="s">
        <v>16</v>
      </c>
      <c r="G6849" s="895" t="s">
        <v>1633</v>
      </c>
      <c r="H6849" s="483" t="s">
        <v>1797</v>
      </c>
      <c r="I6849" s="484"/>
      <c r="J6849" s="485"/>
      <c r="K6849" s="479"/>
      <c r="L6849" s="483" t="s">
        <v>28</v>
      </c>
      <c r="M6849" s="483">
        <v>5256.92</v>
      </c>
      <c r="N6849" s="486">
        <v>0.45833333333333331</v>
      </c>
    </row>
    <row r="6850" spans="1:14" ht="19.5" thickBot="1" x14ac:dyDescent="0.3">
      <c r="A6850" s="894"/>
      <c r="B6850" s="645" t="s">
        <v>1774</v>
      </c>
      <c r="C6850" s="646" t="s">
        <v>24</v>
      </c>
      <c r="D6850" s="647">
        <v>11.551</v>
      </c>
      <c r="E6850" s="648"/>
      <c r="F6850" s="649" t="s">
        <v>16</v>
      </c>
      <c r="G6850" s="896"/>
      <c r="H6850" s="649" t="s">
        <v>1797</v>
      </c>
      <c r="I6850" s="651"/>
      <c r="J6850" s="652"/>
      <c r="K6850" s="645"/>
      <c r="L6850" s="649" t="s">
        <v>28</v>
      </c>
      <c r="M6850" s="649">
        <v>11740.74</v>
      </c>
      <c r="N6850" s="653">
        <v>0.45833333333333331</v>
      </c>
    </row>
    <row r="6851" spans="1:14" x14ac:dyDescent="0.25">
      <c r="A6851" s="897">
        <f t="shared" ref="A6851" si="209">MAX(A6808:A6850)+1</f>
        <v>4279</v>
      </c>
      <c r="B6851" s="531" t="s">
        <v>1774</v>
      </c>
      <c r="C6851" s="532" t="s">
        <v>23</v>
      </c>
      <c r="D6851" s="533">
        <v>12.664</v>
      </c>
      <c r="E6851" s="534"/>
      <c r="F6851" s="535" t="s">
        <v>16</v>
      </c>
      <c r="G6851" s="536"/>
      <c r="H6851" s="535" t="s">
        <v>1797</v>
      </c>
      <c r="I6851" s="537"/>
      <c r="J6851" s="538"/>
      <c r="K6851" s="531"/>
      <c r="L6851" s="535" t="s">
        <v>28</v>
      </c>
      <c r="M6851" s="535">
        <v>12834.22</v>
      </c>
      <c r="N6851" s="539">
        <v>0.5</v>
      </c>
    </row>
    <row r="6852" spans="1:14" ht="19.5" thickBot="1" x14ac:dyDescent="0.3">
      <c r="A6852" s="898"/>
      <c r="B6852" s="636" t="s">
        <v>1774</v>
      </c>
      <c r="C6852" s="637" t="s">
        <v>480</v>
      </c>
      <c r="D6852" s="638">
        <v>4.7300000000000004</v>
      </c>
      <c r="E6852" s="639"/>
      <c r="F6852" s="640" t="s">
        <v>16</v>
      </c>
      <c r="G6852" s="641"/>
      <c r="H6852" s="640" t="s">
        <v>1797</v>
      </c>
      <c r="I6852" s="642"/>
      <c r="J6852" s="643"/>
      <c r="K6852" s="636"/>
      <c r="L6852" s="640" t="s">
        <v>266</v>
      </c>
      <c r="M6852" s="640">
        <v>4831</v>
      </c>
      <c r="N6852" s="644">
        <v>0.5</v>
      </c>
    </row>
    <row r="6853" spans="1:14" x14ac:dyDescent="0.25">
      <c r="A6853" s="892">
        <f t="shared" si="208"/>
        <v>4280</v>
      </c>
      <c r="B6853" s="479" t="s">
        <v>1774</v>
      </c>
      <c r="C6853" s="480" t="s">
        <v>587</v>
      </c>
      <c r="D6853" s="481">
        <v>7.1289999999999996</v>
      </c>
      <c r="E6853" s="482"/>
      <c r="F6853" s="483" t="s">
        <v>30</v>
      </c>
      <c r="G6853" s="549" t="s">
        <v>23</v>
      </c>
      <c r="H6853" s="483" t="s">
        <v>1797</v>
      </c>
      <c r="I6853" s="484"/>
      <c r="J6853" s="485"/>
      <c r="K6853" s="479"/>
      <c r="L6853" s="483" t="s">
        <v>28</v>
      </c>
      <c r="M6853" s="483">
        <v>7129.7199999999993</v>
      </c>
      <c r="N6853" s="486">
        <v>0.41666666666666669</v>
      </c>
    </row>
    <row r="6854" spans="1:14" ht="19.5" thickBot="1" x14ac:dyDescent="0.3">
      <c r="A6854" s="894"/>
      <c r="B6854" s="645" t="s">
        <v>1774</v>
      </c>
      <c r="C6854" s="646" t="s">
        <v>23</v>
      </c>
      <c r="D6854" s="647">
        <v>6.4139999999999997</v>
      </c>
      <c r="E6854" s="648"/>
      <c r="F6854" s="649" t="s">
        <v>30</v>
      </c>
      <c r="G6854" s="650"/>
      <c r="H6854" s="649" t="s">
        <v>1797</v>
      </c>
      <c r="I6854" s="651"/>
      <c r="J6854" s="652"/>
      <c r="K6854" s="645"/>
      <c r="L6854" s="649" t="s">
        <v>28</v>
      </c>
      <c r="M6854" s="649">
        <v>6414</v>
      </c>
      <c r="N6854" s="653">
        <v>0.41666666666666669</v>
      </c>
    </row>
    <row r="6855" spans="1:14" ht="19.5" thickBot="1" x14ac:dyDescent="0.3">
      <c r="A6855" s="503">
        <f t="shared" si="208"/>
        <v>4281</v>
      </c>
      <c r="B6855" s="504" t="s">
        <v>1774</v>
      </c>
      <c r="C6855" s="505" t="s">
        <v>587</v>
      </c>
      <c r="D6855" s="506">
        <v>10.672000000000001</v>
      </c>
      <c r="E6855" s="507"/>
      <c r="F6855" s="508" t="s">
        <v>30</v>
      </c>
      <c r="G6855" s="509" t="s">
        <v>47</v>
      </c>
      <c r="H6855" s="508" t="s">
        <v>1797</v>
      </c>
      <c r="I6855" s="510"/>
      <c r="J6855" s="511"/>
      <c r="K6855" s="504"/>
      <c r="L6855" s="508" t="s">
        <v>28</v>
      </c>
      <c r="M6855" s="508">
        <v>10672.2</v>
      </c>
      <c r="N6855" s="512">
        <v>0.45833333333333331</v>
      </c>
    </row>
    <row r="6856" spans="1:14" ht="19.5" thickBot="1" x14ac:dyDescent="0.3">
      <c r="A6856" s="513">
        <f t="shared" si="208"/>
        <v>4282</v>
      </c>
      <c r="B6856" s="514" t="s">
        <v>1774</v>
      </c>
      <c r="C6856" s="515" t="s">
        <v>47</v>
      </c>
      <c r="D6856" s="516">
        <v>12.324999999999999</v>
      </c>
      <c r="E6856" s="517"/>
      <c r="F6856" s="518" t="s">
        <v>30</v>
      </c>
      <c r="G6856" s="519"/>
      <c r="H6856" s="518" t="s">
        <v>1797</v>
      </c>
      <c r="I6856" s="520"/>
      <c r="J6856" s="521"/>
      <c r="K6856" s="514"/>
      <c r="L6856" s="518" t="s">
        <v>28</v>
      </c>
      <c r="M6856" s="518">
        <v>12325.52</v>
      </c>
      <c r="N6856" s="522">
        <v>0.5</v>
      </c>
    </row>
    <row r="6857" spans="1:14" ht="19.5" thickBot="1" x14ac:dyDescent="0.3">
      <c r="A6857" s="503">
        <f t="shared" si="208"/>
        <v>4283</v>
      </c>
      <c r="B6857" s="504" t="s">
        <v>1774</v>
      </c>
      <c r="C6857" s="505" t="s">
        <v>26</v>
      </c>
      <c r="D6857" s="506">
        <v>17.390999999999998</v>
      </c>
      <c r="E6857" s="507"/>
      <c r="F6857" s="508" t="s">
        <v>16</v>
      </c>
      <c r="G6857" s="509"/>
      <c r="H6857" s="508" t="s">
        <v>1798</v>
      </c>
      <c r="I6857" s="510"/>
      <c r="J6857" s="511"/>
      <c r="K6857" s="504"/>
      <c r="L6857" s="508" t="s">
        <v>265</v>
      </c>
      <c r="M6857" s="508">
        <v>17583.84</v>
      </c>
      <c r="N6857" s="512">
        <v>0.375</v>
      </c>
    </row>
    <row r="6858" spans="1:14" ht="19.5" thickBot="1" x14ac:dyDescent="0.3">
      <c r="A6858" s="513">
        <f t="shared" si="208"/>
        <v>4284</v>
      </c>
      <c r="B6858" s="514" t="s">
        <v>1774</v>
      </c>
      <c r="C6858" s="515" t="s">
        <v>26</v>
      </c>
      <c r="D6858" s="516">
        <v>17.475000000000001</v>
      </c>
      <c r="E6858" s="517"/>
      <c r="F6858" s="518" t="s">
        <v>16</v>
      </c>
      <c r="G6858" s="519"/>
      <c r="H6858" s="518" t="s">
        <v>1798</v>
      </c>
      <c r="I6858" s="520"/>
      <c r="J6858" s="521"/>
      <c r="K6858" s="514"/>
      <c r="L6858" s="518" t="s">
        <v>265</v>
      </c>
      <c r="M6858" s="518">
        <v>17665.38</v>
      </c>
      <c r="N6858" s="522">
        <v>0.41666666666666669</v>
      </c>
    </row>
    <row r="6859" spans="1:14" ht="38.25" thickBot="1" x14ac:dyDescent="0.3">
      <c r="A6859" s="503">
        <f t="shared" si="208"/>
        <v>4285</v>
      </c>
      <c r="B6859" s="504" t="s">
        <v>1774</v>
      </c>
      <c r="C6859" s="505" t="s">
        <v>23</v>
      </c>
      <c r="D6859" s="506">
        <v>16.715</v>
      </c>
      <c r="E6859" s="507"/>
      <c r="F6859" s="508" t="s">
        <v>16</v>
      </c>
      <c r="G6859" s="509" t="s">
        <v>1633</v>
      </c>
      <c r="H6859" s="508" t="s">
        <v>1798</v>
      </c>
      <c r="I6859" s="510"/>
      <c r="J6859" s="511"/>
      <c r="K6859" s="504"/>
      <c r="L6859" s="508" t="s">
        <v>28</v>
      </c>
      <c r="M6859" s="508">
        <v>16782.48</v>
      </c>
      <c r="N6859" s="512">
        <v>0.45833333333333331</v>
      </c>
    </row>
    <row r="6860" spans="1:14" ht="38.25" thickBot="1" x14ac:dyDescent="0.3">
      <c r="A6860" s="513">
        <f t="shared" si="208"/>
        <v>4286</v>
      </c>
      <c r="B6860" s="514" t="s">
        <v>1774</v>
      </c>
      <c r="C6860" s="515" t="s">
        <v>47</v>
      </c>
      <c r="D6860" s="516">
        <v>16.702999999999999</v>
      </c>
      <c r="E6860" s="517"/>
      <c r="F6860" s="518" t="s">
        <v>16</v>
      </c>
      <c r="G6860" s="519" t="s">
        <v>1633</v>
      </c>
      <c r="H6860" s="518" t="s">
        <v>1798</v>
      </c>
      <c r="I6860" s="520"/>
      <c r="J6860" s="521"/>
      <c r="K6860" s="514"/>
      <c r="L6860" s="518" t="s">
        <v>28</v>
      </c>
      <c r="M6860" s="518">
        <v>16885.699999999997</v>
      </c>
      <c r="N6860" s="522">
        <v>0.5</v>
      </c>
    </row>
    <row r="6861" spans="1:14" ht="19.5" thickBot="1" x14ac:dyDescent="0.3">
      <c r="A6861" s="503">
        <f t="shared" si="208"/>
        <v>4287</v>
      </c>
      <c r="B6861" s="504" t="s">
        <v>1774</v>
      </c>
      <c r="C6861" s="505" t="s">
        <v>23</v>
      </c>
      <c r="D6861" s="506">
        <v>12.749000000000001</v>
      </c>
      <c r="E6861" s="507"/>
      <c r="F6861" s="508" t="s">
        <v>30</v>
      </c>
      <c r="G6861" s="509"/>
      <c r="H6861" s="508" t="s">
        <v>1798</v>
      </c>
      <c r="I6861" s="510"/>
      <c r="J6861" s="511"/>
      <c r="K6861" s="504"/>
      <c r="L6861" s="508" t="s">
        <v>28</v>
      </c>
      <c r="M6861" s="508">
        <v>12749.48</v>
      </c>
      <c r="N6861" s="512">
        <v>0.375</v>
      </c>
    </row>
    <row r="6862" spans="1:14" x14ac:dyDescent="0.25">
      <c r="A6862" s="892">
        <f t="shared" si="208"/>
        <v>4288</v>
      </c>
      <c r="B6862" s="479" t="s">
        <v>1774</v>
      </c>
      <c r="C6862" s="480" t="s">
        <v>15</v>
      </c>
      <c r="D6862" s="481">
        <v>9.3079999999999998</v>
      </c>
      <c r="E6862" s="482"/>
      <c r="F6862" s="483" t="s">
        <v>30</v>
      </c>
      <c r="G6862" s="549"/>
      <c r="H6862" s="483" t="s">
        <v>1798</v>
      </c>
      <c r="I6862" s="484"/>
      <c r="J6862" s="485"/>
      <c r="K6862" s="479"/>
      <c r="L6862" s="483" t="s">
        <v>28</v>
      </c>
      <c r="M6862" s="483">
        <v>9308.8799999999992</v>
      </c>
      <c r="N6862" s="486">
        <v>0.41666666666666669</v>
      </c>
    </row>
    <row r="6863" spans="1:14" ht="19.5" thickBot="1" x14ac:dyDescent="0.3">
      <c r="A6863" s="894"/>
      <c r="B6863" s="645" t="s">
        <v>1774</v>
      </c>
      <c r="C6863" s="646" t="s">
        <v>24</v>
      </c>
      <c r="D6863" s="647">
        <v>5.5679999999999996</v>
      </c>
      <c r="E6863" s="648"/>
      <c r="F6863" s="649" t="s">
        <v>30</v>
      </c>
      <c r="G6863" s="650"/>
      <c r="H6863" s="649" t="s">
        <v>1798</v>
      </c>
      <c r="I6863" s="651"/>
      <c r="J6863" s="652"/>
      <c r="K6863" s="645"/>
      <c r="L6863" s="649" t="s">
        <v>28</v>
      </c>
      <c r="M6863" s="649">
        <v>5568.24</v>
      </c>
      <c r="N6863" s="653">
        <v>0.41666666666666669</v>
      </c>
    </row>
    <row r="6864" spans="1:14" x14ac:dyDescent="0.25">
      <c r="A6864" s="676">
        <f t="shared" si="208"/>
        <v>4289</v>
      </c>
      <c r="B6864" s="676"/>
      <c r="C6864" s="473"/>
      <c r="D6864" s="474"/>
      <c r="E6864" s="475"/>
      <c r="F6864" s="676"/>
      <c r="G6864" s="476"/>
      <c r="H6864" s="676"/>
      <c r="I6864" s="477"/>
      <c r="J6864" s="478"/>
      <c r="K6864" s="676"/>
      <c r="L6864" s="676"/>
      <c r="M6864" s="676"/>
      <c r="N6864" s="676"/>
    </row>
    <row r="6865" spans="1:14" x14ac:dyDescent="0.25">
      <c r="A6865" s="676">
        <f t="shared" si="208"/>
        <v>4290</v>
      </c>
      <c r="B6865" s="676"/>
      <c r="C6865" s="473"/>
      <c r="D6865" s="474"/>
      <c r="E6865" s="475"/>
      <c r="F6865" s="676"/>
      <c r="G6865" s="476"/>
      <c r="H6865" s="676"/>
      <c r="I6865" s="477"/>
      <c r="J6865" s="478"/>
      <c r="K6865" s="676"/>
      <c r="L6865" s="676"/>
      <c r="M6865" s="676"/>
      <c r="N6865" s="676"/>
    </row>
    <row r="6866" spans="1:14" x14ac:dyDescent="0.25">
      <c r="A6866" s="676">
        <f t="shared" si="208"/>
        <v>4291</v>
      </c>
      <c r="B6866" s="676"/>
      <c r="C6866" s="473"/>
      <c r="D6866" s="474"/>
      <c r="E6866" s="475"/>
      <c r="F6866" s="676"/>
      <c r="G6866" s="476"/>
      <c r="H6866" s="676"/>
      <c r="I6866" s="477"/>
      <c r="J6866" s="478"/>
      <c r="K6866" s="676"/>
      <c r="L6866" s="676"/>
      <c r="M6866" s="676"/>
      <c r="N6866" s="676"/>
    </row>
    <row r="6867" spans="1:14" x14ac:dyDescent="0.25">
      <c r="A6867" s="676">
        <f t="shared" si="208"/>
        <v>4292</v>
      </c>
      <c r="B6867" s="676"/>
      <c r="C6867" s="473"/>
      <c r="D6867" s="474"/>
      <c r="E6867" s="475"/>
      <c r="F6867" s="676"/>
      <c r="G6867" s="476"/>
      <c r="H6867" s="676"/>
      <c r="I6867" s="477"/>
      <c r="J6867" s="478"/>
      <c r="K6867" s="676"/>
      <c r="L6867" s="676"/>
      <c r="M6867" s="676"/>
      <c r="N6867" s="676"/>
    </row>
    <row r="6868" spans="1:14" x14ac:dyDescent="0.25">
      <c r="A6868" s="676">
        <f>MAX(A6827:A6867)+1</f>
        <v>4293</v>
      </c>
      <c r="B6868" s="676"/>
      <c r="C6868" s="473"/>
      <c r="D6868" s="474"/>
      <c r="E6868" s="475"/>
      <c r="F6868" s="676"/>
      <c r="G6868" s="476"/>
      <c r="H6868" s="676"/>
      <c r="I6868" s="477"/>
      <c r="J6868" s="478"/>
      <c r="K6868" s="676"/>
      <c r="L6868" s="676"/>
      <c r="M6868" s="676"/>
      <c r="N6868" s="676"/>
    </row>
  </sheetData>
  <autoFilter ref="A2:N6868" xr:uid="{00000000-0009-0000-0000-000000000000}">
    <filterColumn colId="10">
      <filters blank="1"/>
    </filterColumn>
  </autoFilter>
  <mergeCells count="1786">
    <mergeCell ref="A6831:A6832"/>
    <mergeCell ref="A6754:A6755"/>
    <mergeCell ref="A6756:A6758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515:A5516"/>
    <mergeCell ref="A5412:A5413"/>
    <mergeCell ref="A5564:A5565"/>
    <mergeCell ref="A5570:A5572"/>
    <mergeCell ref="A5534:A5538"/>
    <mergeCell ref="A5539:A5541"/>
    <mergeCell ref="A5561:A5562"/>
    <mergeCell ref="A5527:A5528"/>
    <mergeCell ref="A5504:A5505"/>
    <mergeCell ref="A5599:A5600"/>
    <mergeCell ref="A5452:A5453"/>
    <mergeCell ref="A5511:A5512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549:G5550"/>
    <mergeCell ref="A5549:A5550"/>
    <mergeCell ref="A6836:A6837"/>
    <mergeCell ref="A6838:A6839"/>
    <mergeCell ref="A6840:A6842"/>
    <mergeCell ref="A6791:A6793"/>
    <mergeCell ref="A6801:A6802"/>
    <mergeCell ref="A6785:A6786"/>
    <mergeCell ref="G6785:G6786"/>
    <mergeCell ref="A6787:A6788"/>
    <mergeCell ref="G6787:G6788"/>
    <mergeCell ref="A6727:A6728"/>
    <mergeCell ref="A6729:A6730"/>
    <mergeCell ref="A6731:A6732"/>
    <mergeCell ref="A6741:A6743"/>
    <mergeCell ref="A6744:A6746"/>
    <mergeCell ref="A6747:A6749"/>
    <mergeCell ref="G6721:G6722"/>
    <mergeCell ref="A6721:A6722"/>
    <mergeCell ref="A6723:A6724"/>
    <mergeCell ref="G6723:G6724"/>
    <mergeCell ref="A6725:A6726"/>
    <mergeCell ref="A6782:A6784"/>
    <mergeCell ref="A6812:A6815"/>
    <mergeCell ref="G5531:G5532"/>
    <mergeCell ref="G5534:G5538"/>
    <mergeCell ref="A5542:A5546"/>
    <mergeCell ref="A5518:A5522"/>
    <mergeCell ref="G5436:G5437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6718:A6720"/>
    <mergeCell ref="A5380:A5381"/>
    <mergeCell ref="A5523:A5525"/>
    <mergeCell ref="A5531:A5532"/>
    <mergeCell ref="G5408:G5409"/>
    <mergeCell ref="G6718:G6720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G5623:G5624"/>
    <mergeCell ref="A5606:A5607"/>
    <mergeCell ref="A5378:A5379"/>
    <mergeCell ref="A5338:A5341"/>
    <mergeCell ref="A5342:A5343"/>
    <mergeCell ref="A5348:A5350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262:A5263"/>
    <mergeCell ref="A1218:A1219"/>
    <mergeCell ref="A1032:A1034"/>
    <mergeCell ref="A1028:A1029"/>
    <mergeCell ref="A1052:A1059"/>
    <mergeCell ref="A4893:A489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G5116:G5117"/>
    <mergeCell ref="G5504:G5505"/>
    <mergeCell ref="A5507:A5508"/>
    <mergeCell ref="A5493:A5495"/>
    <mergeCell ref="A5497:A5498"/>
    <mergeCell ref="A5499:A5500"/>
    <mergeCell ref="A839:A841"/>
    <mergeCell ref="A948:A949"/>
    <mergeCell ref="A951:A954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5142:A5144"/>
    <mergeCell ref="G5091:G509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5102:A5104"/>
    <mergeCell ref="A5091:A5092"/>
    <mergeCell ref="G5140:G5141"/>
    <mergeCell ref="A876:A877"/>
    <mergeCell ref="A891:A893"/>
    <mergeCell ref="A784:A785"/>
    <mergeCell ref="A815:A816"/>
    <mergeCell ref="A762:A763"/>
    <mergeCell ref="A766:A768"/>
    <mergeCell ref="A769:A771"/>
    <mergeCell ref="A4825:A4826"/>
    <mergeCell ref="A5128:A51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5114:A5115"/>
    <mergeCell ref="A925:A928"/>
    <mergeCell ref="A809:A812"/>
    <mergeCell ref="A939:A941"/>
    <mergeCell ref="A943:A94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836:A838"/>
    <mergeCell ref="A774:A778"/>
    <mergeCell ref="A779:A783"/>
    <mergeCell ref="A850:A852"/>
    <mergeCell ref="A855:A860"/>
    <mergeCell ref="A872:A874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G556:G557"/>
    <mergeCell ref="A341:A342"/>
    <mergeCell ref="G408:G409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167:A168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169:A170"/>
    <mergeCell ref="A174:A178"/>
    <mergeCell ref="A205:A206"/>
    <mergeCell ref="A207:A208"/>
    <mergeCell ref="A209:A210"/>
    <mergeCell ref="A211:A212"/>
    <mergeCell ref="B31:B34"/>
    <mergeCell ref="A198:A199"/>
    <mergeCell ref="A200:A202"/>
    <mergeCell ref="A108:A110"/>
    <mergeCell ref="A113:A114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62:B66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J502:J506"/>
    <mergeCell ref="A504:A50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556:A557"/>
    <mergeCell ref="A490:A492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G654:G655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1216:A1217"/>
    <mergeCell ref="A1226:A1230"/>
    <mergeCell ref="A1176:A1179"/>
    <mergeCell ref="A1180:A1181"/>
    <mergeCell ref="A1182:A1183"/>
    <mergeCell ref="A1186:A1190"/>
    <mergeCell ref="A1192:A1193"/>
    <mergeCell ref="A1194:A1197"/>
    <mergeCell ref="A1078:A1079"/>
    <mergeCell ref="A1080:A1081"/>
    <mergeCell ref="G983:G984"/>
    <mergeCell ref="A985:A987"/>
    <mergeCell ref="G1202:G1203"/>
    <mergeCell ref="G1080:G1081"/>
    <mergeCell ref="A1082:A1083"/>
    <mergeCell ref="A1030:A1031"/>
    <mergeCell ref="A1121:A1122"/>
    <mergeCell ref="G1121:G1122"/>
    <mergeCell ref="A1092:A1093"/>
    <mergeCell ref="A1125:A1126"/>
    <mergeCell ref="A1127:A1128"/>
    <mergeCell ref="A1136:A1137"/>
    <mergeCell ref="A974:A976"/>
    <mergeCell ref="A1023:A1025"/>
    <mergeCell ref="A1021:A1022"/>
    <mergeCell ref="A1046:A1047"/>
    <mergeCell ref="A1075:A1077"/>
    <mergeCell ref="A988:A989"/>
    <mergeCell ref="A990:A992"/>
    <mergeCell ref="A959:A960"/>
    <mergeCell ref="A1096:A1097"/>
    <mergeCell ref="A1102:A1105"/>
    <mergeCell ref="A1106:A1107"/>
    <mergeCell ref="A1115:A1116"/>
    <mergeCell ref="A1117:A1120"/>
    <mergeCell ref="A1070:A1071"/>
    <mergeCell ref="A1072:A1074"/>
    <mergeCell ref="A1062:A1063"/>
    <mergeCell ref="A1065:A1067"/>
    <mergeCell ref="A1035:A1036"/>
    <mergeCell ref="A1041:A1042"/>
    <mergeCell ref="A1043:A1045"/>
    <mergeCell ref="A957:A958"/>
    <mergeCell ref="A912:A914"/>
    <mergeCell ref="A915:A916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087:A1090"/>
    <mergeCell ref="A1110:A1112"/>
    <mergeCell ref="A1221:A1222"/>
    <mergeCell ref="G1030:G1031"/>
    <mergeCell ref="A955:A956"/>
    <mergeCell ref="A1223:A1224"/>
    <mergeCell ref="A1172:A1173"/>
    <mergeCell ref="A1199:A1200"/>
    <mergeCell ref="A1202:A1203"/>
    <mergeCell ref="G1167:G1168"/>
    <mergeCell ref="A1170:A1171"/>
    <mergeCell ref="A1232:A1233"/>
    <mergeCell ref="A980:A982"/>
    <mergeCell ref="A983:A984"/>
    <mergeCell ref="A977:A979"/>
    <mergeCell ref="A1138:A1139"/>
    <mergeCell ref="A1140:A1141"/>
    <mergeCell ref="A1294:A1295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G1250:G1251"/>
    <mergeCell ref="A1244:A1245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4745:A4747"/>
    <mergeCell ref="A4748:A4750"/>
    <mergeCell ref="A4751:A4752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77:G4978"/>
    <mergeCell ref="G4996:G4997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G5196:G5197"/>
    <mergeCell ref="G5188:G5189"/>
    <mergeCell ref="G5110:G5113"/>
    <mergeCell ref="A5099:A5101"/>
    <mergeCell ref="A5116:A5117"/>
    <mergeCell ref="A5037:A503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A5070:A5071"/>
    <mergeCell ref="A5082:A5083"/>
    <mergeCell ref="A5146:A5147"/>
    <mergeCell ref="A5199:A5200"/>
    <mergeCell ref="G5202:G5203"/>
    <mergeCell ref="G5232:G5233"/>
    <mergeCell ref="A5232:A5233"/>
    <mergeCell ref="A5298:A5299"/>
    <mergeCell ref="A5302:A5304"/>
    <mergeCell ref="A5305:A5308"/>
    <mergeCell ref="A5309:A5310"/>
    <mergeCell ref="A5156:A5159"/>
    <mergeCell ref="A5161:A5162"/>
    <mergeCell ref="A5183:A5184"/>
    <mergeCell ref="A5282:A5283"/>
    <mergeCell ref="A5243:A5244"/>
    <mergeCell ref="A5247:A5249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6691:A6692"/>
    <mergeCell ref="A6693:A6694"/>
    <mergeCell ref="A6673:A6674"/>
    <mergeCell ref="A6695:A6697"/>
    <mergeCell ref="A6700:A6702"/>
    <mergeCell ref="A6698:A6699"/>
    <mergeCell ref="A5172:A5175"/>
    <mergeCell ref="A5202:A5203"/>
    <mergeCell ref="A5286:A5289"/>
    <mergeCell ref="A5290:A5292"/>
    <mergeCell ref="A5321:A5325"/>
    <mergeCell ref="A5270:A5271"/>
    <mergeCell ref="A5272:A5273"/>
    <mergeCell ref="A5275:A5276"/>
    <mergeCell ref="G5275:G5276"/>
    <mergeCell ref="A5326:A5327"/>
    <mergeCell ref="A5150:A5152"/>
    <mergeCell ref="A5196:A5197"/>
    <mergeCell ref="A5188:A5189"/>
    <mergeCell ref="A5176:A5178"/>
    <mergeCell ref="A5501:A5502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6817:A6821"/>
    <mergeCell ref="A6822:A6827"/>
    <mergeCell ref="A6828:A6830"/>
    <mergeCell ref="A6808:A6811"/>
    <mergeCell ref="A6797:A6800"/>
    <mergeCell ref="A6780:A6781"/>
    <mergeCell ref="A5331:A5334"/>
    <mergeCell ref="A5234:A5235"/>
    <mergeCell ref="A5279:A5281"/>
    <mergeCell ref="A5267:A5269"/>
    <mergeCell ref="A5311:A5312"/>
    <mergeCell ref="A5296:A5297"/>
    <mergeCell ref="A5625:A5626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670:A6672"/>
    <mergeCell ref="A6675:A6676"/>
    <mergeCell ref="A6678:A6679"/>
    <mergeCell ref="A6684:A6687"/>
    <mergeCell ref="A6688:A6690"/>
    <mergeCell ref="A6845:A6847"/>
    <mergeCell ref="A6849:A6850"/>
    <mergeCell ref="G6849:G6850"/>
    <mergeCell ref="A6851:A6852"/>
    <mergeCell ref="A6853:A6854"/>
    <mergeCell ref="A6862:A6863"/>
    <mergeCell ref="A6833:A6834"/>
    <mergeCell ref="A6789:A6790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713:A6714"/>
    <mergeCell ref="A6589:A6590"/>
    <mergeCell ref="A6750:A6752"/>
    <mergeCell ref="A6733:A673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2026-07-31T16:29:15Z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