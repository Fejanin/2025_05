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B65095B6-0606-495F-BC0B-CC08C77FBE7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Лист1!$A$2:$N$6759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5" i="1" s="1"/>
  <c r="A6756" i="1" s="1"/>
  <c r="A6760" i="1" l="1"/>
  <c r="A6763" i="1" l="1"/>
  <c r="A6765" i="1" l="1"/>
  <c r="A6766" i="1" s="1"/>
  <c r="A6768" i="1" l="1"/>
  <c r="A6771" i="1" l="1"/>
  <c r="A6773" i="1" l="1"/>
  <c r="A6774" i="1" s="1"/>
  <c r="A6775" i="1" s="1"/>
  <c r="A6776" i="1" s="1"/>
  <c r="A6777" i="1" s="1"/>
  <c r="A6778" i="1" l="1"/>
  <c r="A6779" i="1" s="1"/>
  <c r="A6780" i="1" s="1"/>
</calcChain>
</file>

<file path=xl/sharedStrings.xml><?xml version="1.0" encoding="utf-8"?>
<sst xmlns="http://schemas.openxmlformats.org/spreadsheetml/2006/main" count="42734" uniqueCount="1721">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</sst>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50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0" fontId="44" fillId="16" borderId="81" xfId="0" applyFont="1" applyFill="1" applyBorder="1" applyAlignment="1">
      <alignment horizontal="center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4" fillId="17" borderId="83" xfId="0" applyFont="1" applyFill="1" applyBorder="1" applyAlignment="1">
      <alignment horizontal="center" vertical="center" wrapText="1"/>
    </xf>
    <xf numFmtId="0" fontId="44" fillId="17" borderId="83" xfId="0" applyFont="1" applyFill="1" applyBorder="1" applyAlignment="1">
      <alignment horizontal="center" vertical="center" wrapText="1"/>
    </xf>
    <xf numFmtId="0" fontId="44" fillId="16" borderId="50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20" fontId="14" fillId="0" borderId="16" xfId="0" applyNumberFormat="1" applyFont="1" applyBorder="1" applyAlignment="1">
      <alignment horizontal="center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780"/>
  <sheetViews>
    <sheetView tabSelected="1" zoomScale="85" zoomScaleNormal="85" workbookViewId="0">
      <pane ySplit="2" topLeftCell="A6731" activePane="bottomLeft" state="frozen"/>
      <selection pane="bottomLeft" activeCell="O6756" sqref="O675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758" customWidth="1"/>
    <col min="16" max="16" width="14.140625" style="853" customWidth="1"/>
    <col min="17" max="17" width="10.42578125" style="835" customWidth="1"/>
    <col min="18" max="1021" width="9.140625" style="2"/>
  </cols>
  <sheetData>
    <row r="1" spans="1:17" ht="19.5" customHeight="1" thickBot="1" x14ac:dyDescent="0.3">
      <c r="A1" s="939" t="s">
        <v>0</v>
      </c>
      <c r="B1" s="939"/>
      <c r="C1" s="939"/>
      <c r="D1" s="939"/>
      <c r="E1" s="939"/>
      <c r="F1" s="939"/>
      <c r="G1" s="939"/>
      <c r="H1" s="939"/>
      <c r="I1" s="939"/>
      <c r="J1" s="939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40">
        <v>1</v>
      </c>
      <c r="B3" s="94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40"/>
      <c r="B4" s="94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34">
        <v>3</v>
      </c>
      <c r="B6" s="93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34"/>
      <c r="B7" s="93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34"/>
      <c r="B8" s="93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34">
        <v>5</v>
      </c>
      <c r="B10" s="93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34"/>
      <c r="B11" s="93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35">
        <v>8</v>
      </c>
      <c r="B14" s="93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35"/>
      <c r="B15" s="93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34">
        <v>11</v>
      </c>
      <c r="B18" s="93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34"/>
      <c r="B19" s="93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34"/>
      <c r="B20" s="93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34"/>
      <c r="B21" s="93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34">
        <v>13</v>
      </c>
      <c r="B23" s="93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34"/>
      <c r="B24" s="93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35">
        <v>14</v>
      </c>
      <c r="B25" s="93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35"/>
      <c r="B26" s="93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34">
        <v>15</v>
      </c>
      <c r="B27" s="93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34"/>
      <c r="B28" s="93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34"/>
      <c r="B29" s="93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34"/>
      <c r="B30" s="93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35">
        <v>16</v>
      </c>
      <c r="B31" s="93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35"/>
      <c r="B32" s="93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35"/>
      <c r="B33" s="93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35"/>
      <c r="B34" s="93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34">
        <v>17</v>
      </c>
      <c r="B35" s="93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34"/>
      <c r="B36" s="93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34">
        <v>21</v>
      </c>
      <c r="B40" s="93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34"/>
      <c r="B41" s="93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34">
        <v>23</v>
      </c>
      <c r="B43" s="93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34"/>
      <c r="B44" s="93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34"/>
      <c r="B45" s="93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35">
        <v>24</v>
      </c>
      <c r="B46" s="93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35"/>
      <c r="B47" s="93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34">
        <v>25</v>
      </c>
      <c r="B48" s="93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34"/>
      <c r="B49" s="93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34"/>
      <c r="B50" s="93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35">
        <v>26</v>
      </c>
      <c r="B51" s="93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35"/>
      <c r="B52" s="93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34">
        <v>29</v>
      </c>
      <c r="B55" s="93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34"/>
      <c r="B56" s="93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35">
        <v>32</v>
      </c>
      <c r="B59" s="93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35"/>
      <c r="B60" s="93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35">
        <v>34</v>
      </c>
      <c r="B62" s="93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35"/>
      <c r="B63" s="93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35"/>
      <c r="B64" s="93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35"/>
      <c r="B65" s="93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35"/>
      <c r="B66" s="93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34">
        <v>35</v>
      </c>
      <c r="B67" s="93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34"/>
      <c r="B68" s="93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911">
        <v>40</v>
      </c>
      <c r="B73" s="93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911"/>
      <c r="B74" s="93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912">
        <v>41</v>
      </c>
      <c r="B75" s="93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912"/>
      <c r="B76" s="93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912"/>
      <c r="B77" s="93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911">
        <v>42</v>
      </c>
      <c r="B78" s="93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911"/>
      <c r="B79" s="93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912">
        <v>49</v>
      </c>
      <c r="B86" s="93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912"/>
      <c r="B87" s="93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912"/>
      <c r="B88" s="93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911">
        <v>50</v>
      </c>
      <c r="B89" s="93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911"/>
      <c r="B90" s="93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912">
        <v>51</v>
      </c>
      <c r="B91" s="93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912"/>
      <c r="B92" s="93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912">
        <v>53</v>
      </c>
      <c r="B94" s="93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912"/>
      <c r="B95" s="93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911">
        <v>54</v>
      </c>
      <c r="B96" s="93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911"/>
      <c r="B97" s="93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911"/>
      <c r="B98" s="93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911">
        <v>58</v>
      </c>
      <c r="B102" s="93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911"/>
      <c r="B103" s="93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911">
        <v>60</v>
      </c>
      <c r="B105" s="93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911"/>
      <c r="B106" s="93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911"/>
      <c r="B107" s="93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912">
        <v>61</v>
      </c>
      <c r="B108" s="93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912"/>
      <c r="B109" s="93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912"/>
      <c r="B110" s="93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911">
        <v>64</v>
      </c>
      <c r="B113" s="93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911"/>
      <c r="B114" s="93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911">
        <v>66</v>
      </c>
      <c r="B116" s="93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911"/>
      <c r="B117" s="93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912">
        <v>67</v>
      </c>
      <c r="B118" s="93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912"/>
      <c r="B119" s="93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912"/>
      <c r="B120" s="93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911">
        <v>68</v>
      </c>
      <c r="B121" s="93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911"/>
      <c r="B122" s="93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912">
        <v>69</v>
      </c>
      <c r="B123" s="93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912"/>
      <c r="B124" s="93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911">
        <v>72</v>
      </c>
      <c r="B127" s="935" t="s">
        <v>65</v>
      </c>
      <c r="C127" s="119" t="s">
        <v>26</v>
      </c>
      <c r="D127" s="120">
        <v>3.3</v>
      </c>
      <c r="E127" s="121"/>
      <c r="F127" s="122" t="s">
        <v>30</v>
      </c>
      <c r="G127" s="938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911"/>
      <c r="B128" s="935"/>
      <c r="C128" s="103" t="s">
        <v>26</v>
      </c>
      <c r="D128" s="88">
        <v>12.9</v>
      </c>
      <c r="E128" s="106"/>
      <c r="F128" s="107" t="s">
        <v>16</v>
      </c>
      <c r="G128" s="938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911">
        <v>76</v>
      </c>
      <c r="B132" s="93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911"/>
      <c r="B133" s="93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911"/>
      <c r="B134" s="93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911"/>
      <c r="B135" s="93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911">
        <v>78</v>
      </c>
      <c r="B137" s="94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911"/>
      <c r="B138" s="94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3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3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91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91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91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91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91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91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91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91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91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91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91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91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91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91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91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91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91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91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91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91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91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91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33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91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33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91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91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91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91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91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91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91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91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91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91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91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91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91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91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91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91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91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91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91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91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91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91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91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91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91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91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91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91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91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91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91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91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91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91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91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91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91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91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91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91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91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38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91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38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91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91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91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91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91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91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91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91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91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91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91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91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91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91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91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91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91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91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91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91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91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91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91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91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91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91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91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91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91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91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91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91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23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91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23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91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91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91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38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91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38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91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91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91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91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91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91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91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91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91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91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91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91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91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91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91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91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91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91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91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91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91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91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91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91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91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91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91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91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91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33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91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33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91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91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91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91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91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91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91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91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91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91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91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91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91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91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91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91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91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91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91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91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91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91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91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91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91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91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91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91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91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91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91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91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91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91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17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91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17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91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91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91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91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91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91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91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91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91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91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91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91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91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91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91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91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91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91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91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91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91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91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91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91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91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91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91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91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91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91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91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91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91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91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17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91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17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91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91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91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91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91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91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32" t="s">
        <v>133</v>
      </c>
      <c r="J420" s="932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91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91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91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91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91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91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91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91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91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91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91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91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91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91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91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91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91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91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91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91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91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91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91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91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91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14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91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14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91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91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91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91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91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91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91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91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91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91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91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91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91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91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91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91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91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91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91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91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91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91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91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91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91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91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91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91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91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91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91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91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91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17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91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17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91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91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91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31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91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31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91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31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91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31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91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31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91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91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91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91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91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91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91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91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91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91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91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91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91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91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91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91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91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91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91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91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91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91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91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91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91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91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91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91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91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91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91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91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91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91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91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91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91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91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91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91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14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91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14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91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91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91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91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91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91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91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91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91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91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91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91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91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91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91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91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91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91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91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91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91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91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91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91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91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91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91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91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91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91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91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91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91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17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91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17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91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91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91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91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91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91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91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91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91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91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91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91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91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91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91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91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91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91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91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91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91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91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91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91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91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91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91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91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91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91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91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91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91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91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91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91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91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91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91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91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91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91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91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91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17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91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17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91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91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28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91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28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91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91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91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91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91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91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91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91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91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91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91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91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91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91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91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91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91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91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91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91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91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91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91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91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91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91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91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91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91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17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91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17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2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2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2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91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91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91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2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2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91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91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91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2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2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91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91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91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91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91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91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91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91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91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91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91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91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91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91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91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91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91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91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91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91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91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91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30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91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30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91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91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91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91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91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91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91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91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91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91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91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91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91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91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91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91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4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4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4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4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4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4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91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17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91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17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91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91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91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91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91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91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1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1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1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1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1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91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91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91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91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91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94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94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91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91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91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91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91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91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91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91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91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91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91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91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91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91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91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91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91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91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91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91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91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91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91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91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91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14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91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14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91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91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91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91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91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91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91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91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91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91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91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91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91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91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91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91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91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91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91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91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91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91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91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91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91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91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91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91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91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91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91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91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91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91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91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91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91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91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91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91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91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91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91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91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91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91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91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91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91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91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91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91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91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91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91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91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91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91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91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91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91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91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91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91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91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91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91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91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91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91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91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91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91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91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91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91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91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91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91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91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91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91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91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91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91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91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91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91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91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91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91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91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91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14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91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14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91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91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91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91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91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91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91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91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91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91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91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91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91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91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91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91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91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91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91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91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91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4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4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91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91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91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91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91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91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91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91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91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91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91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91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91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91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91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91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91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91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91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91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91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91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91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91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17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91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17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91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91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91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91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91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91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91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91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91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91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91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91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91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91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91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91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91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91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91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91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91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91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91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91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91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91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91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91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91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91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91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91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91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91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91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91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91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91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91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91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91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91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17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91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17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91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91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91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91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91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91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91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91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91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91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91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91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91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91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91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91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91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91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91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91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91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91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91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91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91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91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91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91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91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91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91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91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91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91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91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91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91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91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14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91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14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91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91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91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91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91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91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91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91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91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91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91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91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91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91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91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91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91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91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91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91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91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91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91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91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91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91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14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91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14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57" hidden="1" thickBot="1" x14ac:dyDescent="0.3">
      <c r="A1125" s="91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91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91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91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91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91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91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91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91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91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91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91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91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91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91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91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91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91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91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91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91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91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91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91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91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91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91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91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91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91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91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14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91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14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91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91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91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91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91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91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91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91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91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91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91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91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91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91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91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91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91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91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91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91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91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91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91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91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91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91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14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91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14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91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91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91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91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91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91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91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91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91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91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91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91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91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91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91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91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91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91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91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91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91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91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91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91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91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91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91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91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91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91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91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91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91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91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91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91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14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91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14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91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91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91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91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91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91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91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91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91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91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91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91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91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91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91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91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91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91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91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91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91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91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91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91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91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91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91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91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91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17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91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17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91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91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91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91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91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91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91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91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91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91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91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91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91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91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91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91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91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91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91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91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91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91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91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91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91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91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91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27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91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27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91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91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91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91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91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91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91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91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91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91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91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91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91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91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91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91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91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91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91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91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91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91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91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91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91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91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91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17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91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17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91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91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91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91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91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91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91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91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91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91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91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91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91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91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91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17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91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17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91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17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91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17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91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91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91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91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91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91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91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91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91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17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91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17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91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91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91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91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91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91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91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91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91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91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91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91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91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91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91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91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91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91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91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91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91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91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91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91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91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17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91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17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91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91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91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91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91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91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91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91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91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91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91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91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91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91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91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91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91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91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91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91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14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91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14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91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91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91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91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91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91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91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91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91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91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91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91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91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91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91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91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91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91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91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91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91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17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91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17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91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91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91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91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91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91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91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91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91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91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91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91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91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91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91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91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91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91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91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91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91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91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91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91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91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91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91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91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91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91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91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91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91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91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91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91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91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91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91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91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91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91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91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91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91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91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91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14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91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14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91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91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91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91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91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91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91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91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91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91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91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91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91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91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91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91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91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91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91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91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91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91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91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91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91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91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17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91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17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91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91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91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91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91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91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91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91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91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91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91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91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14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91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14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91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91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91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91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91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91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91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91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91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91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91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91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91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91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91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91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91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91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91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91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91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91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91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17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91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17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91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91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91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91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91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91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91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91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91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91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91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91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91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91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91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912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91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91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91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91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91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91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91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91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17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91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17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91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17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91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91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91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91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91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91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91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91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91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91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91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91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14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91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14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91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91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91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91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91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91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91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91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91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91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91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91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91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911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91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911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91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91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91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91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91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91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91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91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911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91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91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91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91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91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17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91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17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91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91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91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91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91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91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91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91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91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91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91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91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91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91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91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91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91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91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91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91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17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91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17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91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91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91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91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91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91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91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91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91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91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91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912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91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91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91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91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912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91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91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91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91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91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17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91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17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91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91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91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91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91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91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91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91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91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91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91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91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91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91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91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91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91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91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91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91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14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91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14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75.75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912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91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91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91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91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91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91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91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91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91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91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91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91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91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91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91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91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91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91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91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91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91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911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91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91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91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91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911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91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91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91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91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91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91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91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91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91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91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91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91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91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91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91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91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91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91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91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91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17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91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17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912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91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91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91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91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91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91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91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91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91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17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91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17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91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91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91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91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91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91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91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91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91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91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91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91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912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91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91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91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91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14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91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14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912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91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91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91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91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91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91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91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91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91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91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91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91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91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91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91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91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91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91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91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91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91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911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91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91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91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91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91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91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91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91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91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91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91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91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91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91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91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912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91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91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91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91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91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91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91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91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91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911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91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91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91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91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91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91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91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91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91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91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91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91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2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25" t="s">
        <v>467</v>
      </c>
      <c r="H2160" s="414" t="s">
        <v>515</v>
      </c>
      <c r="I2160" s="415" t="s">
        <v>516</v>
      </c>
      <c r="J2160" s="926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2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25"/>
      <c r="H2161" s="421" t="s">
        <v>515</v>
      </c>
      <c r="I2161" s="422" t="s">
        <v>516</v>
      </c>
      <c r="J2161" s="926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2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25"/>
      <c r="H2162" s="429" t="s">
        <v>515</v>
      </c>
      <c r="I2162" s="430" t="s">
        <v>516</v>
      </c>
      <c r="J2162" s="926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2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25" t="s">
        <v>467</v>
      </c>
      <c r="H2165" s="414" t="s">
        <v>516</v>
      </c>
      <c r="I2165" s="415" t="s">
        <v>516</v>
      </c>
      <c r="J2165" s="926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2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25"/>
      <c r="H2166" s="429" t="s">
        <v>516</v>
      </c>
      <c r="I2166" s="430" t="s">
        <v>516</v>
      </c>
      <c r="J2166" s="926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91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91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91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91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91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912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91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91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91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91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91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91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17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91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17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912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91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91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91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14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91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14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912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22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91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22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91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23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91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23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912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91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91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91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91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91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91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91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91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91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91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91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91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91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91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91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91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91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91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912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91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91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91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91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91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91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91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91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91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91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91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91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91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91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91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91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911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91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91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911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91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91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91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91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91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91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91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91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91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91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91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91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91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91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91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91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91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91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91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91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91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91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91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91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911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91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91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91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91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91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91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91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91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91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91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91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91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91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91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91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91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91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91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91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912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91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91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91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13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1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1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91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91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91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91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91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91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91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91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91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91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91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91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91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91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91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91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91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912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91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91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1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1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1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912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91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1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1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912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91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91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91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91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91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91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91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91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91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91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91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91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91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91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91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91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91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91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91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91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91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91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91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91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91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91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91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91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91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91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91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91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91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91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91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91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91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912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91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91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91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91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91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91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91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91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91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91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91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91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91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91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91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91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91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912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91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91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91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91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915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91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91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91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91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91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91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91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91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91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91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91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91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911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14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91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14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91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14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91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91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91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91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912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91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91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91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91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91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91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14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91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14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91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91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91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91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91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91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91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91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912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91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91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91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2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2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2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21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91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91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91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17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91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17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91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91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1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1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911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91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91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91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91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91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91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91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91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91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91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91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91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91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16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91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16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91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91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91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14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91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14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91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91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91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91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1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1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911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91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91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91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91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91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91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91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91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91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91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91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91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91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91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91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91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14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91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14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91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91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91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91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91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91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91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91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91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91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91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91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91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91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91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91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1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1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1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1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1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1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91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91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1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1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91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91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91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91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91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91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91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91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91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91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91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91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91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91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915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91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91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91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91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91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91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91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91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91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91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91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1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1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91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91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91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91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91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91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91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91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91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91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91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91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91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91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14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91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14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91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14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91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91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91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91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91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91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91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91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91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91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91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91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91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912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91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91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91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91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91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91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91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91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91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91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91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91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91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91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91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91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91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91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91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91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91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91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91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91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91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91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91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1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1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91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91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91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91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91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1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18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1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18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91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91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912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17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91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17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91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91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91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91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91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91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91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912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91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91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91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91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91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91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91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91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91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91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91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13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1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1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1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1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91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91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91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14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91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14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91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91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91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91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91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91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91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91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91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91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91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91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91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91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91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91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91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91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91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17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91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17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1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1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1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1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91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91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91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17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91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17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91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91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91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91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91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91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91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91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91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91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91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91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91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91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91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13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1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1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1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1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91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91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912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91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91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91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91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91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17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91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17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91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91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91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91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91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91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91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91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91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91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1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1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1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1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1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1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91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91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91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91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91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91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91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91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91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91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1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14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1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14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1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14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912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91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91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91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91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91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91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91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91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91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91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1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1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91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91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91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91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91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91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91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14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91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14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91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14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91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14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91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91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91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91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91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91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91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91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14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91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14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91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14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91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91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1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1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1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91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91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91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91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91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91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91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91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91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91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91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91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91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91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91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1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91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14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91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91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91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91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91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91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91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91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91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91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1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1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1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1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1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1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1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1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91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91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91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91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91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91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91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91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91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91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91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91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1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1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91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91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91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91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91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91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91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91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91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91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91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91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91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91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91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91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91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91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91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91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1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1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1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91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91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91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91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91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1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91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17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91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17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91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17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91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91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91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91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91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91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91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91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91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91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91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91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91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91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91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91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91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91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1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1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1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91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91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91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91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91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91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91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91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91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91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91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91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91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91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91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91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91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91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91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91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91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16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91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16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91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16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91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16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91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16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91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16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91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91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91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91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91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91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91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91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91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91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91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91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911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91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91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91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91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91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91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91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91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91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91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91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91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91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91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91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91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91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91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1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1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1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1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1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1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1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1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91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91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91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91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91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91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91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91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91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91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91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91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91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91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91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91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91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91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91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91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91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91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91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91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91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91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91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91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1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1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1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1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1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1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1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1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1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91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91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915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91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91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912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91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91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1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1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91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91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1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1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91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91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1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1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91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91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91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91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91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91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91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91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91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91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91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91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91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91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91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91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91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91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91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91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91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91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91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91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17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91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17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91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91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91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91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91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91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91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91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91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91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17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91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17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915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91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91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91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91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91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91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91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91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91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91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91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91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17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91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17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1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1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1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1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91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91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91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91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91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91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91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91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91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91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91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91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91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91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91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91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91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91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91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91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91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91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16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91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16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91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16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91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91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91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91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91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91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91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91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91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91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91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91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91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13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1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1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1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1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91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91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91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14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91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14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91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91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91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91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91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91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91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91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91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91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91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91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91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91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13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1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1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1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1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1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1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91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91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91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14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91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14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91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91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91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91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91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91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1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1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91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91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91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91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91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91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91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91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14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91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14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75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00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8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03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75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00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8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03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8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03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8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03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872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0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75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0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75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00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0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07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75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8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8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8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872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87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87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87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0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75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0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872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0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75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8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8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8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8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8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872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88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0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08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75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0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872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88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0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08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75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8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8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0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75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8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872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87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87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0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872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87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87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75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8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8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8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8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8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872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0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75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00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0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07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75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00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0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07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75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0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872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0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75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8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75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0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872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0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75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8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0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872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87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0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872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87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87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87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87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87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75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0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872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88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0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08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75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0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872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0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75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8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8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0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75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00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0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07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872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87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0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75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0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872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88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0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08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75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8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8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8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8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8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87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0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872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0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872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88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0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08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75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8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0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872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87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0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75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8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0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872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87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87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87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872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0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75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8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0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75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8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8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8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872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87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872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87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87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87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87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87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75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0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75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00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8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03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0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07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7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8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0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87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87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0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7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8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8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7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00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0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07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872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87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87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0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75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0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75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0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872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0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872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87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87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87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87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75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0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75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8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0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872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0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75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0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872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0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75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00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0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07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872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87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75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8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0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872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0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75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0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872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0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75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0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75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8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873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87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87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87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87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87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75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0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75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0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872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87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87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0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75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8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8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8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8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0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75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0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872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87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87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0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872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87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87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87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87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87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75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0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75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00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0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07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872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87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0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75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8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8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0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872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87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0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75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00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8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03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0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07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872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88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0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08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75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0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872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0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75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8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8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8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8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8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872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0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75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0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872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87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0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75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8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8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0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872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0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75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00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0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07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75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0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872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87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0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872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0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75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8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872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87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872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87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87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87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87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75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0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75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8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872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88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0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08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75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8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8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8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8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8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0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872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87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87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87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75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8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0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75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0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872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0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75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8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0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75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0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886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0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1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75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8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8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8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8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0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872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0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75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8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0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872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0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75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0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75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0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872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87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87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75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8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87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872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87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75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00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87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01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75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8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872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88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87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89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75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8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8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8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8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872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87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75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87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75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8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87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872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87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75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8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8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872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88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87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02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87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89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872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87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872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87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87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75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8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87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872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87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87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87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87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75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87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872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87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87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75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8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8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87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872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87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75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8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8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87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75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87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872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87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87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75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87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872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87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87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87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87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75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87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872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87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87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75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87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872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87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75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87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75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8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87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75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87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872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87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872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87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87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75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8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8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8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87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75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8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872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87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872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87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872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87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75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8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87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872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87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87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87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75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8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87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75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00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87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01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872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87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87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872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87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87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75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8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8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87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75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87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872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88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87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02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87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02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87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89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75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8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87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75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87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872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87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87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75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87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872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87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87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872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88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87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89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75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87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872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87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87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872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87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75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87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872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87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75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87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872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87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87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87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87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75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8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87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75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00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8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03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8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03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87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01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872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87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75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87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75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87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872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87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87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75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87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872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88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87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89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872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87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872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87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87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87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87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87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75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8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872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87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87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75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87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75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8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87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872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87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87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75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8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87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872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87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87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872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87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75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87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87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87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87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7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8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8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87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87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8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87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89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7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8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87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872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87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75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8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8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8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872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87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75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87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872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87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87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87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75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87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87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87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87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87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7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87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87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87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75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8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8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87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75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87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75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8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8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87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872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87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872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87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75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8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87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872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87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87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872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87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87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872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87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87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75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87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75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8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8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87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872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88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87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02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75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87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872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87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75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87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872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87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75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87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75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8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87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872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87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75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87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872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87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87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75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8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87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872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87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75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87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75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8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872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87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87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75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8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87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75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87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75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87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872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87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75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87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872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87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75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8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87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872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87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87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872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87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87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75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87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872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87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87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75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00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8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03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87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01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872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87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87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872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87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872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87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75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8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87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75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87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872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87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75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8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8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87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75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87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75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00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87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01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872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87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872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87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872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87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75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8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8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87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872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87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75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87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75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87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75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8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87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872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87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87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75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87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872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87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87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75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87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872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87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75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87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872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87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87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82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8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872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87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75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87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872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87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87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87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75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87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872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87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75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87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75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00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87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01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75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8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87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872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87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87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75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8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87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872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87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872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87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75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8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872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87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75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87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872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88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87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02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87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02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87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89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872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87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87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872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88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87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89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75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8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75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8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87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872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87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87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75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00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87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01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75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87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872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87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872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87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87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87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75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00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8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03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872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87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872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87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75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87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872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87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75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00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87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01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75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8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87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872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87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87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872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88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87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89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75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87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75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8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75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87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872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87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87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87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75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87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872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87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75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87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872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88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87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02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87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89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75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87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75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00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87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01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872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87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75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8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8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87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872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88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87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89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75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87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872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87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75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87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872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87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75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00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87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01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872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87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87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75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87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75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00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87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01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872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87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87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87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75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87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872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87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87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75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8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8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87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872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87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75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87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872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87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75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00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87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01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872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87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872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87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87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75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00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8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03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872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87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872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87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87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75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8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87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75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87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75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87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872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87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87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87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75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00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87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01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75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87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872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88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87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89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75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8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8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872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87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75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87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872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87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75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00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87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01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872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87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75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87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872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88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87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89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75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87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872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87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87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75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87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872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87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87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872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88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87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89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75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8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872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87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87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75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87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75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8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87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872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87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87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872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88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87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89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872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88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87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89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75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8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75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8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87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872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87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87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75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87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872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87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872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88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87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89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872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87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87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75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87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872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88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87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89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75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87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872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87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87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75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00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8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03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8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03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872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88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87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89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82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8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8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8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82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8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75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8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872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87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75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00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8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04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8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8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8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872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87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75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8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87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872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87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75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87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75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87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872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88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87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02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87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89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75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8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872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88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87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89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872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87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87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87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872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87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87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75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8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87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75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00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8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03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8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03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8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03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872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87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75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00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87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01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75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87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872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87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87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75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00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87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01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872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87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75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8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8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87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872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87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75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00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87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01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872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87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87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872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87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75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8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8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872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87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872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87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87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87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872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87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872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87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75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8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8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87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872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87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87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75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87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872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87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75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87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75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00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8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03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872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87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87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874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75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00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876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01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75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87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75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00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876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01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75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8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876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872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874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75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876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872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88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874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89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872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87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874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75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8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8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876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872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87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874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75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8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75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00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876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01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872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87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75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8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8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872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874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75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8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876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872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874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75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876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872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874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75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876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75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876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872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87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874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75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876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872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874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872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88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87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02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75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8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8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872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874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75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8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8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876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872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87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874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872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87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75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876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872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87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874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75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8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8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876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872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874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75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876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75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8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75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00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8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03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8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03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8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03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8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03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872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874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872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87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87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874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872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87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87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874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75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876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872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87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874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75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8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876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75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8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876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872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874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872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88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874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89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872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88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87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02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87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02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87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02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75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876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872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874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75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876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75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876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872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874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872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87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87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874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82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8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872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874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82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03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8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03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872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87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75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00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876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01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872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87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75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00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8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03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872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874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75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876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872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874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75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876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872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874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75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00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876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01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75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876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872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874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75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876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872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874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75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8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876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872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874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872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874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872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873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873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75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876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75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876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872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873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874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872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873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874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75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8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876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872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873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874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75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8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872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88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874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89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75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8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876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75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876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872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874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75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876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75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00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876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01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75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876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872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874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75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876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872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88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874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89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872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873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873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873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874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75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8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876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75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8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872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88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874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89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872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88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873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02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873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02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873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02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874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89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75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8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876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872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873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873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873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874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75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00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876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01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872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874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75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8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876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75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876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75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876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872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873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874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75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876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872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874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75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8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75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8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8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876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872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874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75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8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876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872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874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75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876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872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88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874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89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872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873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75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876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75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876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75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8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8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876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75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876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872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874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75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876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872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88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874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89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75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876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94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95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879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880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881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872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874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879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880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77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881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78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879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881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872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873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886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873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887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896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892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897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898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899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886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887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872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874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872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873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873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873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873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872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874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872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890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874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89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75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876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875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876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75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82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876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872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874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872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874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872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873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874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75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82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876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872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873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873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875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876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872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873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874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872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873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873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874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872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873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19.5" hidden="1" thickBot="1" x14ac:dyDescent="0.3">
      <c r="A6651" s="874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75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876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872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88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874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89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872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873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886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887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0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892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892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893"/>
      <c r="B6672" s="793" t="s">
        <v>1601</v>
      </c>
      <c r="C6672" s="794" t="s">
        <v>26</v>
      </c>
      <c r="D6672" s="795">
        <v>1.9</v>
      </c>
      <c r="E6672" s="795">
        <v>1.9059999999999999</v>
      </c>
      <c r="F6672" s="796" t="s">
        <v>16</v>
      </c>
      <c r="G6672" s="797" t="s">
        <v>76</v>
      </c>
      <c r="H6672" s="796" t="s">
        <v>1614</v>
      </c>
      <c r="I6672" s="796" t="s">
        <v>1614</v>
      </c>
      <c r="J6672" s="798"/>
      <c r="K6672" s="796" t="str">
        <f t="shared" si="202"/>
        <v>07,26</v>
      </c>
      <c r="L6672" s="796" t="s">
        <v>265</v>
      </c>
      <c r="M6672" s="796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883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6"/>
    </row>
    <row r="6674" spans="1:17" ht="18.75" hidden="1" customHeight="1" thickBot="1" x14ac:dyDescent="0.3">
      <c r="A6674" s="884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6"/>
    </row>
    <row r="6675" spans="1:17" ht="19.5" hidden="1" thickBot="1" x14ac:dyDescent="0.3">
      <c r="A6675" s="875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6"/>
    </row>
    <row r="6676" spans="1:17" ht="19.5" hidden="1" thickBot="1" x14ac:dyDescent="0.3">
      <c r="A6676" s="876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6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6"/>
    </row>
    <row r="6678" spans="1:17" ht="19.5" hidden="1" thickBot="1" x14ac:dyDescent="0.3">
      <c r="A6678" s="875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82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883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6" t="s">
        <v>1647</v>
      </c>
      <c r="Q6680" s="835" t="s">
        <v>1648</v>
      </c>
    </row>
    <row r="6681" spans="1:17" ht="18.75" hidden="1" customHeight="1" thickBot="1" x14ac:dyDescent="0.3">
      <c r="A6681" s="884"/>
      <c r="B6681" s="799" t="s">
        <v>1614</v>
      </c>
      <c r="C6681" s="800" t="s">
        <v>26</v>
      </c>
      <c r="D6681" s="801">
        <v>1.8</v>
      </c>
      <c r="E6681" s="801">
        <v>1.8129999999999999</v>
      </c>
      <c r="F6681" s="802" t="s">
        <v>16</v>
      </c>
      <c r="G6681" s="803" t="s">
        <v>76</v>
      </c>
      <c r="H6681" s="802" t="s">
        <v>1615</v>
      </c>
      <c r="I6681" s="802" t="s">
        <v>1615</v>
      </c>
      <c r="J6681" s="804"/>
      <c r="K6681" s="802" t="str">
        <f t="shared" si="202"/>
        <v>07,26</v>
      </c>
      <c r="L6681" s="802" t="s">
        <v>265</v>
      </c>
      <c r="M6681" s="802">
        <v>1800</v>
      </c>
      <c r="N6681" s="805">
        <v>0.375</v>
      </c>
      <c r="O6681" s="758" t="s">
        <v>1645</v>
      </c>
      <c r="P6681" s="836"/>
    </row>
    <row r="6682" spans="1:17" ht="19.5" hidden="1" thickBot="1" x14ac:dyDescent="0.3">
      <c r="A6682" s="945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6" t="s">
        <v>1651</v>
      </c>
      <c r="Q6682" s="835" t="s">
        <v>1652</v>
      </c>
    </row>
    <row r="6683" spans="1:17" ht="18.75" hidden="1" customHeight="1" thickBot="1" x14ac:dyDescent="0.3">
      <c r="A6683" s="893"/>
      <c r="B6683" s="806" t="s">
        <v>1614</v>
      </c>
      <c r="C6683" s="807" t="s">
        <v>26</v>
      </c>
      <c r="D6683" s="808">
        <v>1.8</v>
      </c>
      <c r="E6683" s="808">
        <v>1.8069999999999999</v>
      </c>
      <c r="F6683" s="809" t="s">
        <v>16</v>
      </c>
      <c r="G6683" s="810" t="s">
        <v>76</v>
      </c>
      <c r="H6683" s="809" t="s">
        <v>1615</v>
      </c>
      <c r="I6683" s="809" t="s">
        <v>1615</v>
      </c>
      <c r="J6683" s="812"/>
      <c r="K6683" s="809" t="str">
        <f t="shared" si="202"/>
        <v>07,26</v>
      </c>
      <c r="L6683" s="809" t="s">
        <v>265</v>
      </c>
      <c r="M6683" s="809">
        <v>1800</v>
      </c>
      <c r="N6683" s="778">
        <v>0.41666666666666669</v>
      </c>
      <c r="O6683" s="758" t="s">
        <v>1649</v>
      </c>
      <c r="P6683" s="836"/>
    </row>
    <row r="6684" spans="1:17" ht="19.5" hidden="1" thickBot="1" x14ac:dyDescent="0.3">
      <c r="A6684" s="883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885"/>
      <c r="B6685" s="826" t="s">
        <v>1595</v>
      </c>
      <c r="C6685" s="822" t="s">
        <v>24</v>
      </c>
      <c r="D6685" s="823">
        <v>11.436999999999999</v>
      </c>
      <c r="E6685" s="824">
        <v>10.012</v>
      </c>
      <c r="F6685" s="821" t="s">
        <v>16</v>
      </c>
      <c r="G6685" s="825"/>
      <c r="H6685" s="821" t="s">
        <v>1615</v>
      </c>
      <c r="I6685" s="782" t="s">
        <v>1635</v>
      </c>
      <c r="J6685" s="827"/>
      <c r="K6685" s="821" t="str">
        <f t="shared" si="202"/>
        <v>07,26</v>
      </c>
      <c r="L6685" s="821" t="s">
        <v>28</v>
      </c>
      <c r="M6685" s="821">
        <v>11590.22</v>
      </c>
      <c r="N6685" s="813">
        <v>0.45833333333333331</v>
      </c>
      <c r="O6685" s="758" t="s">
        <v>1679</v>
      </c>
    </row>
    <row r="6686" spans="1:17" ht="19.5" hidden="1" thickBot="1" x14ac:dyDescent="0.3">
      <c r="A6686" s="885"/>
      <c r="B6686" s="815" t="s">
        <v>1615</v>
      </c>
      <c r="C6686" s="816" t="s">
        <v>15</v>
      </c>
      <c r="D6686" s="817">
        <v>0.7</v>
      </c>
      <c r="E6686" s="817">
        <v>0.71299999999999997</v>
      </c>
      <c r="F6686" s="818" t="s">
        <v>16</v>
      </c>
      <c r="G6686" s="819" t="s">
        <v>76</v>
      </c>
      <c r="H6686" s="818" t="s">
        <v>1615</v>
      </c>
      <c r="I6686" s="818" t="s">
        <v>1635</v>
      </c>
      <c r="J6686" s="820"/>
      <c r="K6686" s="818" t="str">
        <f t="shared" si="202"/>
        <v>07,26</v>
      </c>
      <c r="L6686" s="818" t="s">
        <v>28</v>
      </c>
      <c r="M6686" s="818">
        <v>720</v>
      </c>
      <c r="N6686" s="813">
        <v>0.45833333333333331</v>
      </c>
      <c r="O6686" s="758" t="s">
        <v>1680</v>
      </c>
    </row>
    <row r="6687" spans="1:17" ht="19.5" hidden="1" thickBot="1" x14ac:dyDescent="0.3">
      <c r="A6687" s="884"/>
      <c r="B6687" s="828" t="s">
        <v>1615</v>
      </c>
      <c r="C6687" s="829" t="s">
        <v>24</v>
      </c>
      <c r="D6687" s="830">
        <v>1</v>
      </c>
      <c r="E6687" s="830">
        <v>1.0109999999999999</v>
      </c>
      <c r="F6687" s="831" t="s">
        <v>16</v>
      </c>
      <c r="G6687" s="832" t="s">
        <v>76</v>
      </c>
      <c r="H6687" s="831" t="s">
        <v>1615</v>
      </c>
      <c r="I6687" s="831" t="s">
        <v>1635</v>
      </c>
      <c r="J6687" s="833"/>
      <c r="K6687" s="831" t="str">
        <f t="shared" si="202"/>
        <v>07,26</v>
      </c>
      <c r="L6687" s="831" t="s">
        <v>28</v>
      </c>
      <c r="M6687" s="831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945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892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6"/>
    </row>
    <row r="6690" spans="1:16" ht="19.5" hidden="1" thickBot="1" x14ac:dyDescent="0.3">
      <c r="A6690" s="893"/>
      <c r="B6690" s="793" t="s">
        <v>1615</v>
      </c>
      <c r="C6690" s="794" t="s">
        <v>47</v>
      </c>
      <c r="D6690" s="795">
        <v>2.5</v>
      </c>
      <c r="E6690" s="795">
        <v>2.5449999999999999</v>
      </c>
      <c r="F6690" s="796" t="s">
        <v>16</v>
      </c>
      <c r="G6690" s="797" t="s">
        <v>76</v>
      </c>
      <c r="H6690" s="796" t="s">
        <v>1615</v>
      </c>
      <c r="I6690" s="796" t="s">
        <v>1631</v>
      </c>
      <c r="J6690" s="798"/>
      <c r="K6690" s="796" t="str">
        <f t="shared" si="202"/>
        <v>07,26</v>
      </c>
      <c r="L6690" s="796" t="s">
        <v>28</v>
      </c>
      <c r="M6690" s="796">
        <v>2524.8000000000002</v>
      </c>
      <c r="N6690" s="502">
        <v>0.5</v>
      </c>
      <c r="O6690" s="758" t="s">
        <v>1663</v>
      </c>
      <c r="P6690" s="836"/>
    </row>
    <row r="6691" spans="1:16" ht="19.5" hidden="1" thickBot="1" x14ac:dyDescent="0.3">
      <c r="A6691" s="883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884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945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893"/>
      <c r="B6694" s="806" t="s">
        <v>1615</v>
      </c>
      <c r="C6694" s="807" t="s">
        <v>47</v>
      </c>
      <c r="D6694" s="808">
        <v>2.8</v>
      </c>
      <c r="E6694" s="808">
        <v>2.8319999999999999</v>
      </c>
      <c r="F6694" s="809" t="s">
        <v>16</v>
      </c>
      <c r="G6694" s="810" t="s">
        <v>76</v>
      </c>
      <c r="H6694" s="809" t="s">
        <v>1615</v>
      </c>
      <c r="I6694" s="809" t="s">
        <v>1615</v>
      </c>
      <c r="J6694" s="812"/>
      <c r="K6694" s="809" t="str">
        <f t="shared" si="202"/>
        <v>07,26</v>
      </c>
      <c r="L6694" s="809" t="s">
        <v>28</v>
      </c>
      <c r="M6694" s="809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883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6"/>
    </row>
    <row r="6696" spans="1:16" ht="19.5" hidden="1" thickBot="1" x14ac:dyDescent="0.3">
      <c r="A6696" s="885"/>
      <c r="B6696" s="815" t="s">
        <v>1614</v>
      </c>
      <c r="C6696" s="816" t="s">
        <v>26</v>
      </c>
      <c r="D6696" s="817">
        <v>3.5</v>
      </c>
      <c r="E6696" s="817">
        <v>1.8009999999999999</v>
      </c>
      <c r="F6696" s="818" t="s">
        <v>16</v>
      </c>
      <c r="G6696" s="819" t="s">
        <v>76</v>
      </c>
      <c r="H6696" s="818" t="s">
        <v>1620</v>
      </c>
      <c r="I6696" s="818" t="s">
        <v>1620</v>
      </c>
      <c r="J6696" s="820"/>
      <c r="K6696" s="818" t="str">
        <f t="shared" si="202"/>
        <v>07,26</v>
      </c>
      <c r="L6696" s="818" t="s">
        <v>265</v>
      </c>
      <c r="M6696" s="818">
        <v>3510</v>
      </c>
      <c r="N6696" s="813">
        <v>0.375</v>
      </c>
      <c r="O6696" s="758" t="s">
        <v>1655</v>
      </c>
      <c r="P6696" s="836"/>
    </row>
    <row r="6697" spans="1:16" ht="19.5" hidden="1" thickBot="1" x14ac:dyDescent="0.3">
      <c r="A6697" s="884"/>
      <c r="B6697" s="814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6"/>
    </row>
    <row r="6698" spans="1:16" ht="19.5" hidden="1" thickBot="1" x14ac:dyDescent="0.3">
      <c r="A6698" s="945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6"/>
    </row>
    <row r="6699" spans="1:16" ht="18.75" hidden="1" customHeight="1" thickBot="1" x14ac:dyDescent="0.3">
      <c r="A6699" s="893"/>
      <c r="B6699" s="806" t="s">
        <v>1614</v>
      </c>
      <c r="C6699" s="807" t="s">
        <v>26</v>
      </c>
      <c r="D6699" s="808">
        <v>4.3</v>
      </c>
      <c r="E6699" s="808">
        <v>1.7050000000000001</v>
      </c>
      <c r="F6699" s="809" t="s">
        <v>16</v>
      </c>
      <c r="G6699" s="810"/>
      <c r="H6699" s="809" t="s">
        <v>1620</v>
      </c>
      <c r="I6699" s="809" t="s">
        <v>1631</v>
      </c>
      <c r="J6699" s="812"/>
      <c r="K6699" s="809" t="str">
        <f t="shared" si="202"/>
        <v>07,26</v>
      </c>
      <c r="L6699" s="809" t="s">
        <v>265</v>
      </c>
      <c r="M6699" s="809">
        <v>4305</v>
      </c>
      <c r="N6699" s="778">
        <v>0.41666666666666669</v>
      </c>
      <c r="O6699" s="758" t="s">
        <v>1677</v>
      </c>
      <c r="P6699" s="836"/>
    </row>
    <row r="6700" spans="1:16" ht="19.5" hidden="1" thickBot="1" x14ac:dyDescent="0.3">
      <c r="A6700" s="883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6"/>
    </row>
    <row r="6701" spans="1:16" ht="19.5" hidden="1" thickBot="1" x14ac:dyDescent="0.3">
      <c r="A6701" s="885"/>
      <c r="B6701" s="815" t="s">
        <v>1614</v>
      </c>
      <c r="C6701" s="816" t="s">
        <v>23</v>
      </c>
      <c r="D6701" s="817">
        <v>4</v>
      </c>
      <c r="E6701" s="817">
        <v>4.0439999999999996</v>
      </c>
      <c r="F6701" s="818" t="s">
        <v>16</v>
      </c>
      <c r="G6701" s="819"/>
      <c r="H6701" s="818" t="s">
        <v>1620</v>
      </c>
      <c r="I6701" s="818" t="s">
        <v>1620</v>
      </c>
      <c r="J6701" s="820"/>
      <c r="K6701" s="818" t="str">
        <f t="shared" si="202"/>
        <v>07,26</v>
      </c>
      <c r="L6701" s="818" t="s">
        <v>28</v>
      </c>
      <c r="M6701" s="818">
        <v>4022.4</v>
      </c>
      <c r="N6701" s="813">
        <v>0.45833333333333331</v>
      </c>
      <c r="O6701" s="758" t="s">
        <v>1638</v>
      </c>
    </row>
    <row r="6702" spans="1:16" ht="19.5" hidden="1" thickBot="1" x14ac:dyDescent="0.3">
      <c r="A6702" s="884"/>
      <c r="B6702" s="814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6.25" x14ac:dyDescent="0.25">
      <c r="A6703" s="875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845" t="s">
        <v>794</v>
      </c>
      <c r="H6703" s="483" t="s">
        <v>1620</v>
      </c>
      <c r="I6703" s="484" t="s">
        <v>1631</v>
      </c>
      <c r="J6703" s="485"/>
      <c r="K6703" s="479"/>
      <c r="L6703" s="483" t="s">
        <v>28</v>
      </c>
      <c r="M6703" s="483">
        <v>517.44000000000005</v>
      </c>
      <c r="N6703" s="486">
        <v>0.5</v>
      </c>
      <c r="O6703" s="758" t="s">
        <v>1666</v>
      </c>
    </row>
    <row r="6704" spans="1:16" x14ac:dyDescent="0.25">
      <c r="A6704" s="882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3"/>
      <c r="L6704" s="527" t="s">
        <v>28</v>
      </c>
      <c r="M6704" s="527">
        <v>8268.52</v>
      </c>
      <c r="N6704" s="530">
        <v>0.5</v>
      </c>
      <c r="O6704" s="758" t="s">
        <v>1667</v>
      </c>
    </row>
    <row r="6705" spans="1:16" x14ac:dyDescent="0.25">
      <c r="A6705" s="882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5"/>
      <c r="L6705" s="499" t="s">
        <v>28</v>
      </c>
      <c r="M6705" s="499">
        <v>8438.4</v>
      </c>
      <c r="N6705" s="502">
        <v>0.5</v>
      </c>
      <c r="O6705" s="758" t="s">
        <v>1668</v>
      </c>
    </row>
    <row r="6706" spans="1:16" ht="19.5" thickBot="1" x14ac:dyDescent="0.3">
      <c r="A6706" s="882"/>
      <c r="B6706" s="806" t="s">
        <v>1631</v>
      </c>
      <c r="C6706" s="807" t="s">
        <v>47</v>
      </c>
      <c r="D6706" s="808">
        <v>4</v>
      </c>
      <c r="E6706" s="808" t="s">
        <v>1496</v>
      </c>
      <c r="F6706" s="809" t="s">
        <v>16</v>
      </c>
      <c r="G6706" s="810" t="s">
        <v>76</v>
      </c>
      <c r="H6706" s="809" t="s">
        <v>1620</v>
      </c>
      <c r="I6706" s="809" t="s">
        <v>1496</v>
      </c>
      <c r="J6706" s="812"/>
      <c r="K6706" s="811"/>
      <c r="L6706" s="809" t="s">
        <v>28</v>
      </c>
      <c r="M6706" s="809">
        <v>4020</v>
      </c>
      <c r="N6706" s="778">
        <v>0.5</v>
      </c>
      <c r="O6706" s="758" t="s">
        <v>1024</v>
      </c>
    </row>
    <row r="6707" spans="1:16" ht="19.5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4"/>
      <c r="L6707" s="508" t="s">
        <v>266</v>
      </c>
      <c r="M6707" s="508">
        <v>18025.18</v>
      </c>
      <c r="N6707" s="512">
        <v>0.54166666666666663</v>
      </c>
      <c r="O6707" s="758" t="s">
        <v>1656</v>
      </c>
    </row>
    <row r="6708" spans="1:16" ht="19.5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4"/>
      <c r="L6708" s="518" t="s">
        <v>265</v>
      </c>
      <c r="M6708" s="518">
        <v>12033.279999999999</v>
      </c>
      <c r="N6708" s="522">
        <v>0.375</v>
      </c>
      <c r="O6708" s="758" t="s">
        <v>1659</v>
      </c>
    </row>
    <row r="6709" spans="1:16" x14ac:dyDescent="0.25">
      <c r="A6709" s="872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1"/>
      <c r="L6709" s="535" t="s">
        <v>265</v>
      </c>
      <c r="M6709" s="535">
        <v>12827.199999999999</v>
      </c>
      <c r="N6709" s="539">
        <v>0.375</v>
      </c>
      <c r="O6709" s="758" t="s">
        <v>1673</v>
      </c>
      <c r="P6709" s="853" t="s">
        <v>1675</v>
      </c>
    </row>
    <row r="6710" spans="1:16" x14ac:dyDescent="0.25">
      <c r="A6710" s="873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3"/>
      <c r="L6710" s="567" t="s">
        <v>265</v>
      </c>
      <c r="M6710" s="567">
        <v>2894.42</v>
      </c>
      <c r="N6710" s="571">
        <v>0.375</v>
      </c>
      <c r="O6710" s="758" t="s">
        <v>1671</v>
      </c>
    </row>
    <row r="6711" spans="1:16" x14ac:dyDescent="0.25">
      <c r="A6711" s="873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3"/>
      <c r="L6711" s="567" t="s">
        <v>265</v>
      </c>
      <c r="M6711" s="567">
        <v>1925.24</v>
      </c>
      <c r="N6711" s="571">
        <v>0.375</v>
      </c>
      <c r="O6711" s="758" t="s">
        <v>1672</v>
      </c>
    </row>
    <row r="6712" spans="1:16" ht="19.5" thickBot="1" x14ac:dyDescent="0.3">
      <c r="A6712" s="874"/>
      <c r="B6712" s="834" t="s">
        <v>1615</v>
      </c>
      <c r="C6712" s="829" t="s">
        <v>26</v>
      </c>
      <c r="D6712" s="830">
        <v>2</v>
      </c>
      <c r="E6712" s="830">
        <v>2.0179999999999998</v>
      </c>
      <c r="F6712" s="831" t="s">
        <v>16</v>
      </c>
      <c r="G6712" s="832" t="s">
        <v>76</v>
      </c>
      <c r="H6712" s="831" t="s">
        <v>1631</v>
      </c>
      <c r="I6712" s="831" t="s">
        <v>1635</v>
      </c>
      <c r="J6712" s="833"/>
      <c r="K6712" s="834"/>
      <c r="L6712" s="831" t="s">
        <v>265</v>
      </c>
      <c r="M6712" s="831">
        <v>2010</v>
      </c>
      <c r="N6712" s="644">
        <v>0.375</v>
      </c>
      <c r="O6712" s="758" t="s">
        <v>1674</v>
      </c>
    </row>
    <row r="6713" spans="1:16" x14ac:dyDescent="0.25">
      <c r="A6713" s="945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845"/>
      <c r="H6713" s="483" t="s">
        <v>1631</v>
      </c>
      <c r="I6713" s="484" t="s">
        <v>1635</v>
      </c>
      <c r="J6713" s="485"/>
      <c r="K6713" s="479"/>
      <c r="L6713" s="483" t="s">
        <v>265</v>
      </c>
      <c r="M6713" s="483">
        <v>17672.740000000002</v>
      </c>
      <c r="N6713" s="486">
        <v>0.41666666666666669</v>
      </c>
      <c r="O6713" s="758" t="s">
        <v>1698</v>
      </c>
    </row>
    <row r="6714" spans="1:16" ht="19.5" thickBot="1" x14ac:dyDescent="0.3">
      <c r="A6714" s="893"/>
      <c r="B6714" s="806" t="s">
        <v>1615</v>
      </c>
      <c r="C6714" s="807" t="s">
        <v>26</v>
      </c>
      <c r="D6714" s="808">
        <v>2.2000000000000002</v>
      </c>
      <c r="E6714" s="808">
        <v>2.2309999999999999</v>
      </c>
      <c r="F6714" s="809" t="s">
        <v>16</v>
      </c>
      <c r="G6714" s="810" t="s">
        <v>76</v>
      </c>
      <c r="H6714" s="809" t="s">
        <v>1631</v>
      </c>
      <c r="I6714" s="809" t="s">
        <v>1635</v>
      </c>
      <c r="J6714" s="812"/>
      <c r="K6714" s="811"/>
      <c r="L6714" s="809" t="s">
        <v>265</v>
      </c>
      <c r="M6714" s="809">
        <v>2220</v>
      </c>
      <c r="N6714" s="778">
        <v>0.41666666666666669</v>
      </c>
      <c r="O6714" s="758" t="s">
        <v>1699</v>
      </c>
    </row>
    <row r="6715" spans="1:16" ht="19.5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4"/>
      <c r="L6715" s="508" t="s">
        <v>28</v>
      </c>
      <c r="M6715" s="508">
        <v>11225.12</v>
      </c>
      <c r="N6715" s="512">
        <v>0.41666666666666669</v>
      </c>
      <c r="O6715" s="758" t="s">
        <v>1660</v>
      </c>
    </row>
    <row r="6716" spans="1:16" ht="57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/>
      <c r="F6716" s="518" t="s">
        <v>30</v>
      </c>
      <c r="G6716" s="519" t="s">
        <v>1632</v>
      </c>
      <c r="H6716" s="518" t="s">
        <v>1631</v>
      </c>
      <c r="I6716" s="520"/>
      <c r="J6716" s="521"/>
      <c r="K6716" s="514"/>
      <c r="L6716" s="518" t="s">
        <v>28</v>
      </c>
      <c r="M6716" s="518">
        <v>11345.68</v>
      </c>
      <c r="N6716" s="522">
        <v>0.45833333333333331</v>
      </c>
    </row>
    <row r="6717" spans="1:16" ht="19.5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843"/>
      <c r="H6717" s="556" t="s">
        <v>1631</v>
      </c>
      <c r="I6717" s="558" t="s">
        <v>1631</v>
      </c>
      <c r="J6717" s="559"/>
      <c r="K6717" s="552"/>
      <c r="L6717" s="556" t="s">
        <v>28</v>
      </c>
      <c r="M6717" s="556">
        <v>11480.960000000001</v>
      </c>
      <c r="N6717" s="560">
        <v>0.5</v>
      </c>
      <c r="O6717" s="758" t="s">
        <v>1664</v>
      </c>
      <c r="P6717" s="853" t="s">
        <v>1665</v>
      </c>
    </row>
    <row r="6718" spans="1:16" x14ac:dyDescent="0.25">
      <c r="A6718" s="945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47" t="s">
        <v>1633</v>
      </c>
      <c r="H6718" s="483" t="s">
        <v>1631</v>
      </c>
      <c r="I6718" s="484" t="s">
        <v>1635</v>
      </c>
      <c r="J6718" s="485"/>
      <c r="K6718" s="479"/>
      <c r="L6718" s="483" t="s">
        <v>28</v>
      </c>
      <c r="M6718" s="483">
        <v>7917.2999999999993</v>
      </c>
      <c r="N6718" s="486">
        <v>0.45833333333333331</v>
      </c>
      <c r="O6718" s="758" t="s">
        <v>1690</v>
      </c>
    </row>
    <row r="6719" spans="1:16" x14ac:dyDescent="0.25">
      <c r="A6719" s="892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48"/>
      <c r="H6719" s="763" t="s">
        <v>1631</v>
      </c>
      <c r="I6719" s="768" t="s">
        <v>1635</v>
      </c>
      <c r="J6719" s="779"/>
      <c r="K6719" s="792"/>
      <c r="L6719" s="763" t="s">
        <v>28</v>
      </c>
      <c r="M6719" s="763">
        <v>8185.32</v>
      </c>
      <c r="N6719" s="770">
        <v>0.45833333333333331</v>
      </c>
      <c r="O6719" s="758" t="s">
        <v>1689</v>
      </c>
    </row>
    <row r="6720" spans="1:16" ht="19.5" thickBot="1" x14ac:dyDescent="0.3">
      <c r="A6720" s="893"/>
      <c r="B6720" s="806" t="s">
        <v>1631</v>
      </c>
      <c r="C6720" s="807" t="s">
        <v>24</v>
      </c>
      <c r="D6720" s="808">
        <v>1.5</v>
      </c>
      <c r="E6720" s="808">
        <v>1.5249999999999999</v>
      </c>
      <c r="F6720" s="809" t="s">
        <v>16</v>
      </c>
      <c r="G6720" s="949"/>
      <c r="H6720" s="809" t="s">
        <v>1631</v>
      </c>
      <c r="I6720" s="809" t="s">
        <v>1635</v>
      </c>
      <c r="J6720" s="812"/>
      <c r="K6720" s="811"/>
      <c r="L6720" s="809" t="s">
        <v>28</v>
      </c>
      <c r="M6720" s="809">
        <v>1525.2</v>
      </c>
      <c r="N6720" s="778">
        <v>0.45833333333333331</v>
      </c>
      <c r="O6720" s="758" t="s">
        <v>1691</v>
      </c>
    </row>
    <row r="6721" spans="1:17" x14ac:dyDescent="0.25">
      <c r="A6721" s="872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02" t="s">
        <v>1633</v>
      </c>
      <c r="H6721" s="567" t="s">
        <v>1631</v>
      </c>
      <c r="I6721" s="569" t="s">
        <v>1635</v>
      </c>
      <c r="J6721" s="570"/>
      <c r="K6721" s="563"/>
      <c r="L6721" s="567" t="s">
        <v>28</v>
      </c>
      <c r="M6721" s="567">
        <v>15657.02</v>
      </c>
      <c r="N6721" s="571">
        <v>0.5</v>
      </c>
      <c r="O6721" s="758" t="s">
        <v>1682</v>
      </c>
    </row>
    <row r="6722" spans="1:17" ht="19.5" thickBot="1" x14ac:dyDescent="0.3">
      <c r="A6722" s="874"/>
      <c r="B6722" s="838" t="s">
        <v>1631</v>
      </c>
      <c r="C6722" s="839" t="s">
        <v>47</v>
      </c>
      <c r="D6722" s="840">
        <v>0.9</v>
      </c>
      <c r="E6722" s="840">
        <v>0.92400000000000004</v>
      </c>
      <c r="F6722" s="841" t="s">
        <v>16</v>
      </c>
      <c r="G6722" s="902"/>
      <c r="H6722" s="841" t="s">
        <v>1631</v>
      </c>
      <c r="I6722" s="841" t="s">
        <v>1635</v>
      </c>
      <c r="J6722" s="842"/>
      <c r="K6722" s="838"/>
      <c r="L6722" s="841" t="s">
        <v>28</v>
      </c>
      <c r="M6722" s="841">
        <v>918</v>
      </c>
      <c r="N6722" s="598">
        <v>0.5</v>
      </c>
      <c r="O6722" s="758" t="s">
        <v>1683</v>
      </c>
    </row>
    <row r="6723" spans="1:17" x14ac:dyDescent="0.25">
      <c r="A6723" s="945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00" t="s">
        <v>1634</v>
      </c>
      <c r="H6723" s="483" t="s">
        <v>1631</v>
      </c>
      <c r="I6723" s="484" t="s">
        <v>1635</v>
      </c>
      <c r="J6723" s="485"/>
      <c r="K6723" s="479"/>
      <c r="L6723" s="483" t="s">
        <v>28</v>
      </c>
      <c r="M6723" s="483">
        <v>15985.570000000002</v>
      </c>
      <c r="N6723" s="486">
        <v>0.54166666666666663</v>
      </c>
      <c r="O6723" s="758" t="s">
        <v>1669</v>
      </c>
    </row>
    <row r="6724" spans="1:17" ht="19.5" thickBot="1" x14ac:dyDescent="0.3">
      <c r="A6724" s="893"/>
      <c r="B6724" s="846" t="s">
        <v>1631</v>
      </c>
      <c r="C6724" s="847" t="s">
        <v>23</v>
      </c>
      <c r="D6724" s="848">
        <v>1.7</v>
      </c>
      <c r="E6724" s="848">
        <v>1.722</v>
      </c>
      <c r="F6724" s="849" t="s">
        <v>16</v>
      </c>
      <c r="G6724" s="903"/>
      <c r="H6724" s="849" t="s">
        <v>1631</v>
      </c>
      <c r="I6724" s="849" t="s">
        <v>1635</v>
      </c>
      <c r="J6724" s="850"/>
      <c r="K6724" s="851"/>
      <c r="L6724" s="849" t="s">
        <v>28</v>
      </c>
      <c r="M6724" s="849">
        <v>1728</v>
      </c>
      <c r="N6724" s="852">
        <v>0.54166666666666663</v>
      </c>
      <c r="O6724" s="758" t="s">
        <v>1670</v>
      </c>
      <c r="Q6724" s="837"/>
    </row>
    <row r="6725" spans="1:17" x14ac:dyDescent="0.25">
      <c r="A6725" s="883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1"/>
      <c r="L6725" s="535" t="s">
        <v>265</v>
      </c>
      <c r="M6725" s="535">
        <v>17496.179999999997</v>
      </c>
      <c r="N6725" s="539">
        <v>0.375</v>
      </c>
      <c r="O6725" s="758" t="s">
        <v>1685</v>
      </c>
      <c r="P6725" s="836"/>
    </row>
    <row r="6726" spans="1:17" ht="19.5" thickBot="1" x14ac:dyDescent="0.3">
      <c r="A6726" s="884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91"/>
      <c r="L6726" s="788" t="s">
        <v>265</v>
      </c>
      <c r="M6726" s="788">
        <v>1305</v>
      </c>
      <c r="N6726" s="784">
        <v>0.375</v>
      </c>
      <c r="O6726" s="758" t="s">
        <v>1686</v>
      </c>
      <c r="P6726" s="836"/>
    </row>
    <row r="6727" spans="1:17" x14ac:dyDescent="0.25">
      <c r="A6727" s="875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3"/>
      <c r="L6727" s="527" t="s">
        <v>28</v>
      </c>
      <c r="M6727" s="527">
        <v>3586.8</v>
      </c>
      <c r="N6727" s="530">
        <v>0.41666666666666669</v>
      </c>
      <c r="O6727" s="758" t="s">
        <v>1687</v>
      </c>
    </row>
    <row r="6728" spans="1:17" ht="19.5" thickBot="1" x14ac:dyDescent="0.3">
      <c r="A6728" s="876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5"/>
      <c r="L6728" s="649" t="s">
        <v>28</v>
      </c>
      <c r="M6728" s="649">
        <v>6921.6</v>
      </c>
      <c r="N6728" s="653">
        <v>0.41666666666666669</v>
      </c>
      <c r="O6728" s="758" t="s">
        <v>1688</v>
      </c>
    </row>
    <row r="6729" spans="1:17" x14ac:dyDescent="0.25">
      <c r="A6729" s="872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1"/>
      <c r="L6729" s="535" t="s">
        <v>28</v>
      </c>
      <c r="M6729" s="535">
        <v>4043.64</v>
      </c>
      <c r="N6729" s="539">
        <v>0.41666666666666669</v>
      </c>
      <c r="O6729" s="758" t="s">
        <v>1696</v>
      </c>
    </row>
    <row r="6730" spans="1:17" ht="19.5" thickBot="1" x14ac:dyDescent="0.3">
      <c r="A6730" s="874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844"/>
      <c r="H6730" s="640" t="s">
        <v>1635</v>
      </c>
      <c r="I6730" s="642" t="s">
        <v>1635</v>
      </c>
      <c r="J6730" s="643"/>
      <c r="K6730" s="636"/>
      <c r="L6730" s="640" t="s">
        <v>266</v>
      </c>
      <c r="M6730" s="640">
        <v>13282.3</v>
      </c>
      <c r="N6730" s="644">
        <v>0.41666666666666669</v>
      </c>
      <c r="O6730" s="758" t="s">
        <v>1697</v>
      </c>
      <c r="P6730" s="836"/>
    </row>
    <row r="6731" spans="1:17" x14ac:dyDescent="0.25">
      <c r="A6731" s="875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845"/>
      <c r="H6731" s="483" t="s">
        <v>1635</v>
      </c>
      <c r="I6731" s="484" t="s">
        <v>1635</v>
      </c>
      <c r="J6731" s="485"/>
      <c r="K6731" s="479"/>
      <c r="L6731" s="483" t="s">
        <v>28</v>
      </c>
      <c r="M6731" s="483">
        <v>3401.82</v>
      </c>
      <c r="N6731" s="486">
        <v>0.45833333333333331</v>
      </c>
      <c r="O6731" s="758" t="s">
        <v>1694</v>
      </c>
    </row>
    <row r="6732" spans="1:17" ht="19.5" thickBot="1" x14ac:dyDescent="0.3">
      <c r="A6732" s="882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5"/>
      <c r="L6732" s="499" t="s">
        <v>266</v>
      </c>
      <c r="M6732" s="499">
        <v>13908.660000000002</v>
      </c>
      <c r="N6732" s="502">
        <v>0.45833333333333331</v>
      </c>
      <c r="O6732" s="758" t="s">
        <v>1695</v>
      </c>
      <c r="P6732" s="836"/>
    </row>
    <row r="6733" spans="1:17" x14ac:dyDescent="0.25">
      <c r="A6733" s="886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1"/>
      <c r="L6733" s="535" t="s">
        <v>265</v>
      </c>
      <c r="M6733" s="535">
        <v>17527.2</v>
      </c>
      <c r="N6733" s="539">
        <v>0.66666666666666663</v>
      </c>
      <c r="O6733" s="758" t="s">
        <v>1692</v>
      </c>
      <c r="P6733" s="836"/>
    </row>
    <row r="6734" spans="1:17" ht="19.5" thickBot="1" x14ac:dyDescent="0.3">
      <c r="A6734" s="946"/>
      <c r="B6734" s="854" t="s">
        <v>1631</v>
      </c>
      <c r="C6734" s="800" t="s">
        <v>26</v>
      </c>
      <c r="D6734" s="801">
        <v>0.8</v>
      </c>
      <c r="E6734" s="801">
        <v>0.82499999999999996</v>
      </c>
      <c r="F6734" s="802" t="s">
        <v>16</v>
      </c>
      <c r="G6734" s="803" t="s">
        <v>76</v>
      </c>
      <c r="H6734" s="802" t="s">
        <v>1635</v>
      </c>
      <c r="I6734" s="802" t="s">
        <v>1635</v>
      </c>
      <c r="J6734" s="804"/>
      <c r="K6734" s="854"/>
      <c r="L6734" s="802" t="s">
        <v>265</v>
      </c>
      <c r="M6734" s="802">
        <v>810</v>
      </c>
      <c r="N6734" s="805">
        <v>0.66666666666666663</v>
      </c>
      <c r="O6734" s="758" t="s">
        <v>1693</v>
      </c>
      <c r="P6734" s="836"/>
    </row>
    <row r="6735" spans="1:17" x14ac:dyDescent="0.25">
      <c r="A6735" s="945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860"/>
      <c r="H6735" s="483" t="s">
        <v>1684</v>
      </c>
      <c r="I6735" s="484" t="s">
        <v>1684</v>
      </c>
      <c r="J6735" s="485"/>
      <c r="K6735" s="479"/>
      <c r="L6735" s="483" t="s">
        <v>266</v>
      </c>
      <c r="M6735" s="483">
        <v>18153.29</v>
      </c>
      <c r="N6735" s="486">
        <v>0.41666666666666669</v>
      </c>
      <c r="O6735" s="758" t="s">
        <v>1709</v>
      </c>
      <c r="P6735" s="836"/>
    </row>
    <row r="6736" spans="1:17" ht="19.5" thickBot="1" x14ac:dyDescent="0.3">
      <c r="A6736" s="893"/>
      <c r="B6736" s="806" t="s">
        <v>1684</v>
      </c>
      <c r="C6736" s="807" t="s">
        <v>32</v>
      </c>
      <c r="D6736" s="808">
        <v>2.2999999999999998</v>
      </c>
      <c r="E6736" s="808">
        <v>2.319</v>
      </c>
      <c r="F6736" s="809" t="s">
        <v>16</v>
      </c>
      <c r="G6736" s="810" t="s">
        <v>76</v>
      </c>
      <c r="H6736" s="809" t="s">
        <v>1684</v>
      </c>
      <c r="I6736" s="809" t="s">
        <v>1684</v>
      </c>
      <c r="J6736" s="812"/>
      <c r="K6736" s="811"/>
      <c r="L6736" s="809" t="s">
        <v>266</v>
      </c>
      <c r="M6736" s="809">
        <v>2310</v>
      </c>
      <c r="N6736" s="778">
        <v>0.41666666666666669</v>
      </c>
      <c r="O6736" s="758" t="s">
        <v>1710</v>
      </c>
      <c r="P6736" s="836"/>
    </row>
    <row r="6737" spans="1:16" ht="19.5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859"/>
      <c r="H6737" s="640" t="s">
        <v>1684</v>
      </c>
      <c r="I6737" s="642" t="s">
        <v>1684</v>
      </c>
      <c r="J6737" s="643"/>
      <c r="K6737" s="636"/>
      <c r="L6737" s="640" t="s">
        <v>266</v>
      </c>
      <c r="M6737" s="640">
        <v>18135.710000000003</v>
      </c>
      <c r="N6737" s="644">
        <v>0.45833333333333331</v>
      </c>
      <c r="O6737" s="758" t="s">
        <v>1706</v>
      </c>
      <c r="P6737" s="836"/>
    </row>
    <row r="6738" spans="1:16" x14ac:dyDescent="0.25">
      <c r="A6738" s="945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860"/>
      <c r="H6738" s="483" t="s">
        <v>1684</v>
      </c>
      <c r="I6738" s="484" t="s">
        <v>1684</v>
      </c>
      <c r="J6738" s="485"/>
      <c r="K6738" s="479"/>
      <c r="L6738" s="483" t="s">
        <v>266</v>
      </c>
      <c r="M6738" s="483">
        <v>18078.599999999999</v>
      </c>
      <c r="N6738" s="486">
        <v>0.5</v>
      </c>
      <c r="O6738" s="758" t="s">
        <v>1707</v>
      </c>
      <c r="P6738" s="836"/>
    </row>
    <row r="6739" spans="1:16" ht="19.5" thickBot="1" x14ac:dyDescent="0.3">
      <c r="A6739" s="893"/>
      <c r="B6739" s="806" t="s">
        <v>1684</v>
      </c>
      <c r="C6739" s="807" t="s">
        <v>32</v>
      </c>
      <c r="D6739" s="808">
        <v>3.5</v>
      </c>
      <c r="E6739" s="808">
        <v>3.52</v>
      </c>
      <c r="F6739" s="809" t="s">
        <v>16</v>
      </c>
      <c r="G6739" s="810" t="s">
        <v>76</v>
      </c>
      <c r="H6739" s="809" t="s">
        <v>1684</v>
      </c>
      <c r="I6739" s="809" t="s">
        <v>1684</v>
      </c>
      <c r="J6739" s="812"/>
      <c r="K6739" s="811"/>
      <c r="L6739" s="809" t="s">
        <v>266</v>
      </c>
      <c r="M6739" s="809">
        <v>3510</v>
      </c>
      <c r="N6739" s="778">
        <v>0.5</v>
      </c>
      <c r="O6739" s="758" t="s">
        <v>1708</v>
      </c>
      <c r="P6739" s="836"/>
    </row>
    <row r="6740" spans="1:16" ht="19.5" thickBot="1" x14ac:dyDescent="0.3">
      <c r="A6740" s="855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856"/>
      <c r="H6740" s="556" t="s">
        <v>1684</v>
      </c>
      <c r="I6740" s="558" t="s">
        <v>1701</v>
      </c>
      <c r="J6740" s="559"/>
      <c r="K6740" s="552"/>
      <c r="L6740" s="556" t="s">
        <v>266</v>
      </c>
      <c r="M6740" s="556">
        <v>18156.96</v>
      </c>
      <c r="N6740" s="560">
        <v>0.54166666666666663</v>
      </c>
      <c r="O6740" s="758" t="s">
        <v>1716</v>
      </c>
    </row>
    <row r="6741" spans="1:16" x14ac:dyDescent="0.25">
      <c r="A6741" s="945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/>
      <c r="F6741" s="483" t="s">
        <v>16</v>
      </c>
      <c r="G6741" s="868"/>
      <c r="H6741" s="483" t="s">
        <v>1701</v>
      </c>
      <c r="I6741" s="484"/>
      <c r="J6741" s="485"/>
      <c r="K6741" s="479"/>
      <c r="L6741" s="483" t="s">
        <v>265</v>
      </c>
      <c r="M6741" s="483">
        <v>17734.39</v>
      </c>
      <c r="N6741" s="486">
        <v>0.375</v>
      </c>
    </row>
    <row r="6742" spans="1:16" x14ac:dyDescent="0.25">
      <c r="A6742" s="892"/>
      <c r="B6742" s="846" t="s">
        <v>1701</v>
      </c>
      <c r="C6742" s="847" t="s">
        <v>26</v>
      </c>
      <c r="D6742" s="848">
        <v>0.2</v>
      </c>
      <c r="E6742" s="848"/>
      <c r="F6742" s="849" t="s">
        <v>16</v>
      </c>
      <c r="G6742" s="869" t="s">
        <v>76</v>
      </c>
      <c r="H6742" s="849" t="s">
        <v>1701</v>
      </c>
      <c r="I6742" s="849"/>
      <c r="J6742" s="850"/>
      <c r="K6742" s="851"/>
      <c r="L6742" s="849" t="s">
        <v>265</v>
      </c>
      <c r="M6742" s="849">
        <v>210</v>
      </c>
      <c r="N6742" s="502">
        <v>0.375</v>
      </c>
    </row>
    <row r="6743" spans="1:16" ht="19.5" thickBot="1" x14ac:dyDescent="0.3">
      <c r="A6743" s="893"/>
      <c r="B6743" s="846" t="s">
        <v>1700</v>
      </c>
      <c r="C6743" s="847" t="s">
        <v>26</v>
      </c>
      <c r="D6743" s="848">
        <v>1.2</v>
      </c>
      <c r="E6743" s="848"/>
      <c r="F6743" s="849" t="s">
        <v>16</v>
      </c>
      <c r="G6743" s="869" t="s">
        <v>76</v>
      </c>
      <c r="H6743" s="849" t="s">
        <v>1701</v>
      </c>
      <c r="I6743" s="849"/>
      <c r="J6743" s="850"/>
      <c r="K6743" s="851"/>
      <c r="L6743" s="849" t="s">
        <v>265</v>
      </c>
      <c r="M6743" s="849">
        <v>1200</v>
      </c>
      <c r="N6743" s="852">
        <v>0.375</v>
      </c>
    </row>
    <row r="6744" spans="1:16" x14ac:dyDescent="0.25">
      <c r="A6744" s="872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1"/>
      <c r="L6744" s="535" t="s">
        <v>265</v>
      </c>
      <c r="M6744" s="535">
        <v>17497.330000000002</v>
      </c>
      <c r="N6744" s="539">
        <v>0.41666666666666669</v>
      </c>
      <c r="O6744" s="758" t="s">
        <v>1712</v>
      </c>
      <c r="P6744" s="853" t="s">
        <v>1715</v>
      </c>
    </row>
    <row r="6745" spans="1:16" x14ac:dyDescent="0.25">
      <c r="A6745" s="873"/>
      <c r="B6745" s="871" t="s">
        <v>1701</v>
      </c>
      <c r="C6745" s="839" t="s">
        <v>26</v>
      </c>
      <c r="D6745" s="840">
        <v>0.5</v>
      </c>
      <c r="E6745" s="840">
        <v>0.50700000000000001</v>
      </c>
      <c r="F6745" s="841" t="s">
        <v>16</v>
      </c>
      <c r="G6745" s="865" t="s">
        <v>76</v>
      </c>
      <c r="H6745" s="841" t="s">
        <v>1701</v>
      </c>
      <c r="I6745" s="841" t="s">
        <v>1701</v>
      </c>
      <c r="J6745" s="842"/>
      <c r="K6745" s="838"/>
      <c r="L6745" s="841" t="s">
        <v>265</v>
      </c>
      <c r="M6745" s="841">
        <v>510</v>
      </c>
      <c r="N6745" s="598">
        <v>0.41666666666666669</v>
      </c>
      <c r="O6745" s="758" t="s">
        <v>1714</v>
      </c>
    </row>
    <row r="6746" spans="1:16" ht="19.5" thickBot="1" x14ac:dyDescent="0.3">
      <c r="A6746" s="874"/>
      <c r="B6746" s="799" t="s">
        <v>1700</v>
      </c>
      <c r="C6746" s="800" t="s">
        <v>26</v>
      </c>
      <c r="D6746" s="801">
        <v>1.5</v>
      </c>
      <c r="E6746" s="801">
        <v>1.5069999999999999</v>
      </c>
      <c r="F6746" s="802" t="s">
        <v>16</v>
      </c>
      <c r="G6746" s="803" t="s">
        <v>76</v>
      </c>
      <c r="H6746" s="802" t="s">
        <v>1701</v>
      </c>
      <c r="I6746" s="802" t="s">
        <v>1701</v>
      </c>
      <c r="J6746" s="804"/>
      <c r="K6746" s="854"/>
      <c r="L6746" s="802" t="s">
        <v>265</v>
      </c>
      <c r="M6746" s="802">
        <v>1500</v>
      </c>
      <c r="N6746" s="805">
        <v>0.41666666666666669</v>
      </c>
      <c r="O6746" s="758" t="s">
        <v>1713</v>
      </c>
      <c r="P6746" s="853" t="s">
        <v>1720</v>
      </c>
    </row>
    <row r="6747" spans="1:16" x14ac:dyDescent="0.25">
      <c r="A6747" s="875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868"/>
      <c r="H6747" s="483" t="s">
        <v>1701</v>
      </c>
      <c r="I6747" s="484" t="s">
        <v>1701</v>
      </c>
      <c r="J6747" s="485"/>
      <c r="K6747" s="479"/>
      <c r="L6747" s="483" t="s">
        <v>265</v>
      </c>
      <c r="M6747" s="483">
        <v>17469.330000000002</v>
      </c>
      <c r="N6747" s="486">
        <v>0.45833333333333331</v>
      </c>
      <c r="O6747" s="758" t="s">
        <v>1717</v>
      </c>
    </row>
    <row r="6748" spans="1:16" x14ac:dyDescent="0.25">
      <c r="A6748" s="882"/>
      <c r="B6748" s="846" t="s">
        <v>1701</v>
      </c>
      <c r="C6748" s="847" t="s">
        <v>26</v>
      </c>
      <c r="D6748" s="848">
        <v>0.76</v>
      </c>
      <c r="E6748" s="848">
        <v>0.76700000000000002</v>
      </c>
      <c r="F6748" s="849" t="s">
        <v>16</v>
      </c>
      <c r="G6748" s="869" t="s">
        <v>76</v>
      </c>
      <c r="H6748" s="849" t="s">
        <v>1701</v>
      </c>
      <c r="I6748" s="849" t="s">
        <v>1701</v>
      </c>
      <c r="J6748" s="850"/>
      <c r="K6748" s="851"/>
      <c r="L6748" s="849" t="s">
        <v>265</v>
      </c>
      <c r="M6748" s="849">
        <v>765</v>
      </c>
      <c r="N6748" s="502">
        <v>0.45833333333333331</v>
      </c>
      <c r="O6748" s="758" t="s">
        <v>1719</v>
      </c>
    </row>
    <row r="6749" spans="1:16" ht="19.5" thickBot="1" x14ac:dyDescent="0.3">
      <c r="A6749" s="876"/>
      <c r="B6749" s="806" t="s">
        <v>1700</v>
      </c>
      <c r="C6749" s="807" t="s">
        <v>26</v>
      </c>
      <c r="D6749" s="808">
        <v>1.5</v>
      </c>
      <c r="E6749" s="808">
        <v>1.5069999999999999</v>
      </c>
      <c r="F6749" s="809" t="s">
        <v>16</v>
      </c>
      <c r="G6749" s="810" t="s">
        <v>76</v>
      </c>
      <c r="H6749" s="809" t="s">
        <v>1701</v>
      </c>
      <c r="I6749" s="809" t="s">
        <v>1701</v>
      </c>
      <c r="J6749" s="812"/>
      <c r="K6749" s="811"/>
      <c r="L6749" s="809" t="s">
        <v>265</v>
      </c>
      <c r="M6749" s="809">
        <v>1500</v>
      </c>
      <c r="N6749" s="778">
        <v>0.45833333333333331</v>
      </c>
      <c r="O6749" s="758" t="s">
        <v>1718</v>
      </c>
    </row>
    <row r="6750" spans="1:16" x14ac:dyDescent="0.25">
      <c r="A6750" s="872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/>
      <c r="F6750" s="567" t="s">
        <v>16</v>
      </c>
      <c r="G6750" s="568"/>
      <c r="H6750" s="567" t="s">
        <v>1701</v>
      </c>
      <c r="I6750" s="569"/>
      <c r="J6750" s="570"/>
      <c r="K6750" s="563"/>
      <c r="L6750" s="567" t="s">
        <v>266</v>
      </c>
      <c r="M6750" s="567">
        <v>10316.100000000002</v>
      </c>
      <c r="N6750" s="571">
        <v>0.5</v>
      </c>
    </row>
    <row r="6751" spans="1:16" x14ac:dyDescent="0.25">
      <c r="A6751" s="873"/>
      <c r="B6751" s="563" t="s">
        <v>1700</v>
      </c>
      <c r="C6751" s="564" t="s">
        <v>32</v>
      </c>
      <c r="D6751" s="565">
        <v>4.7690000000000001</v>
      </c>
      <c r="E6751" s="566"/>
      <c r="F6751" s="567" t="s">
        <v>16</v>
      </c>
      <c r="G6751" s="568" t="s">
        <v>1702</v>
      </c>
      <c r="H6751" s="567" t="s">
        <v>1701</v>
      </c>
      <c r="I6751" s="569"/>
      <c r="J6751" s="570"/>
      <c r="K6751" s="563"/>
      <c r="L6751" s="567" t="s">
        <v>266</v>
      </c>
      <c r="M6751" s="567">
        <v>4769.0999999999995</v>
      </c>
      <c r="N6751" s="571">
        <v>0.5</v>
      </c>
    </row>
    <row r="6752" spans="1:16" ht="19.5" thickBot="1" x14ac:dyDescent="0.3">
      <c r="A6752" s="874"/>
      <c r="B6752" s="636" t="s">
        <v>1700</v>
      </c>
      <c r="C6752" s="637" t="s">
        <v>32</v>
      </c>
      <c r="D6752" s="638">
        <v>2.5</v>
      </c>
      <c r="E6752" s="639"/>
      <c r="F6752" s="640" t="s">
        <v>16</v>
      </c>
      <c r="G6752" s="857"/>
      <c r="H6752" s="640" t="s">
        <v>1701</v>
      </c>
      <c r="I6752" s="642"/>
      <c r="J6752" s="643"/>
      <c r="K6752" s="636"/>
      <c r="L6752" s="640" t="s">
        <v>266</v>
      </c>
      <c r="M6752" s="640">
        <v>2503.7999999999997</v>
      </c>
      <c r="N6752" s="644">
        <v>0.5</v>
      </c>
    </row>
    <row r="6753" spans="1:15" ht="19.5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3"/>
      <c r="L6753" s="577" t="s">
        <v>265</v>
      </c>
      <c r="M6753" s="577">
        <v>13055.56</v>
      </c>
      <c r="N6753" s="581">
        <v>0.375</v>
      </c>
      <c r="O6753" s="758" t="s">
        <v>1711</v>
      </c>
    </row>
    <row r="6754" spans="1:15" ht="19.5" thickBot="1" x14ac:dyDescent="0.3">
      <c r="A6754" s="867">
        <f>MAX(A6729:A6753)+1</f>
        <v>4235</v>
      </c>
      <c r="B6754" s="759" t="s">
        <v>1700</v>
      </c>
      <c r="C6754" s="532" t="s">
        <v>26</v>
      </c>
      <c r="D6754" s="533">
        <v>17.495999999999999</v>
      </c>
      <c r="E6754" s="534"/>
      <c r="F6754" s="535" t="s">
        <v>16</v>
      </c>
      <c r="G6754" s="536"/>
      <c r="H6754" s="535" t="s">
        <v>1703</v>
      </c>
      <c r="I6754" s="537"/>
      <c r="J6754" s="538"/>
      <c r="K6754" s="531"/>
      <c r="L6754" s="535" t="s">
        <v>265</v>
      </c>
      <c r="M6754" s="535">
        <v>17758.39</v>
      </c>
      <c r="N6754" s="539">
        <v>0.375</v>
      </c>
    </row>
    <row r="6755" spans="1:15" ht="19.5" thickBot="1" x14ac:dyDescent="0.3">
      <c r="A6755" s="866">
        <f>MAX(A6730:A6754)+1</f>
        <v>4236</v>
      </c>
      <c r="B6755" s="610" t="s">
        <v>1700</v>
      </c>
      <c r="C6755" s="480" t="s">
        <v>26</v>
      </c>
      <c r="D6755" s="481">
        <v>17.387</v>
      </c>
      <c r="E6755" s="482"/>
      <c r="F6755" s="483" t="s">
        <v>16</v>
      </c>
      <c r="G6755" s="868"/>
      <c r="H6755" s="483" t="s">
        <v>1703</v>
      </c>
      <c r="I6755" s="484"/>
      <c r="J6755" s="485"/>
      <c r="K6755" s="479"/>
      <c r="L6755" s="483" t="s">
        <v>265</v>
      </c>
      <c r="M6755" s="483">
        <v>17577.29</v>
      </c>
      <c r="N6755" s="486">
        <v>0.41666666666666669</v>
      </c>
    </row>
    <row r="6756" spans="1:15" x14ac:dyDescent="0.25">
      <c r="A6756" s="883">
        <f>MAX(A6731:A6755)+1</f>
        <v>4237</v>
      </c>
      <c r="B6756" s="760" t="s">
        <v>1700</v>
      </c>
      <c r="C6756" s="564" t="s">
        <v>15</v>
      </c>
      <c r="D6756" s="565">
        <v>9.6829999999999998</v>
      </c>
      <c r="E6756" s="566"/>
      <c r="F6756" s="567" t="s">
        <v>16</v>
      </c>
      <c r="G6756" s="568"/>
      <c r="H6756" s="567" t="s">
        <v>1703</v>
      </c>
      <c r="I6756" s="569"/>
      <c r="J6756" s="570"/>
      <c r="K6756" s="563"/>
      <c r="L6756" s="567" t="s">
        <v>28</v>
      </c>
      <c r="M6756" s="567">
        <v>9815.5400000000009</v>
      </c>
      <c r="N6756" s="571">
        <v>0.45833333333333331</v>
      </c>
    </row>
    <row r="6757" spans="1:15" x14ac:dyDescent="0.25">
      <c r="A6757" s="885"/>
      <c r="B6757" s="826" t="s">
        <v>1700</v>
      </c>
      <c r="C6757" s="822" t="s">
        <v>24</v>
      </c>
      <c r="D6757" s="823">
        <v>7.4669999999999996</v>
      </c>
      <c r="E6757" s="824"/>
      <c r="F6757" s="821" t="s">
        <v>16</v>
      </c>
      <c r="G6757" s="825"/>
      <c r="H6757" s="821" t="s">
        <v>1703</v>
      </c>
      <c r="I6757" s="782"/>
      <c r="J6757" s="827"/>
      <c r="K6757" s="862"/>
      <c r="L6757" s="821" t="s">
        <v>28</v>
      </c>
      <c r="M6757" s="821">
        <v>7637.880000000001</v>
      </c>
      <c r="N6757" s="813">
        <v>0.45833333333333331</v>
      </c>
    </row>
    <row r="6758" spans="1:15" x14ac:dyDescent="0.25">
      <c r="A6758" s="885"/>
      <c r="B6758" s="815" t="s">
        <v>1684</v>
      </c>
      <c r="C6758" s="816" t="s">
        <v>15</v>
      </c>
      <c r="D6758" s="817">
        <v>2</v>
      </c>
      <c r="E6758" s="817"/>
      <c r="F6758" s="818" t="s">
        <v>16</v>
      </c>
      <c r="G6758" s="819" t="s">
        <v>76</v>
      </c>
      <c r="H6758" s="818" t="s">
        <v>1703</v>
      </c>
      <c r="I6758" s="818"/>
      <c r="J6758" s="820"/>
      <c r="K6758" s="863"/>
      <c r="L6758" s="818" t="s">
        <v>28</v>
      </c>
      <c r="M6758" s="818">
        <v>2010</v>
      </c>
      <c r="N6758" s="813">
        <v>0.45833333333333331</v>
      </c>
    </row>
    <row r="6759" spans="1:15" ht="19.5" thickBot="1" x14ac:dyDescent="0.3">
      <c r="A6759" s="884"/>
      <c r="B6759" s="828" t="s">
        <v>1684</v>
      </c>
      <c r="C6759" s="829" t="s">
        <v>24</v>
      </c>
      <c r="D6759" s="830">
        <v>3.5</v>
      </c>
      <c r="E6759" s="830"/>
      <c r="F6759" s="831" t="s">
        <v>16</v>
      </c>
      <c r="G6759" s="832" t="s">
        <v>76</v>
      </c>
      <c r="H6759" s="831" t="s">
        <v>1703</v>
      </c>
      <c r="I6759" s="831"/>
      <c r="J6759" s="833"/>
      <c r="K6759" s="834"/>
      <c r="L6759" s="831" t="s">
        <v>28</v>
      </c>
      <c r="M6759" s="831">
        <v>3510</v>
      </c>
      <c r="N6759" s="813">
        <v>0.45833333333333331</v>
      </c>
    </row>
    <row r="6760" spans="1:15" x14ac:dyDescent="0.25">
      <c r="A6760" s="945">
        <f>MAX(A6733:A6759)+1</f>
        <v>4238</v>
      </c>
      <c r="B6760" s="610" t="s">
        <v>1700</v>
      </c>
      <c r="C6760" s="480" t="s">
        <v>24</v>
      </c>
      <c r="D6760" s="481">
        <v>6</v>
      </c>
      <c r="E6760" s="482"/>
      <c r="F6760" s="483" t="s">
        <v>16</v>
      </c>
      <c r="G6760" s="860"/>
      <c r="H6760" s="483" t="s">
        <v>1703</v>
      </c>
      <c r="I6760" s="484"/>
      <c r="J6760" s="485"/>
      <c r="K6760" s="479"/>
      <c r="L6760" s="483" t="s">
        <v>28</v>
      </c>
      <c r="M6760" s="483">
        <v>6098.88</v>
      </c>
      <c r="N6760" s="486">
        <v>0.5</v>
      </c>
    </row>
    <row r="6761" spans="1:15" x14ac:dyDescent="0.25">
      <c r="A6761" s="892"/>
      <c r="B6761" s="769" t="s">
        <v>1700</v>
      </c>
      <c r="C6761" s="764" t="s">
        <v>764</v>
      </c>
      <c r="D6761" s="765">
        <v>11.1</v>
      </c>
      <c r="E6761" s="766"/>
      <c r="F6761" s="763" t="s">
        <v>16</v>
      </c>
      <c r="G6761" s="861"/>
      <c r="H6761" s="763" t="s">
        <v>1703</v>
      </c>
      <c r="I6761" s="768"/>
      <c r="J6761" s="779"/>
      <c r="K6761" s="792"/>
      <c r="L6761" s="763" t="s">
        <v>28</v>
      </c>
      <c r="M6761" s="763">
        <v>11147.4</v>
      </c>
      <c r="N6761" s="770">
        <v>0.5</v>
      </c>
    </row>
    <row r="6762" spans="1:15" ht="19.5" thickBot="1" x14ac:dyDescent="0.3">
      <c r="A6762" s="892"/>
      <c r="B6762" s="793" t="s">
        <v>1700</v>
      </c>
      <c r="C6762" s="794" t="s">
        <v>764</v>
      </c>
      <c r="D6762" s="795">
        <v>6.19</v>
      </c>
      <c r="E6762" s="795"/>
      <c r="F6762" s="796" t="s">
        <v>16</v>
      </c>
      <c r="G6762" s="797" t="s">
        <v>76</v>
      </c>
      <c r="H6762" s="796" t="s">
        <v>1703</v>
      </c>
      <c r="I6762" s="796"/>
      <c r="J6762" s="798"/>
      <c r="K6762" s="864"/>
      <c r="L6762" s="796" t="s">
        <v>28</v>
      </c>
      <c r="M6762" s="796">
        <v>6207.6</v>
      </c>
      <c r="N6762" s="502">
        <v>0.5</v>
      </c>
    </row>
    <row r="6763" spans="1:15" x14ac:dyDescent="0.25">
      <c r="A6763" s="872">
        <f>MAX(A6735:A6762)+1</f>
        <v>4239</v>
      </c>
      <c r="B6763" s="531" t="s">
        <v>1700</v>
      </c>
      <c r="C6763" s="532" t="s">
        <v>47</v>
      </c>
      <c r="D6763" s="533">
        <v>17.521999999999998</v>
      </c>
      <c r="E6763" s="534"/>
      <c r="F6763" s="535" t="s">
        <v>16</v>
      </c>
      <c r="G6763" s="536"/>
      <c r="H6763" s="535" t="s">
        <v>1703</v>
      </c>
      <c r="I6763" s="537"/>
      <c r="J6763" s="538"/>
      <c r="K6763" s="531"/>
      <c r="L6763" s="535" t="s">
        <v>28</v>
      </c>
      <c r="M6763" s="535">
        <v>17691.16</v>
      </c>
      <c r="N6763" s="539">
        <v>0.54166666666666663</v>
      </c>
    </row>
    <row r="6764" spans="1:15" ht="19.5" thickBot="1" x14ac:dyDescent="0.3">
      <c r="A6764" s="873"/>
      <c r="B6764" s="838" t="s">
        <v>1684</v>
      </c>
      <c r="C6764" s="839" t="s">
        <v>47</v>
      </c>
      <c r="D6764" s="840">
        <v>4.3</v>
      </c>
      <c r="E6764" s="840"/>
      <c r="F6764" s="841" t="s">
        <v>16</v>
      </c>
      <c r="G6764" s="865" t="s">
        <v>76</v>
      </c>
      <c r="H6764" s="841" t="s">
        <v>1703</v>
      </c>
      <c r="I6764" s="841"/>
      <c r="J6764" s="842"/>
      <c r="K6764" s="838"/>
      <c r="L6764" s="841" t="s">
        <v>28</v>
      </c>
      <c r="M6764" s="841">
        <v>4320</v>
      </c>
      <c r="N6764" s="805">
        <v>0.54166666666666663</v>
      </c>
    </row>
    <row r="6765" spans="1:15" ht="19.5" thickBot="1" x14ac:dyDescent="0.3">
      <c r="A6765" s="513">
        <f>MAX(A6737:A6764)+1</f>
        <v>4240</v>
      </c>
      <c r="B6765" s="514" t="s">
        <v>1684</v>
      </c>
      <c r="C6765" s="515" t="s">
        <v>32</v>
      </c>
      <c r="D6765" s="516">
        <v>17.63</v>
      </c>
      <c r="E6765" s="517"/>
      <c r="F6765" s="518" t="s">
        <v>16</v>
      </c>
      <c r="G6765" s="519"/>
      <c r="H6765" s="518" t="s">
        <v>1703</v>
      </c>
      <c r="I6765" s="520"/>
      <c r="J6765" s="521"/>
      <c r="K6765" s="514"/>
      <c r="L6765" s="518" t="s">
        <v>266</v>
      </c>
      <c r="M6765" s="518">
        <v>17635.8</v>
      </c>
      <c r="N6765" s="522">
        <v>0.58333333333333337</v>
      </c>
    </row>
    <row r="6766" spans="1:15" x14ac:dyDescent="0.25">
      <c r="A6766" s="872">
        <f>MAX(A6738:A6765)+1</f>
        <v>4241</v>
      </c>
      <c r="B6766" s="531" t="s">
        <v>1684</v>
      </c>
      <c r="C6766" s="532" t="s">
        <v>15</v>
      </c>
      <c r="D6766" s="533">
        <v>8.2880000000000003</v>
      </c>
      <c r="E6766" s="534"/>
      <c r="F6766" s="535" t="s">
        <v>30</v>
      </c>
      <c r="G6766" s="536"/>
      <c r="H6766" s="535" t="s">
        <v>1703</v>
      </c>
      <c r="I6766" s="537"/>
      <c r="J6766" s="538"/>
      <c r="K6766" s="531"/>
      <c r="L6766" s="535" t="s">
        <v>28</v>
      </c>
      <c r="M6766" s="535">
        <v>8288.880000000001</v>
      </c>
      <c r="N6766" s="539">
        <v>0.41666666666666669</v>
      </c>
    </row>
    <row r="6767" spans="1:15" ht="19.5" thickBot="1" x14ac:dyDescent="0.3">
      <c r="A6767" s="874"/>
      <c r="B6767" s="636" t="s">
        <v>1684</v>
      </c>
      <c r="C6767" s="637" t="s">
        <v>24</v>
      </c>
      <c r="D6767" s="638">
        <v>5.3079999999999998</v>
      </c>
      <c r="E6767" s="639"/>
      <c r="F6767" s="640" t="s">
        <v>30</v>
      </c>
      <c r="G6767" s="859"/>
      <c r="H6767" s="640" t="s">
        <v>1703</v>
      </c>
      <c r="I6767" s="642"/>
      <c r="J6767" s="643"/>
      <c r="K6767" s="636"/>
      <c r="L6767" s="640" t="s">
        <v>28</v>
      </c>
      <c r="M6767" s="640">
        <v>5308.32</v>
      </c>
      <c r="N6767" s="644">
        <v>0.41666666666666669</v>
      </c>
    </row>
    <row r="6768" spans="1:15" x14ac:dyDescent="0.25">
      <c r="A6768" s="875">
        <f>MAX(A6741:A6767)+1</f>
        <v>4242</v>
      </c>
      <c r="B6768" s="479" t="s">
        <v>1684</v>
      </c>
      <c r="C6768" s="480" t="s">
        <v>26</v>
      </c>
      <c r="D6768" s="481">
        <v>14.929</v>
      </c>
      <c r="E6768" s="482"/>
      <c r="F6768" s="483" t="s">
        <v>16</v>
      </c>
      <c r="G6768" s="860"/>
      <c r="H6768" s="483" t="s">
        <v>1704</v>
      </c>
      <c r="I6768" s="484"/>
      <c r="J6768" s="485"/>
      <c r="K6768" s="479"/>
      <c r="L6768" s="483" t="s">
        <v>265</v>
      </c>
      <c r="M6768" s="483">
        <v>15056.58</v>
      </c>
      <c r="N6768" s="486">
        <v>0.375</v>
      </c>
    </row>
    <row r="6769" spans="1:14" x14ac:dyDescent="0.25">
      <c r="A6769" s="882"/>
      <c r="B6769" s="523" t="s">
        <v>1684</v>
      </c>
      <c r="C6769" s="524" t="s">
        <v>1705</v>
      </c>
      <c r="D6769" s="525">
        <v>0.83399999999999996</v>
      </c>
      <c r="E6769" s="526"/>
      <c r="F6769" s="527" t="s">
        <v>16</v>
      </c>
      <c r="G6769" s="561"/>
      <c r="H6769" s="527" t="s">
        <v>1704</v>
      </c>
      <c r="I6769" s="528"/>
      <c r="J6769" s="529"/>
      <c r="K6769" s="523"/>
      <c r="L6769" s="527" t="s">
        <v>265</v>
      </c>
      <c r="M6769" s="527">
        <v>834.54000000000008</v>
      </c>
      <c r="N6769" s="530">
        <v>0.375</v>
      </c>
    </row>
    <row r="6770" spans="1:14" ht="19.5" thickBot="1" x14ac:dyDescent="0.3">
      <c r="A6770" s="876"/>
      <c r="B6770" s="645" t="s">
        <v>1684</v>
      </c>
      <c r="C6770" s="646" t="s">
        <v>952</v>
      </c>
      <c r="D6770" s="647">
        <v>1.619</v>
      </c>
      <c r="E6770" s="648"/>
      <c r="F6770" s="649" t="s">
        <v>16</v>
      </c>
      <c r="G6770" s="650"/>
      <c r="H6770" s="649" t="s">
        <v>1704</v>
      </c>
      <c r="I6770" s="651"/>
      <c r="J6770" s="652"/>
      <c r="K6770" s="645"/>
      <c r="L6770" s="649" t="s">
        <v>265</v>
      </c>
      <c r="M6770" s="649">
        <v>1693.38</v>
      </c>
      <c r="N6770" s="653">
        <v>0.375</v>
      </c>
    </row>
    <row r="6771" spans="1:14" x14ac:dyDescent="0.25">
      <c r="A6771" s="872">
        <f>MAX(A6750:A6770)+1</f>
        <v>4243</v>
      </c>
      <c r="B6771" s="531" t="s">
        <v>1684</v>
      </c>
      <c r="C6771" s="532" t="s">
        <v>913</v>
      </c>
      <c r="D6771" s="533">
        <v>2.5939999999999999</v>
      </c>
      <c r="E6771" s="534"/>
      <c r="F6771" s="535" t="s">
        <v>16</v>
      </c>
      <c r="G6771" s="536"/>
      <c r="H6771" s="535" t="s">
        <v>1704</v>
      </c>
      <c r="I6771" s="537"/>
      <c r="J6771" s="538"/>
      <c r="K6771" s="531"/>
      <c r="L6771" s="535" t="s">
        <v>266</v>
      </c>
      <c r="M6771" s="535">
        <v>2616.8999999999996</v>
      </c>
      <c r="N6771" s="539">
        <v>0.41666666666666669</v>
      </c>
    </row>
    <row r="6772" spans="1:14" ht="19.5" thickBot="1" x14ac:dyDescent="0.3">
      <c r="A6772" s="874"/>
      <c r="B6772" s="636" t="s">
        <v>1684</v>
      </c>
      <c r="C6772" s="637" t="s">
        <v>23</v>
      </c>
      <c r="D6772" s="638">
        <v>14.505000000000001</v>
      </c>
      <c r="E6772" s="639"/>
      <c r="F6772" s="640" t="s">
        <v>16</v>
      </c>
      <c r="G6772" s="859"/>
      <c r="H6772" s="640" t="s">
        <v>1704</v>
      </c>
      <c r="I6772" s="642"/>
      <c r="J6772" s="643"/>
      <c r="K6772" s="636"/>
      <c r="L6772" s="640" t="s">
        <v>28</v>
      </c>
      <c r="M6772" s="640">
        <v>14596.900000000001</v>
      </c>
      <c r="N6772" s="644">
        <v>0.41666666666666669</v>
      </c>
    </row>
    <row r="6773" spans="1:14" x14ac:dyDescent="0.25">
      <c r="A6773" s="676">
        <f>MAX(A6752:A6772)+1</f>
        <v>4244</v>
      </c>
      <c r="B6773" s="676" t="s">
        <v>1701</v>
      </c>
      <c r="C6773" s="473" t="s">
        <v>1341</v>
      </c>
      <c r="D6773" s="474">
        <v>9.3330000000000002</v>
      </c>
      <c r="E6773" s="475"/>
      <c r="F6773" s="676" t="s">
        <v>16</v>
      </c>
      <c r="G6773" s="476"/>
      <c r="H6773" s="676" t="s">
        <v>1704</v>
      </c>
      <c r="I6773" s="477"/>
      <c r="J6773" s="858"/>
      <c r="K6773" s="676"/>
      <c r="L6773" s="676" t="s">
        <v>266</v>
      </c>
      <c r="M6773" s="676">
        <v>9332.9999999999982</v>
      </c>
      <c r="N6773" s="870">
        <v>0.45833333333333331</v>
      </c>
    </row>
    <row r="6774" spans="1:14" x14ac:dyDescent="0.25">
      <c r="A6774" s="676">
        <f>MAX(A6753:A6773)+1</f>
        <v>4245</v>
      </c>
      <c r="B6774" s="676"/>
      <c r="C6774" s="473"/>
      <c r="D6774" s="474"/>
      <c r="E6774" s="475"/>
      <c r="F6774" s="676"/>
      <c r="G6774" s="476"/>
      <c r="H6774" s="676"/>
      <c r="I6774" s="477"/>
      <c r="J6774" s="858"/>
      <c r="K6774" s="676"/>
      <c r="L6774" s="676"/>
      <c r="M6774" s="676"/>
      <c r="N6774" s="676"/>
    </row>
    <row r="6775" spans="1:14" x14ac:dyDescent="0.25">
      <c r="A6775" s="676">
        <f>MAX(A6754:A6774)+1</f>
        <v>4246</v>
      </c>
      <c r="B6775" s="676"/>
      <c r="C6775" s="473"/>
      <c r="D6775" s="474"/>
      <c r="E6775" s="475"/>
      <c r="F6775" s="676"/>
      <c r="G6775" s="476"/>
      <c r="H6775" s="676"/>
      <c r="I6775" s="477"/>
      <c r="J6775" s="858"/>
      <c r="K6775" s="676"/>
      <c r="L6775" s="676"/>
      <c r="M6775" s="676"/>
      <c r="N6775" s="676"/>
    </row>
    <row r="6776" spans="1:14" x14ac:dyDescent="0.25">
      <c r="A6776" s="676">
        <f>MAX(A6755:A6775)+1</f>
        <v>4247</v>
      </c>
      <c r="B6776" s="676"/>
      <c r="C6776" s="473"/>
      <c r="D6776" s="474"/>
      <c r="E6776" s="475"/>
      <c r="F6776" s="676"/>
      <c r="G6776" s="476"/>
      <c r="H6776" s="676"/>
      <c r="I6776" s="477"/>
      <c r="J6776" s="858"/>
      <c r="K6776" s="676"/>
      <c r="L6776" s="676"/>
      <c r="M6776" s="676"/>
      <c r="N6776" s="676"/>
    </row>
    <row r="6777" spans="1:14" x14ac:dyDescent="0.25">
      <c r="A6777" s="676">
        <f t="shared" ref="A6777:A6780" si="203">MAX(A6756:A6776)+1</f>
        <v>4248</v>
      </c>
      <c r="B6777" s="676"/>
      <c r="C6777" s="473"/>
      <c r="D6777" s="474"/>
      <c r="E6777" s="475"/>
      <c r="F6777" s="676"/>
      <c r="G6777" s="476"/>
      <c r="H6777" s="676"/>
      <c r="I6777" s="477"/>
      <c r="J6777" s="858"/>
      <c r="K6777" s="676"/>
      <c r="L6777" s="676"/>
      <c r="M6777" s="676"/>
      <c r="N6777" s="676"/>
    </row>
    <row r="6778" spans="1:14" x14ac:dyDescent="0.25">
      <c r="A6778" s="676">
        <f t="shared" si="203"/>
        <v>4249</v>
      </c>
      <c r="B6778" s="676"/>
      <c r="C6778" s="473"/>
      <c r="D6778" s="474"/>
      <c r="E6778" s="475"/>
      <c r="F6778" s="676"/>
      <c r="G6778" s="476"/>
      <c r="H6778" s="676"/>
      <c r="I6778" s="477"/>
      <c r="J6778" s="858"/>
      <c r="K6778" s="676"/>
      <c r="L6778" s="676"/>
      <c r="M6778" s="676"/>
      <c r="N6778" s="676"/>
    </row>
    <row r="6779" spans="1:14" x14ac:dyDescent="0.25">
      <c r="A6779" s="676">
        <f t="shared" si="203"/>
        <v>4250</v>
      </c>
      <c r="B6779" s="676"/>
      <c r="C6779" s="473"/>
      <c r="D6779" s="474"/>
      <c r="E6779" s="475"/>
      <c r="F6779" s="676"/>
      <c r="G6779" s="476"/>
      <c r="H6779" s="676"/>
      <c r="I6779" s="477"/>
      <c r="J6779" s="858"/>
      <c r="K6779" s="676"/>
      <c r="L6779" s="676"/>
      <c r="M6779" s="676"/>
      <c r="N6779" s="676"/>
    </row>
    <row r="6780" spans="1:14" x14ac:dyDescent="0.25">
      <c r="A6780" s="676">
        <f t="shared" si="203"/>
        <v>4251</v>
      </c>
      <c r="B6780" s="676"/>
      <c r="C6780" s="473"/>
      <c r="D6780" s="474"/>
      <c r="E6780" s="475"/>
      <c r="F6780" s="676"/>
      <c r="G6780" s="476"/>
      <c r="H6780" s="676"/>
      <c r="I6780" s="477"/>
      <c r="J6780" s="858"/>
      <c r="K6780" s="676"/>
      <c r="L6780" s="676"/>
      <c r="M6780" s="676"/>
      <c r="N6780" s="676"/>
    </row>
  </sheetData>
  <autoFilter ref="A2:N6759" xr:uid="{00000000-0009-0000-0000-000000000000}">
    <filterColumn colId="10">
      <filters blank="1"/>
    </filterColumn>
  </autoFilter>
  <mergeCells count="1758">
    <mergeCell ref="G6721:G6722"/>
    <mergeCell ref="A6723:A6724"/>
    <mergeCell ref="G6723:G6724"/>
    <mergeCell ref="A6725:A6726"/>
    <mergeCell ref="A6750:A6752"/>
    <mergeCell ref="A6733:A6734"/>
    <mergeCell ref="A6680:A6681"/>
    <mergeCell ref="A6682:A6683"/>
    <mergeCell ref="A6709:A6712"/>
    <mergeCell ref="A6698:A6699"/>
    <mergeCell ref="A6718:A6720"/>
    <mergeCell ref="G6718:G6720"/>
    <mergeCell ref="A6727:A6728"/>
    <mergeCell ref="A6729:A6730"/>
    <mergeCell ref="A6731:A6732"/>
    <mergeCell ref="A6741:A6743"/>
    <mergeCell ref="A6744:A6746"/>
    <mergeCell ref="A6747:A6749"/>
    <mergeCell ref="A6766:A6767"/>
    <mergeCell ref="A6768:A6770"/>
    <mergeCell ref="A6771:A6772"/>
    <mergeCell ref="A6735:A6736"/>
    <mergeCell ref="A6738:A6739"/>
    <mergeCell ref="A6763:A6764"/>
    <mergeCell ref="A6756:A6759"/>
    <mergeCell ref="A6760:A6762"/>
    <mergeCell ref="A6675:A6676"/>
    <mergeCell ref="A6678:A6679"/>
    <mergeCell ref="A6684:A6687"/>
    <mergeCell ref="A6688:A6690"/>
    <mergeCell ref="A6691:A6692"/>
    <mergeCell ref="A6693:A6694"/>
    <mergeCell ref="A6713:A6714"/>
    <mergeCell ref="A6721:A6722"/>
    <mergeCell ref="A5082:A5083"/>
    <mergeCell ref="A5485:A5486"/>
    <mergeCell ref="A5476:A5478"/>
    <mergeCell ref="A5479:A5481"/>
    <mergeCell ref="A5482:A5484"/>
    <mergeCell ref="A5467:A5468"/>
    <mergeCell ref="A5470:A5471"/>
    <mergeCell ref="A5436:A5437"/>
    <mergeCell ref="A5577:A5578"/>
    <mergeCell ref="A6571:A6572"/>
    <mergeCell ref="A5573:A5574"/>
    <mergeCell ref="A5575:A5576"/>
    <mergeCell ref="A5551:A5552"/>
    <mergeCell ref="A5553:A5555"/>
    <mergeCell ref="A5408:A5409"/>
    <mergeCell ref="A5584:A5587"/>
    <mergeCell ref="G5321:G5325"/>
    <mergeCell ref="A5316:A5317"/>
    <mergeCell ref="A5247:A5249"/>
    <mergeCell ref="G5232:G5233"/>
    <mergeCell ref="A5199:A5200"/>
    <mergeCell ref="G5202:G5203"/>
    <mergeCell ref="A5183:A5184"/>
    <mergeCell ref="A5202:A5203"/>
    <mergeCell ref="A5070:A5071"/>
    <mergeCell ref="A5234:A5235"/>
    <mergeCell ref="A5279:A5281"/>
    <mergeCell ref="A4354:A4355"/>
    <mergeCell ref="A4367:A4369"/>
    <mergeCell ref="A4360:A4362"/>
    <mergeCell ref="A4563:A4565"/>
    <mergeCell ref="A4567:A4569"/>
    <mergeCell ref="A4570:A4571"/>
    <mergeCell ref="A4572:A4574"/>
    <mergeCell ref="A4550:A4551"/>
    <mergeCell ref="A4586:A4587"/>
    <mergeCell ref="A935:A936"/>
    <mergeCell ref="A974:A976"/>
    <mergeCell ref="A4416:A4419"/>
    <mergeCell ref="A1070:A1071"/>
    <mergeCell ref="A1072:A1074"/>
    <mergeCell ref="A1075:A1077"/>
    <mergeCell ref="A1078:A1079"/>
    <mergeCell ref="A1080:A1081"/>
    <mergeCell ref="A1125:A1126"/>
    <mergeCell ref="A1127:A1128"/>
    <mergeCell ref="A1136:A1137"/>
    <mergeCell ref="G4391:G4392"/>
    <mergeCell ref="G4331:G4332"/>
    <mergeCell ref="G5196:G5197"/>
    <mergeCell ref="G5188:G5189"/>
    <mergeCell ref="A5110:A5113"/>
    <mergeCell ref="G5110:G5113"/>
    <mergeCell ref="A5099:A5101"/>
    <mergeCell ref="A5116:A5117"/>
    <mergeCell ref="A5156:A5159"/>
    <mergeCell ref="A5161:A5162"/>
    <mergeCell ref="A5142:A5144"/>
    <mergeCell ref="G5091:G5092"/>
    <mergeCell ref="A963:A967"/>
    <mergeCell ref="A5196:A5197"/>
    <mergeCell ref="A5188:A5189"/>
    <mergeCell ref="A5176:A5178"/>
    <mergeCell ref="A5094:A5097"/>
    <mergeCell ref="A4939:A4941"/>
    <mergeCell ref="A1017:A1018"/>
    <mergeCell ref="A1019:A1020"/>
    <mergeCell ref="A1068:A1069"/>
    <mergeCell ref="A5172:A5175"/>
    <mergeCell ref="A1035:A1036"/>
    <mergeCell ref="A1041:A1042"/>
    <mergeCell ref="A1043:A1045"/>
    <mergeCell ref="A1046:A1047"/>
    <mergeCell ref="A5029:A5030"/>
    <mergeCell ref="A939:A941"/>
    <mergeCell ref="A943:A947"/>
    <mergeCell ref="A948:A949"/>
    <mergeCell ref="A951:A954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980:A982"/>
    <mergeCell ref="A983:A984"/>
    <mergeCell ref="A977:A979"/>
    <mergeCell ref="G167:G168"/>
    <mergeCell ref="A186:A187"/>
    <mergeCell ref="A188:A189"/>
    <mergeCell ref="A190:A192"/>
    <mergeCell ref="G929:G930"/>
    <mergeCell ref="G596:G597"/>
    <mergeCell ref="A865:A866"/>
    <mergeCell ref="A868:A870"/>
    <mergeCell ref="A872:A874"/>
    <mergeCell ref="A876:A877"/>
    <mergeCell ref="A891:A89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31:A933"/>
    <mergeCell ref="A959:A960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A894:A896"/>
    <mergeCell ref="A955:A956"/>
    <mergeCell ref="A957:A958"/>
    <mergeCell ref="A912:A914"/>
    <mergeCell ref="A915:A916"/>
    <mergeCell ref="A907:A908"/>
    <mergeCell ref="A909:A911"/>
    <mergeCell ref="A801:A802"/>
    <mergeCell ref="A769:A771"/>
    <mergeCell ref="A925:A928"/>
    <mergeCell ref="A809:A812"/>
    <mergeCell ref="A786:A788"/>
    <mergeCell ref="A929:A930"/>
    <mergeCell ref="A817:A819"/>
    <mergeCell ref="A842:A843"/>
    <mergeCell ref="A900:A904"/>
    <mergeCell ref="A921:A922"/>
    <mergeCell ref="A937:A938"/>
    <mergeCell ref="A919:A920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571:A573"/>
    <mergeCell ref="A596:A597"/>
    <mergeCell ref="A862:A864"/>
    <mergeCell ref="A496:A497"/>
    <mergeCell ref="G556:G557"/>
    <mergeCell ref="A559:A563"/>
    <mergeCell ref="A498:A499"/>
    <mergeCell ref="A502:A503"/>
    <mergeCell ref="A716:A718"/>
    <mergeCell ref="A719:A726"/>
    <mergeCell ref="A490:A492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B91:B92"/>
    <mergeCell ref="A94:A95"/>
    <mergeCell ref="B94:B95"/>
    <mergeCell ref="A139:A140"/>
    <mergeCell ref="J264:J265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1023:A1025"/>
    <mergeCell ref="A1028:A1029"/>
    <mergeCell ref="A1021:A1022"/>
    <mergeCell ref="G983:G984"/>
    <mergeCell ref="A985:A987"/>
    <mergeCell ref="A988:A989"/>
    <mergeCell ref="A990:A992"/>
    <mergeCell ref="A1026:A1027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27:A733"/>
    <mergeCell ref="A734:A740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G1030:G1031"/>
    <mergeCell ref="A1032:A1034"/>
    <mergeCell ref="A1052:A1059"/>
    <mergeCell ref="A1062:A1063"/>
    <mergeCell ref="A1065:A106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552:A4553"/>
    <mergeCell ref="A4536:A4538"/>
    <mergeCell ref="A4554:A4555"/>
    <mergeCell ref="A4391:A4392"/>
    <mergeCell ref="A4393:A4395"/>
    <mergeCell ref="A3960:A3961"/>
    <mergeCell ref="A3912:A3913"/>
    <mergeCell ref="A3945:A3946"/>
    <mergeCell ref="A3906:A3908"/>
    <mergeCell ref="A3909:A3911"/>
    <mergeCell ref="A4240:A4243"/>
    <mergeCell ref="A4204:A4205"/>
    <mergeCell ref="A4251:A4254"/>
    <mergeCell ref="A4278:A4279"/>
    <mergeCell ref="A4292:A4293"/>
    <mergeCell ref="A4548:A4549"/>
    <mergeCell ref="A4445:A4448"/>
    <mergeCell ref="A4473:A4475"/>
    <mergeCell ref="A4503:A4504"/>
    <mergeCell ref="A4505:A4506"/>
    <mergeCell ref="A4529:A4530"/>
    <mergeCell ref="A4532:A4533"/>
    <mergeCell ref="A4339:A4344"/>
    <mergeCell ref="A4527:A45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317:A4318"/>
    <mergeCell ref="A4329:A4330"/>
    <mergeCell ref="A4331:A4332"/>
    <mergeCell ref="A4345:A4346"/>
    <mergeCell ref="A4334:A4335"/>
    <mergeCell ref="A4311:A4314"/>
    <mergeCell ref="A4501:A4502"/>
    <mergeCell ref="A4402:A4405"/>
    <mergeCell ref="A4507:A4508"/>
    <mergeCell ref="A4512:A4514"/>
    <mergeCell ref="A4499:A4500"/>
    <mergeCell ref="A4298:A4299"/>
    <mergeCell ref="A4324:A4326"/>
    <mergeCell ref="A4315:A4316"/>
    <mergeCell ref="A4169:A4170"/>
    <mergeCell ref="A4245:A4246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414:A441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G4903:G4904"/>
    <mergeCell ref="A4971:A4973"/>
    <mergeCell ref="A4946:A4947"/>
    <mergeCell ref="G4893:G4894"/>
    <mergeCell ref="A4908:A4910"/>
    <mergeCell ref="A4977:A4978"/>
    <mergeCell ref="G4977:G4978"/>
    <mergeCell ref="G4996:G4997"/>
    <mergeCell ref="A4878:A4880"/>
    <mergeCell ref="A5128:A5129"/>
    <mergeCell ref="A5123:A5125"/>
    <mergeCell ref="A4917:A4918"/>
    <mergeCell ref="A4893:A4894"/>
    <mergeCell ref="A5063:A5064"/>
    <mergeCell ref="A5065:A5069"/>
    <mergeCell ref="G5065:G5066"/>
    <mergeCell ref="A4900:A4902"/>
    <mergeCell ref="A4792:A4793"/>
    <mergeCell ref="G4792:G4793"/>
    <mergeCell ref="A4794:A4795"/>
    <mergeCell ref="G5126:G5127"/>
    <mergeCell ref="A5035:A5036"/>
    <mergeCell ref="G5047:G5048"/>
    <mergeCell ref="A5121:A5122"/>
    <mergeCell ref="A4905:A4906"/>
    <mergeCell ref="A5054:A5055"/>
    <mergeCell ref="A5042:A5044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772:A4773"/>
    <mergeCell ref="A4816:A4817"/>
    <mergeCell ref="A4818:A4819"/>
    <mergeCell ref="A4820:A4822"/>
    <mergeCell ref="A4774:A4775"/>
    <mergeCell ref="G4950:G4951"/>
    <mergeCell ref="G5035:G5036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30:G4931"/>
    <mergeCell ref="A4942:A4943"/>
    <mergeCell ref="A4954:A4955"/>
    <mergeCell ref="A4956:A4957"/>
    <mergeCell ref="A5348:A5350"/>
    <mergeCell ref="A5026:A5028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A5286:A5289"/>
    <mergeCell ref="A5290:A5292"/>
    <mergeCell ref="A5321:A5325"/>
    <mergeCell ref="A5226:A5228"/>
    <mergeCell ref="A5192:A5195"/>
    <mergeCell ref="A5216:A5217"/>
    <mergeCell ref="A5219:A5221"/>
    <mergeCell ref="A5140:A5141"/>
    <mergeCell ref="A5212:A5213"/>
    <mergeCell ref="A5019:A5020"/>
    <mergeCell ref="A5262:A5263"/>
    <mergeCell ref="A5265:A5266"/>
    <mergeCell ref="A5267:A5269"/>
    <mergeCell ref="A5001:A5002"/>
    <mergeCell ref="A5014:A5015"/>
    <mergeCell ref="A5150:A5152"/>
    <mergeCell ref="A5146:A5147"/>
    <mergeCell ref="A5363:A5364"/>
    <mergeCell ref="A5270:A5271"/>
    <mergeCell ref="A5272:A5273"/>
    <mergeCell ref="A5275:A5276"/>
    <mergeCell ref="G5275:G5276"/>
    <mergeCell ref="A5326:A5327"/>
    <mergeCell ref="A5331:A5334"/>
    <mergeCell ref="A5037:A5038"/>
    <mergeCell ref="A5039:A5041"/>
    <mergeCell ref="A5114:A5115"/>
    <mergeCell ref="G5116:G5117"/>
    <mergeCell ref="A5153:A5154"/>
    <mergeCell ref="A5370:A5373"/>
    <mergeCell ref="G5370:G5373"/>
    <mergeCell ref="A5250:A5251"/>
    <mergeCell ref="A5240:A5242"/>
    <mergeCell ref="A5205:A5207"/>
    <mergeCell ref="A5102:A5104"/>
    <mergeCell ref="A5091:A5092"/>
    <mergeCell ref="G5140:G51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G5363:G5364"/>
    <mergeCell ref="A5416:A5417"/>
    <mergeCell ref="A5282:A528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A5564:A5565"/>
    <mergeCell ref="A5570:A5572"/>
    <mergeCell ref="A5515:A5516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G5549:G5550"/>
    <mergeCell ref="A5549:A5550"/>
    <mergeCell ref="A5534:A5538"/>
    <mergeCell ref="A5539:A5541"/>
    <mergeCell ref="A5561:A5562"/>
    <mergeCell ref="G5408:G5409"/>
    <mergeCell ref="A5412:A5413"/>
    <mergeCell ref="A5378:A5379"/>
    <mergeCell ref="A5380:A5381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G5531:G5532"/>
    <mergeCell ref="G5534:G5538"/>
    <mergeCell ref="A5542:A5546"/>
    <mergeCell ref="A5518:A5522"/>
    <mergeCell ref="A5523:A5525"/>
    <mergeCell ref="A5531:A5532"/>
    <mergeCell ref="G5436:G5437"/>
    <mergeCell ref="A5439:A5440"/>
    <mergeCell ref="A5441:A5442"/>
    <mergeCell ref="A5443:A5444"/>
    <mergeCell ref="A5445:A5446"/>
    <mergeCell ref="A5511:A5512"/>
    <mergeCell ref="A5513:A5514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6578:A6580"/>
    <mergeCell ref="A6581:A6583"/>
    <mergeCell ref="A6585:A6586"/>
    <mergeCell ref="A6589:A6590"/>
    <mergeCell ref="A6663:A6664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6673:A6674"/>
    <mergeCell ref="A6695:A6697"/>
    <mergeCell ref="A6700:A6702"/>
    <mergeCell ref="A6703:A6706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2026-07-24T12:07:42Z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