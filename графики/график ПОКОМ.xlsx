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299DCA4-E6AE-4E90-8C4A-A84BDE58360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Лист1!$A$2:$N$6802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s="1"/>
  <c r="A6763" i="1" l="1"/>
  <c r="A6766" i="1"/>
  <c r="A6768" i="1" l="1"/>
  <c r="A6769" i="1" s="1"/>
  <c r="A6771" i="1" l="1"/>
  <c r="A6774" i="1" l="1"/>
  <c r="A6777" i="1" l="1"/>
  <c r="A6778" i="1" s="1"/>
  <c r="A6779" i="1" s="1"/>
  <c r="A6780" i="1" s="1"/>
  <c r="A6782" i="1" l="1"/>
  <c r="A6783" i="1" l="1"/>
  <c r="A6784" i="1" s="1"/>
  <c r="A6786" i="1"/>
  <c r="A6787" i="1" s="1"/>
  <c r="A6788" i="1" s="1"/>
  <c r="A6789" i="1" l="1"/>
  <c r="A6790" i="1"/>
  <c r="A6791" i="1" l="1"/>
  <c r="A6792" i="1" s="1"/>
  <c r="A6793" i="1" s="1"/>
  <c r="A6794" i="1" l="1"/>
  <c r="A6795" i="1" s="1"/>
  <c r="A6796" i="1" l="1"/>
  <c r="A6797" i="1" s="1"/>
  <c r="A6798" i="1" s="1"/>
  <c r="A6799" i="1" s="1"/>
  <c r="A6800" i="1" s="1"/>
  <c r="A6801" i="1" s="1"/>
  <c r="A6802" i="1" s="1"/>
</calcChain>
</file>

<file path=xl/sharedStrings.xml><?xml version="1.0" encoding="utf-8"?>
<sst xmlns="http://schemas.openxmlformats.org/spreadsheetml/2006/main" count="42827" uniqueCount="1726">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</sst>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0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0" fontId="44" fillId="16" borderId="83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02"/>
  <sheetViews>
    <sheetView tabSelected="1" zoomScale="85" zoomScaleNormal="85" workbookViewId="0">
      <pane ySplit="2" topLeftCell="A6755" activePane="bottomLeft" state="frozen"/>
      <selection pane="bottomLeft" activeCell="O6777" sqref="O677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14.140625" style="850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07" t="s">
        <v>0</v>
      </c>
      <c r="B1" s="907"/>
      <c r="C1" s="907"/>
      <c r="D1" s="907"/>
      <c r="E1" s="907"/>
      <c r="F1" s="907"/>
      <c r="G1" s="907"/>
      <c r="H1" s="907"/>
      <c r="I1" s="907"/>
      <c r="J1" s="907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08">
        <v>1</v>
      </c>
      <c r="B3" s="90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08"/>
      <c r="B4" s="90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05">
        <v>3</v>
      </c>
      <c r="B6" s="90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05"/>
      <c r="B7" s="90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05"/>
      <c r="B8" s="90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05">
        <v>5</v>
      </c>
      <c r="B10" s="90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05"/>
      <c r="B11" s="90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06">
        <v>8</v>
      </c>
      <c r="B14" s="90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06"/>
      <c r="B15" s="90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05">
        <v>11</v>
      </c>
      <c r="B18" s="90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05"/>
      <c r="B19" s="90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05"/>
      <c r="B20" s="90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05"/>
      <c r="B21" s="90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05">
        <v>13</v>
      </c>
      <c r="B23" s="90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05"/>
      <c r="B24" s="90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06">
        <v>14</v>
      </c>
      <c r="B25" s="90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06"/>
      <c r="B26" s="90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05">
        <v>15</v>
      </c>
      <c r="B27" s="90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05"/>
      <c r="B28" s="90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05"/>
      <c r="B29" s="90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05"/>
      <c r="B30" s="90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06">
        <v>16</v>
      </c>
      <c r="B31" s="90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06"/>
      <c r="B32" s="90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06"/>
      <c r="B33" s="90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06"/>
      <c r="B34" s="90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05">
        <v>17</v>
      </c>
      <c r="B35" s="90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05"/>
      <c r="B36" s="90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05">
        <v>21</v>
      </c>
      <c r="B40" s="90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05"/>
      <c r="B41" s="90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05">
        <v>23</v>
      </c>
      <c r="B43" s="90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05"/>
      <c r="B44" s="90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05"/>
      <c r="B45" s="90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06">
        <v>24</v>
      </c>
      <c r="B46" s="90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06"/>
      <c r="B47" s="90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05">
        <v>25</v>
      </c>
      <c r="B48" s="90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05"/>
      <c r="B49" s="90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05"/>
      <c r="B50" s="90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06">
        <v>26</v>
      </c>
      <c r="B51" s="90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06"/>
      <c r="B52" s="90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05">
        <v>29</v>
      </c>
      <c r="B55" s="90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05"/>
      <c r="B56" s="90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06">
        <v>32</v>
      </c>
      <c r="B59" s="90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06"/>
      <c r="B60" s="90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06">
        <v>34</v>
      </c>
      <c r="B62" s="90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06"/>
      <c r="B63" s="90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06"/>
      <c r="B64" s="90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06"/>
      <c r="B65" s="90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06"/>
      <c r="B66" s="90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05">
        <v>35</v>
      </c>
      <c r="B67" s="90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05"/>
      <c r="B68" s="90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95">
        <v>40</v>
      </c>
      <c r="B73" s="90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95"/>
      <c r="B74" s="90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96">
        <v>41</v>
      </c>
      <c r="B75" s="90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96"/>
      <c r="B76" s="90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96"/>
      <c r="B77" s="90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95">
        <v>42</v>
      </c>
      <c r="B78" s="90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95"/>
      <c r="B79" s="90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96">
        <v>49</v>
      </c>
      <c r="B86" s="90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96"/>
      <c r="B87" s="90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96"/>
      <c r="B88" s="90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95">
        <v>50</v>
      </c>
      <c r="B89" s="90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95"/>
      <c r="B90" s="90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96">
        <v>51</v>
      </c>
      <c r="B91" s="90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96"/>
      <c r="B92" s="90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96">
        <v>53</v>
      </c>
      <c r="B94" s="90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96"/>
      <c r="B95" s="90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95">
        <v>54</v>
      </c>
      <c r="B96" s="90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95"/>
      <c r="B97" s="90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95"/>
      <c r="B98" s="90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95">
        <v>58</v>
      </c>
      <c r="B102" s="90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95"/>
      <c r="B103" s="90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95">
        <v>60</v>
      </c>
      <c r="B105" s="90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95"/>
      <c r="B106" s="90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95"/>
      <c r="B107" s="90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96">
        <v>61</v>
      </c>
      <c r="B108" s="90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96"/>
      <c r="B109" s="90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96"/>
      <c r="B110" s="90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95">
        <v>64</v>
      </c>
      <c r="B113" s="90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95"/>
      <c r="B114" s="90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95">
        <v>66</v>
      </c>
      <c r="B116" s="90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95"/>
      <c r="B117" s="90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96">
        <v>67</v>
      </c>
      <c r="B118" s="90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96"/>
      <c r="B119" s="90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96"/>
      <c r="B120" s="90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95">
        <v>68</v>
      </c>
      <c r="B121" s="90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95"/>
      <c r="B122" s="90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96">
        <v>69</v>
      </c>
      <c r="B123" s="90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96"/>
      <c r="B124" s="90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95">
        <v>72</v>
      </c>
      <c r="B127" s="906" t="s">
        <v>65</v>
      </c>
      <c r="C127" s="119" t="s">
        <v>26</v>
      </c>
      <c r="D127" s="120">
        <v>3.3</v>
      </c>
      <c r="E127" s="121"/>
      <c r="F127" s="122" t="s">
        <v>30</v>
      </c>
      <c r="G127" s="91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95"/>
      <c r="B128" s="906"/>
      <c r="C128" s="103" t="s">
        <v>26</v>
      </c>
      <c r="D128" s="88">
        <v>12.9</v>
      </c>
      <c r="E128" s="106"/>
      <c r="F128" s="107" t="s">
        <v>16</v>
      </c>
      <c r="G128" s="91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95">
        <v>76</v>
      </c>
      <c r="B132" s="90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95"/>
      <c r="B133" s="90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95"/>
      <c r="B134" s="90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95"/>
      <c r="B135" s="90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95">
        <v>78</v>
      </c>
      <c r="B137" s="9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95"/>
      <c r="B138" s="9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1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1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1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1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1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1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1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11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1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1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1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1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9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9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9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9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15" t="s">
        <v>133</v>
      </c>
      <c r="J420" s="915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9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9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89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89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89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9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9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1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16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16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16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16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9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9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9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9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9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9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1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17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9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9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0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0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0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0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0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0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0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1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18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9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9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0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0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9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9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9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9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0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0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9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9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89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89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9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9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9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9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9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9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8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9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9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9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9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9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9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9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9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1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1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9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9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9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9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9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9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9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9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9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9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9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9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9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9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9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9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9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9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9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9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9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9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9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9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9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9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9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9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9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9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9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9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9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9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9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9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9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9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9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9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9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9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9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9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89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89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89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9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9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9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9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9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9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9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9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9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9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9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9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1" t="s">
        <v>467</v>
      </c>
      <c r="H2160" s="414" t="s">
        <v>515</v>
      </c>
      <c r="I2160" s="415" t="s">
        <v>516</v>
      </c>
      <c r="J2160" s="92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1"/>
      <c r="H2161" s="421" t="s">
        <v>515</v>
      </c>
      <c r="I2161" s="422" t="s">
        <v>516</v>
      </c>
      <c r="J2161" s="92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1"/>
      <c r="H2162" s="429" t="s">
        <v>515</v>
      </c>
      <c r="I2162" s="430" t="s">
        <v>516</v>
      </c>
      <c r="J2162" s="92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1" t="s">
        <v>467</v>
      </c>
      <c r="H2165" s="414" t="s">
        <v>516</v>
      </c>
      <c r="I2165" s="415" t="s">
        <v>516</v>
      </c>
      <c r="J2165" s="92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1"/>
      <c r="H2166" s="429" t="s">
        <v>516</v>
      </c>
      <c r="I2166" s="430" t="s">
        <v>516</v>
      </c>
      <c r="J2166" s="92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9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9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9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9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9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9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9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1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1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9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9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9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9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9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89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89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9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0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9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9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9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89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89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9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89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89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9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89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89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89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9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9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9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9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89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89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89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89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9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89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89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9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9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9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9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9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9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89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89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89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89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9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9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9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9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9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89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89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89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89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89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89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89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89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89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9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9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9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89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89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89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89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9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89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89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89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89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89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89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89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2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2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9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9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9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89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89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9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0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9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9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89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89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89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89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89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9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9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9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9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89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89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89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89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0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9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89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9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89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9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89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89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89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9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9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9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9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9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9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9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9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89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89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89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89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89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9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9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9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9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9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89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89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9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9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9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9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89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89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89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89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89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89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89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89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89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89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89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89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9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89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89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89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89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89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89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89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89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89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89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89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9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89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89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89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89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89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89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89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89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89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89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89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89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9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89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9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9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9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89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89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89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89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89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89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9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9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89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89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89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89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89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0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9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9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89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89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0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9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9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9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9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8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75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7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8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75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7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7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7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7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2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8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3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8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75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3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8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7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2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8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3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7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2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8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7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9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2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3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8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3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7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9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2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3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8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3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8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7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2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7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8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7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2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8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75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3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8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75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3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8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3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7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2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8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8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3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7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2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8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3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7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2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7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8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3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7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9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2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3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8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3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7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2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8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3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8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75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3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7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2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8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3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7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9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2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3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8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7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2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7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2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7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9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2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3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8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3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7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2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8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3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7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7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2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8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3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8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7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7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8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3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8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75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7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3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3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7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2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75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3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7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2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8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3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8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3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7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2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7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8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3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8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3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7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2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8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3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7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2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8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75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3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7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8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3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7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2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8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3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7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2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8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3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8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8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3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8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3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7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2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8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3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8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3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7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2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7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8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3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8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75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3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7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2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8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3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7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2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8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75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7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3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7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9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2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3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8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3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7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2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8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7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2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8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3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7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2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8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3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7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2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8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75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3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8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3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7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2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7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2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8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7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7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8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3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8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7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9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2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3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8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3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7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8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3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8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3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7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2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8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3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8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3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8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8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3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7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2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8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3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7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2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8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3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8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3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7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8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8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7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8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8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75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9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8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7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9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8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9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8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7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8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8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8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7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8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8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7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9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7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8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9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7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8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7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8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8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7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8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7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8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8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7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8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8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8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7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8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7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8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7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8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8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7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8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8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8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8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7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8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7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8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8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8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7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8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7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8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7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8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8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7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8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8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8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75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9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7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8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7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8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8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8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7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9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7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7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8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9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8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8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7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8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8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7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7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9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8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9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8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7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8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7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8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8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7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8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7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8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8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75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7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7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9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7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8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8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8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7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8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8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7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9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8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9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7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7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8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8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7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8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8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8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7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8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8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7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8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7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8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8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7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8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7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9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7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8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8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7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8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8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7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8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8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7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8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7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8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7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8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8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8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7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8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7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8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8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7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8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7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8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7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8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8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8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7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9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7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8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7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8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8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7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8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8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8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7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8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8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7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8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8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7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8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8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8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7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8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8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8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8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7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8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8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7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8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8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7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8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7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8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8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7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8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8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75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7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9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7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8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7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8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7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8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8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8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7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8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8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8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75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9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7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8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7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7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8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8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7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8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8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8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7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8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8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7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8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8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7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8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8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7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8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7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8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7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8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8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7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8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8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8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75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9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8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7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8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8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7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7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8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8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7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8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8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7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9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7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7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8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9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7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8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7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9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8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9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8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8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7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8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8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75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9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8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7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7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8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8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75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7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7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8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7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8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8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7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8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8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75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9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8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7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8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7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9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8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9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8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8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8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7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8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7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8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8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7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9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7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8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9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8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8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75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9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7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8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8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7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9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8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9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8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7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8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8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7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8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75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9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7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8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8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75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9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7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8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8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7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8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8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7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8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8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7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8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8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75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9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7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7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8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8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75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7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7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8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7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8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8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8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8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7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8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8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75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9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8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7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9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8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9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8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7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8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8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7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8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8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7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9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7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8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8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7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9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8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9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8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7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8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8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7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8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7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9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8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9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8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7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8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8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7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8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7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9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8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9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7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9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8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9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8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8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7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8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8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7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8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7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9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8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9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7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8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7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9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8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9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8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7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8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8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75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7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7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7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9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8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9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8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7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8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8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75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7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8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8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7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8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8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8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7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9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7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8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9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8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7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9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8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9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7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8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7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8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8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8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75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7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7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7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7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8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8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75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9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8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7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8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8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75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9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7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8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7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8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8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75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9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7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8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7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8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7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8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7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8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7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8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7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8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7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8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8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7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8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8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8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75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7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7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8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8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75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9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8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8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75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9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8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7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8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8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7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9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8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9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7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8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8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7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8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8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8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75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9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7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8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7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8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8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7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8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8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7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8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8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8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7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8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8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7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8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7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9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7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8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7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8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8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8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7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8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7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8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7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8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8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8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7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8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8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8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8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8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75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7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7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7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7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7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8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7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8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7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8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8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8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7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8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8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8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8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8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7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8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7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9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8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9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7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9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7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7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7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8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8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7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8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8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8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8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8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7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8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7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8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7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8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7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7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7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8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75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8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9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7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8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75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7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7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8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8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8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7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8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8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8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7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8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8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75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8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9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8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8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7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8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8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8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7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8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8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8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7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8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7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8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7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8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8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8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8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7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8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7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8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8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8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7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8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8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7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9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8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9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8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8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8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8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7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8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8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8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8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75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8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9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8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8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7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8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8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8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7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9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8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9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7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8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8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8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8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7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9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8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9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7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9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7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7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7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8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9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8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8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7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8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8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75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8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9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7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8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8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8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8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8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8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8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7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8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8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8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7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8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8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8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8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7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8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8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8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7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8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8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8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7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9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8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9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7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8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8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8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8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8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8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8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8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7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8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8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8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7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9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8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9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8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8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4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4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4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7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8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4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4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4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4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4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4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4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7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8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4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4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8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4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4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4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8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4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7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8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7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7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8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7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8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8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8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8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8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8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8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7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8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7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8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7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8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8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8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7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8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8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7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8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7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8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7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8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8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8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7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9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8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9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7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8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4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8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8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74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7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7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8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8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8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7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78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7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74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7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91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91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78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8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74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7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7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74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7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91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78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7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74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7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91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78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8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758" t="s">
        <v>1666</v>
      </c>
    </row>
    <row r="6704" spans="1:16" x14ac:dyDescent="0.25">
      <c r="A6704" s="89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758" t="s">
        <v>1667</v>
      </c>
    </row>
    <row r="6705" spans="1:16" x14ac:dyDescent="0.25">
      <c r="A6705" s="89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758" t="s">
        <v>1668</v>
      </c>
    </row>
    <row r="6706" spans="1:16" ht="19.5" thickBot="1" x14ac:dyDescent="0.3">
      <c r="A6706" s="890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758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7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758" t="s">
        <v>1673</v>
      </c>
      <c r="P6709" s="850" t="s">
        <v>1675</v>
      </c>
    </row>
    <row r="6710" spans="1:16" x14ac:dyDescent="0.25">
      <c r="A6710" s="88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758" t="s">
        <v>1671</v>
      </c>
    </row>
    <row r="6711" spans="1:16" x14ac:dyDescent="0.25">
      <c r="A6711" s="88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758" t="s">
        <v>1672</v>
      </c>
    </row>
    <row r="6712" spans="1:16" ht="19.5" thickBot="1" x14ac:dyDescent="0.3">
      <c r="A6712" s="881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758" t="s">
        <v>1674</v>
      </c>
    </row>
    <row r="6713" spans="1:16" x14ac:dyDescent="0.25">
      <c r="A6713" s="87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758" t="s">
        <v>1698</v>
      </c>
    </row>
    <row r="6714" spans="1:16" ht="19.5" thickBot="1" x14ac:dyDescent="0.3">
      <c r="A6714" s="874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758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850" t="s">
        <v>1665</v>
      </c>
    </row>
    <row r="6718" spans="1:16" x14ac:dyDescent="0.25">
      <c r="A6718" s="87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885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758" t="s">
        <v>1690</v>
      </c>
    </row>
    <row r="6719" spans="1:16" x14ac:dyDescent="0.25">
      <c r="A6719" s="88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886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758" t="s">
        <v>1689</v>
      </c>
    </row>
    <row r="6720" spans="1:16" ht="19.5" thickBot="1" x14ac:dyDescent="0.3">
      <c r="A6720" s="874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887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758" t="s">
        <v>1691</v>
      </c>
    </row>
    <row r="6721" spans="1:17" x14ac:dyDescent="0.25">
      <c r="A6721" s="87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72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758" t="s">
        <v>1682</v>
      </c>
    </row>
    <row r="6722" spans="1:17" ht="19.5" thickBot="1" x14ac:dyDescent="0.3">
      <c r="A6722" s="881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72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758" t="s">
        <v>1683</v>
      </c>
    </row>
    <row r="6723" spans="1:17" x14ac:dyDescent="0.25">
      <c r="A6723" s="87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75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758" t="s">
        <v>1669</v>
      </c>
    </row>
    <row r="6724" spans="1:17" ht="19.5" thickBot="1" x14ac:dyDescent="0.3">
      <c r="A6724" s="874"/>
      <c r="B6724" s="843" t="s">
        <v>1631</v>
      </c>
      <c r="C6724" s="844" t="s">
        <v>23</v>
      </c>
      <c r="D6724" s="845">
        <v>1.7</v>
      </c>
      <c r="E6724" s="845">
        <v>1.722</v>
      </c>
      <c r="F6724" s="846" t="s">
        <v>16</v>
      </c>
      <c r="G6724" s="876"/>
      <c r="H6724" s="846" t="s">
        <v>1631</v>
      </c>
      <c r="I6724" s="846" t="s">
        <v>1635</v>
      </c>
      <c r="J6724" s="847"/>
      <c r="K6724" s="848"/>
      <c r="L6724" s="846" t="s">
        <v>28</v>
      </c>
      <c r="M6724" s="846">
        <v>1728</v>
      </c>
      <c r="N6724" s="849">
        <v>0.54166666666666663</v>
      </c>
      <c r="O6724" s="758" t="s">
        <v>1670</v>
      </c>
      <c r="Q6724" s="837"/>
    </row>
    <row r="6725" spans="1:17" x14ac:dyDescent="0.25">
      <c r="A6725" s="87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758" t="s">
        <v>1685</v>
      </c>
      <c r="P6725" s="836"/>
    </row>
    <row r="6726" spans="1:17" ht="19.5" thickBot="1" x14ac:dyDescent="0.3">
      <c r="A6726" s="87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758" t="s">
        <v>1686</v>
      </c>
      <c r="P6726" s="836"/>
    </row>
    <row r="6727" spans="1:17" x14ac:dyDescent="0.25">
      <c r="A6727" s="88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758" t="s">
        <v>1687</v>
      </c>
    </row>
    <row r="6728" spans="1:17" ht="19.5" thickBot="1" x14ac:dyDescent="0.3">
      <c r="A6728" s="88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758" t="s">
        <v>1688</v>
      </c>
    </row>
    <row r="6729" spans="1:17" x14ac:dyDescent="0.25">
      <c r="A6729" s="87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758" t="s">
        <v>1696</v>
      </c>
    </row>
    <row r="6730" spans="1:17" ht="19.5" thickBot="1" x14ac:dyDescent="0.3">
      <c r="A6730" s="88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758" t="s">
        <v>1697</v>
      </c>
      <c r="P6730" s="836"/>
    </row>
    <row r="6731" spans="1:17" x14ac:dyDescent="0.25">
      <c r="A6731" s="88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758" t="s">
        <v>1694</v>
      </c>
    </row>
    <row r="6732" spans="1:17" ht="19.5" thickBot="1" x14ac:dyDescent="0.3">
      <c r="A6732" s="89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758" t="s">
        <v>1695</v>
      </c>
      <c r="P6732" s="836"/>
    </row>
    <row r="6733" spans="1:17" x14ac:dyDescent="0.25">
      <c r="A6733" s="88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758" t="s">
        <v>1692</v>
      </c>
      <c r="P6733" s="836"/>
    </row>
    <row r="6734" spans="1:17" ht="19.5" thickBot="1" x14ac:dyDescent="0.3">
      <c r="A6734" s="883"/>
      <c r="B6734" s="851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1"/>
      <c r="L6734" s="802" t="s">
        <v>265</v>
      </c>
      <c r="M6734" s="802">
        <v>810</v>
      </c>
      <c r="N6734" s="805">
        <v>0.66666666666666663</v>
      </c>
      <c r="O6734" s="758" t="s">
        <v>1693</v>
      </c>
      <c r="P6734" s="836"/>
    </row>
    <row r="6735" spans="1:17" x14ac:dyDescent="0.25">
      <c r="A6735" s="87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758" t="s">
        <v>1709</v>
      </c>
      <c r="P6735" s="836"/>
    </row>
    <row r="6736" spans="1:17" ht="19.5" thickBot="1" x14ac:dyDescent="0.3">
      <c r="A6736" s="874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758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758" t="s">
        <v>1706</v>
      </c>
      <c r="P6737" s="836"/>
    </row>
    <row r="6738" spans="1:16" x14ac:dyDescent="0.25">
      <c r="A6738" s="87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758" t="s">
        <v>1707</v>
      </c>
      <c r="P6738" s="836"/>
    </row>
    <row r="6739" spans="1:16" ht="19.5" thickBot="1" x14ac:dyDescent="0.3">
      <c r="A6739" s="874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758" t="s">
        <v>1708</v>
      </c>
      <c r="P6739" s="836"/>
    </row>
    <row r="6740" spans="1:16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758" t="s">
        <v>1716</v>
      </c>
    </row>
    <row r="6741" spans="1:16" x14ac:dyDescent="0.25">
      <c r="A6741" s="87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/>
      <c r="F6741" s="483" t="s">
        <v>16</v>
      </c>
      <c r="G6741" s="549"/>
      <c r="H6741" s="483" t="s">
        <v>1701</v>
      </c>
      <c r="I6741" s="484"/>
      <c r="J6741" s="485"/>
      <c r="K6741" s="479"/>
      <c r="L6741" s="483" t="s">
        <v>265</v>
      </c>
      <c r="M6741" s="483">
        <v>17734.39</v>
      </c>
      <c r="N6741" s="486">
        <v>0.375</v>
      </c>
    </row>
    <row r="6742" spans="1:16" x14ac:dyDescent="0.25">
      <c r="A6742" s="884"/>
      <c r="B6742" s="843" t="s">
        <v>1701</v>
      </c>
      <c r="C6742" s="844" t="s">
        <v>26</v>
      </c>
      <c r="D6742" s="845">
        <v>0.2</v>
      </c>
      <c r="E6742" s="845"/>
      <c r="F6742" s="846" t="s">
        <v>16</v>
      </c>
      <c r="G6742" s="856" t="s">
        <v>76</v>
      </c>
      <c r="H6742" s="846" t="s">
        <v>1701</v>
      </c>
      <c r="I6742" s="846"/>
      <c r="J6742" s="847"/>
      <c r="K6742" s="848"/>
      <c r="L6742" s="846" t="s">
        <v>265</v>
      </c>
      <c r="M6742" s="846">
        <v>210</v>
      </c>
      <c r="N6742" s="502">
        <v>0.375</v>
      </c>
    </row>
    <row r="6743" spans="1:16" ht="19.5" thickBot="1" x14ac:dyDescent="0.3">
      <c r="A6743" s="874"/>
      <c r="B6743" s="843" t="s">
        <v>1700</v>
      </c>
      <c r="C6743" s="844" t="s">
        <v>26</v>
      </c>
      <c r="D6743" s="845">
        <v>1.2</v>
      </c>
      <c r="E6743" s="845"/>
      <c r="F6743" s="846" t="s">
        <v>16</v>
      </c>
      <c r="G6743" s="856" t="s">
        <v>76</v>
      </c>
      <c r="H6743" s="846" t="s">
        <v>1701</v>
      </c>
      <c r="I6743" s="846"/>
      <c r="J6743" s="847"/>
      <c r="K6743" s="848"/>
      <c r="L6743" s="846" t="s">
        <v>265</v>
      </c>
      <c r="M6743" s="846">
        <v>1200</v>
      </c>
      <c r="N6743" s="849">
        <v>0.375</v>
      </c>
    </row>
    <row r="6744" spans="1:16" x14ac:dyDescent="0.25">
      <c r="A6744" s="87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758" t="s">
        <v>1712</v>
      </c>
      <c r="P6744" s="850" t="s">
        <v>1715</v>
      </c>
    </row>
    <row r="6745" spans="1:16" x14ac:dyDescent="0.25">
      <c r="A6745" s="880"/>
      <c r="B6745" s="857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5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758" t="s">
        <v>1714</v>
      </c>
    </row>
    <row r="6746" spans="1:16" ht="19.5" thickBot="1" x14ac:dyDescent="0.3">
      <c r="A6746" s="881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1"/>
      <c r="L6746" s="802" t="s">
        <v>265</v>
      </c>
      <c r="M6746" s="802">
        <v>1500</v>
      </c>
      <c r="N6746" s="805">
        <v>0.41666666666666669</v>
      </c>
      <c r="O6746" s="758" t="s">
        <v>1713</v>
      </c>
      <c r="P6746" s="850" t="s">
        <v>1720</v>
      </c>
    </row>
    <row r="6747" spans="1:16" x14ac:dyDescent="0.25">
      <c r="A6747" s="88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758" t="s">
        <v>1717</v>
      </c>
    </row>
    <row r="6748" spans="1:16" x14ac:dyDescent="0.25">
      <c r="A6748" s="890"/>
      <c r="B6748" s="843" t="s">
        <v>1701</v>
      </c>
      <c r="C6748" s="844" t="s">
        <v>26</v>
      </c>
      <c r="D6748" s="845">
        <v>0.76</v>
      </c>
      <c r="E6748" s="845">
        <v>0.76700000000000002</v>
      </c>
      <c r="F6748" s="846" t="s">
        <v>16</v>
      </c>
      <c r="G6748" s="856" t="s">
        <v>76</v>
      </c>
      <c r="H6748" s="846" t="s">
        <v>1701</v>
      </c>
      <c r="I6748" s="846" t="s">
        <v>1701</v>
      </c>
      <c r="J6748" s="847"/>
      <c r="K6748" s="848"/>
      <c r="L6748" s="846" t="s">
        <v>265</v>
      </c>
      <c r="M6748" s="846">
        <v>765</v>
      </c>
      <c r="N6748" s="502">
        <v>0.45833333333333331</v>
      </c>
      <c r="O6748" s="758" t="s">
        <v>1719</v>
      </c>
    </row>
    <row r="6749" spans="1:16" ht="19.5" thickBot="1" x14ac:dyDescent="0.3">
      <c r="A6749" s="889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758" t="s">
        <v>1718</v>
      </c>
    </row>
    <row r="6750" spans="1:16" x14ac:dyDescent="0.25">
      <c r="A6750" s="87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/>
      <c r="F6750" s="567" t="s">
        <v>16</v>
      </c>
      <c r="G6750" s="568"/>
      <c r="H6750" s="567" t="s">
        <v>1701</v>
      </c>
      <c r="I6750" s="569"/>
      <c r="J6750" s="570"/>
      <c r="K6750" s="563"/>
      <c r="L6750" s="567" t="s">
        <v>266</v>
      </c>
      <c r="M6750" s="567">
        <v>10316.100000000002</v>
      </c>
      <c r="N6750" s="571">
        <v>0.5</v>
      </c>
    </row>
    <row r="6751" spans="1:16" x14ac:dyDescent="0.25">
      <c r="A6751" s="880"/>
      <c r="B6751" s="563" t="s">
        <v>1700</v>
      </c>
      <c r="C6751" s="564" t="s">
        <v>32</v>
      </c>
      <c r="D6751" s="565">
        <v>4.7690000000000001</v>
      </c>
      <c r="E6751" s="566"/>
      <c r="F6751" s="567" t="s">
        <v>16</v>
      </c>
      <c r="G6751" s="568" t="s">
        <v>1702</v>
      </c>
      <c r="H6751" s="567" t="s">
        <v>1701</v>
      </c>
      <c r="I6751" s="569"/>
      <c r="J6751" s="570"/>
      <c r="K6751" s="563"/>
      <c r="L6751" s="567" t="s">
        <v>266</v>
      </c>
      <c r="M6751" s="567">
        <v>4769.0999999999995</v>
      </c>
      <c r="N6751" s="571">
        <v>0.5</v>
      </c>
    </row>
    <row r="6752" spans="1:16" ht="19.5" thickBot="1" x14ac:dyDescent="0.3">
      <c r="A6752" s="881"/>
      <c r="B6752" s="636" t="s">
        <v>1700</v>
      </c>
      <c r="C6752" s="637" t="s">
        <v>32</v>
      </c>
      <c r="D6752" s="638">
        <v>2.5</v>
      </c>
      <c r="E6752" s="639"/>
      <c r="F6752" s="640" t="s">
        <v>16</v>
      </c>
      <c r="G6752" s="641"/>
      <c r="H6752" s="640" t="s">
        <v>1701</v>
      </c>
      <c r="I6752" s="642"/>
      <c r="J6752" s="643"/>
      <c r="K6752" s="636"/>
      <c r="L6752" s="640" t="s">
        <v>266</v>
      </c>
      <c r="M6752" s="640">
        <v>2503.7999999999997</v>
      </c>
      <c r="N6752" s="644">
        <v>0.5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758" t="s">
        <v>1711</v>
      </c>
    </row>
    <row r="6754" spans="1:15" x14ac:dyDescent="0.25">
      <c r="A6754" s="87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/>
      <c r="F6754" s="535" t="s">
        <v>16</v>
      </c>
      <c r="G6754" s="536"/>
      <c r="H6754" s="535" t="s">
        <v>1703</v>
      </c>
      <c r="I6754" s="537"/>
      <c r="J6754" s="538"/>
      <c r="K6754" s="531"/>
      <c r="L6754" s="535" t="s">
        <v>265</v>
      </c>
      <c r="M6754" s="535">
        <v>17758.39</v>
      </c>
      <c r="N6754" s="539">
        <v>0.375</v>
      </c>
    </row>
    <row r="6755" spans="1:15" ht="19.5" thickBot="1" x14ac:dyDescent="0.3">
      <c r="A6755" s="881"/>
      <c r="B6755" s="838" t="s">
        <v>1701</v>
      </c>
      <c r="C6755" s="839" t="s">
        <v>26</v>
      </c>
      <c r="D6755" s="840">
        <v>4.4000000000000004</v>
      </c>
      <c r="E6755" s="840"/>
      <c r="F6755" s="841" t="s">
        <v>16</v>
      </c>
      <c r="G6755" s="855" t="s">
        <v>76</v>
      </c>
      <c r="H6755" s="841" t="s">
        <v>1703</v>
      </c>
      <c r="I6755" s="841"/>
      <c r="J6755" s="842"/>
      <c r="K6755" s="838"/>
      <c r="L6755" s="841" t="s">
        <v>265</v>
      </c>
      <c r="M6755" s="841">
        <v>4410</v>
      </c>
      <c r="N6755" s="805">
        <v>0.375</v>
      </c>
    </row>
    <row r="6756" spans="1:15" x14ac:dyDescent="0.25">
      <c r="A6756" s="87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/>
      <c r="F6756" s="483" t="s">
        <v>16</v>
      </c>
      <c r="G6756" s="549"/>
      <c r="H6756" s="483" t="s">
        <v>1703</v>
      </c>
      <c r="I6756" s="484"/>
      <c r="J6756" s="485"/>
      <c r="K6756" s="479"/>
      <c r="L6756" s="483" t="s">
        <v>265</v>
      </c>
      <c r="M6756" s="483">
        <v>17577.29</v>
      </c>
      <c r="N6756" s="486">
        <v>0.41666666666666669</v>
      </c>
    </row>
    <row r="6757" spans="1:15" x14ac:dyDescent="0.25">
      <c r="A6757" s="884"/>
      <c r="B6757" s="869" t="s">
        <v>1703</v>
      </c>
      <c r="C6757" s="866" t="s">
        <v>26</v>
      </c>
      <c r="D6757" s="867">
        <v>0.3</v>
      </c>
      <c r="E6757" s="867"/>
      <c r="F6757" s="865" t="s">
        <v>16</v>
      </c>
      <c r="G6757" s="868"/>
      <c r="H6757" s="865" t="s">
        <v>1703</v>
      </c>
      <c r="I6757" s="865"/>
      <c r="J6757" s="871"/>
      <c r="K6757" s="870"/>
      <c r="L6757" s="865" t="s">
        <v>265</v>
      </c>
      <c r="M6757" s="865">
        <v>300</v>
      </c>
      <c r="N6757" s="770">
        <v>0.41666666666666669</v>
      </c>
      <c r="O6757" s="758" t="s">
        <v>1725</v>
      </c>
    </row>
    <row r="6758" spans="1:15" ht="19.5" thickBot="1" x14ac:dyDescent="0.3">
      <c r="A6758" s="874"/>
      <c r="B6758" s="858" t="s">
        <v>1701</v>
      </c>
      <c r="C6758" s="859" t="s">
        <v>26</v>
      </c>
      <c r="D6758" s="860">
        <v>4</v>
      </c>
      <c r="E6758" s="860"/>
      <c r="F6758" s="861" t="s">
        <v>16</v>
      </c>
      <c r="G6758" s="862" t="s">
        <v>76</v>
      </c>
      <c r="H6758" s="861" t="s">
        <v>1703</v>
      </c>
      <c r="I6758" s="861"/>
      <c r="J6758" s="863"/>
      <c r="K6758" s="864"/>
      <c r="L6758" s="861" t="s">
        <v>265</v>
      </c>
      <c r="M6758" s="861">
        <v>4020</v>
      </c>
      <c r="N6758" s="653">
        <v>0.41666666666666669</v>
      </c>
    </row>
    <row r="6759" spans="1:15" x14ac:dyDescent="0.25">
      <c r="A6759" s="87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/>
      <c r="F6759" s="535" t="s">
        <v>16</v>
      </c>
      <c r="G6759" s="536"/>
      <c r="H6759" s="535" t="s">
        <v>1703</v>
      </c>
      <c r="I6759" s="537"/>
      <c r="J6759" s="538"/>
      <c r="K6759" s="531"/>
      <c r="L6759" s="535" t="s">
        <v>28</v>
      </c>
      <c r="M6759" s="535">
        <v>9815.5400000000009</v>
      </c>
      <c r="N6759" s="539">
        <v>0.45833333333333331</v>
      </c>
    </row>
    <row r="6760" spans="1:15" x14ac:dyDescent="0.25">
      <c r="A6760" s="891"/>
      <c r="B6760" s="826" t="s">
        <v>1700</v>
      </c>
      <c r="C6760" s="822" t="s">
        <v>24</v>
      </c>
      <c r="D6760" s="823">
        <v>7.4669999999999996</v>
      </c>
      <c r="E6760" s="824"/>
      <c r="F6760" s="821" t="s">
        <v>16</v>
      </c>
      <c r="G6760" s="825"/>
      <c r="H6760" s="821" t="s">
        <v>1703</v>
      </c>
      <c r="I6760" s="782"/>
      <c r="J6760" s="827"/>
      <c r="K6760" s="852"/>
      <c r="L6760" s="821" t="s">
        <v>28</v>
      </c>
      <c r="M6760" s="821">
        <v>7637.880000000001</v>
      </c>
      <c r="N6760" s="813">
        <v>0.45833333333333331</v>
      </c>
    </row>
    <row r="6761" spans="1:15" x14ac:dyDescent="0.25">
      <c r="A6761" s="891"/>
      <c r="B6761" s="815" t="s">
        <v>1684</v>
      </c>
      <c r="C6761" s="816" t="s">
        <v>15</v>
      </c>
      <c r="D6761" s="817">
        <v>2</v>
      </c>
      <c r="E6761" s="817"/>
      <c r="F6761" s="818" t="s">
        <v>16</v>
      </c>
      <c r="G6761" s="819" t="s">
        <v>76</v>
      </c>
      <c r="H6761" s="818" t="s">
        <v>1703</v>
      </c>
      <c r="I6761" s="818"/>
      <c r="J6761" s="820"/>
      <c r="K6761" s="853"/>
      <c r="L6761" s="818" t="s">
        <v>28</v>
      </c>
      <c r="M6761" s="818">
        <v>2010</v>
      </c>
      <c r="N6761" s="813">
        <v>0.45833333333333331</v>
      </c>
    </row>
    <row r="6762" spans="1:15" ht="19.5" thickBot="1" x14ac:dyDescent="0.3">
      <c r="A6762" s="878"/>
      <c r="B6762" s="828" t="s">
        <v>1684</v>
      </c>
      <c r="C6762" s="829" t="s">
        <v>24</v>
      </c>
      <c r="D6762" s="830">
        <v>3.5</v>
      </c>
      <c r="E6762" s="830"/>
      <c r="F6762" s="831" t="s">
        <v>16</v>
      </c>
      <c r="G6762" s="832" t="s">
        <v>76</v>
      </c>
      <c r="H6762" s="831" t="s">
        <v>1703</v>
      </c>
      <c r="I6762" s="831"/>
      <c r="J6762" s="833"/>
      <c r="K6762" s="834"/>
      <c r="L6762" s="831" t="s">
        <v>28</v>
      </c>
      <c r="M6762" s="831">
        <v>3510</v>
      </c>
      <c r="N6762" s="784">
        <v>0.45833333333333331</v>
      </c>
    </row>
    <row r="6763" spans="1:15" x14ac:dyDescent="0.25">
      <c r="A6763" s="873">
        <f>MAX(A6733:A6762)+1</f>
        <v>4238</v>
      </c>
      <c r="B6763" s="610" t="s">
        <v>1700</v>
      </c>
      <c r="C6763" s="480" t="s">
        <v>24</v>
      </c>
      <c r="D6763" s="481">
        <v>6</v>
      </c>
      <c r="E6763" s="482"/>
      <c r="F6763" s="483" t="s">
        <v>16</v>
      </c>
      <c r="G6763" s="549"/>
      <c r="H6763" s="483" t="s">
        <v>1703</v>
      </c>
      <c r="I6763" s="484"/>
      <c r="J6763" s="485"/>
      <c r="K6763" s="479"/>
      <c r="L6763" s="483" t="s">
        <v>28</v>
      </c>
      <c r="M6763" s="483">
        <v>6098.88</v>
      </c>
      <c r="N6763" s="486">
        <v>0.5</v>
      </c>
    </row>
    <row r="6764" spans="1:15" x14ac:dyDescent="0.25">
      <c r="A6764" s="884"/>
      <c r="B6764" s="769" t="s">
        <v>1700</v>
      </c>
      <c r="C6764" s="764" t="s">
        <v>764</v>
      </c>
      <c r="D6764" s="765">
        <v>11.1</v>
      </c>
      <c r="E6764" s="766"/>
      <c r="F6764" s="763" t="s">
        <v>16</v>
      </c>
      <c r="G6764" s="767"/>
      <c r="H6764" s="763" t="s">
        <v>1703</v>
      </c>
      <c r="I6764" s="768"/>
      <c r="J6764" s="779"/>
      <c r="K6764" s="792"/>
      <c r="L6764" s="763" t="s">
        <v>28</v>
      </c>
      <c r="M6764" s="763">
        <v>11147.4</v>
      </c>
      <c r="N6764" s="770">
        <v>0.5</v>
      </c>
    </row>
    <row r="6765" spans="1:15" ht="19.5" thickBot="1" x14ac:dyDescent="0.3">
      <c r="A6765" s="884"/>
      <c r="B6765" s="793" t="s">
        <v>1700</v>
      </c>
      <c r="C6765" s="794" t="s">
        <v>764</v>
      </c>
      <c r="D6765" s="795">
        <v>6.19</v>
      </c>
      <c r="E6765" s="795"/>
      <c r="F6765" s="796" t="s">
        <v>16</v>
      </c>
      <c r="G6765" s="797" t="s">
        <v>76</v>
      </c>
      <c r="H6765" s="796" t="s">
        <v>1703</v>
      </c>
      <c r="I6765" s="796"/>
      <c r="J6765" s="798"/>
      <c r="K6765" s="854"/>
      <c r="L6765" s="796" t="s">
        <v>28</v>
      </c>
      <c r="M6765" s="796">
        <v>6207.6</v>
      </c>
      <c r="N6765" s="502">
        <v>0.5</v>
      </c>
    </row>
    <row r="6766" spans="1:15" x14ac:dyDescent="0.25">
      <c r="A6766" s="87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/>
      <c r="F6766" s="535" t="s">
        <v>16</v>
      </c>
      <c r="G6766" s="536"/>
      <c r="H6766" s="535" t="s">
        <v>1703</v>
      </c>
      <c r="I6766" s="537"/>
      <c r="J6766" s="538"/>
      <c r="K6766" s="531"/>
      <c r="L6766" s="535" t="s">
        <v>28</v>
      </c>
      <c r="M6766" s="535">
        <v>17691.16</v>
      </c>
      <c r="N6766" s="539">
        <v>0.54166666666666663</v>
      </c>
    </row>
    <row r="6767" spans="1:15" ht="19.5" thickBot="1" x14ac:dyDescent="0.3">
      <c r="A6767" s="880"/>
      <c r="B6767" s="838" t="s">
        <v>1684</v>
      </c>
      <c r="C6767" s="839" t="s">
        <v>47</v>
      </c>
      <c r="D6767" s="840">
        <v>4.3</v>
      </c>
      <c r="E6767" s="840"/>
      <c r="F6767" s="841" t="s">
        <v>16</v>
      </c>
      <c r="G6767" s="855" t="s">
        <v>76</v>
      </c>
      <c r="H6767" s="841" t="s">
        <v>1703</v>
      </c>
      <c r="I6767" s="841"/>
      <c r="J6767" s="842"/>
      <c r="K6767" s="838"/>
      <c r="L6767" s="841" t="s">
        <v>28</v>
      </c>
      <c r="M6767" s="841">
        <v>4320</v>
      </c>
      <c r="N6767" s="805">
        <v>0.54166666666666663</v>
      </c>
    </row>
    <row r="6768" spans="1:15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/>
      <c r="F6768" s="518" t="s">
        <v>16</v>
      </c>
      <c r="G6768" s="519"/>
      <c r="H6768" s="518" t="s">
        <v>1703</v>
      </c>
      <c r="I6768" s="520"/>
      <c r="J6768" s="521"/>
      <c r="K6768" s="514"/>
      <c r="L6768" s="518" t="s">
        <v>266</v>
      </c>
      <c r="M6768" s="518">
        <v>17635.8</v>
      </c>
      <c r="N6768" s="522">
        <v>0.58333333333333337</v>
      </c>
    </row>
    <row r="6769" spans="1:15" x14ac:dyDescent="0.25">
      <c r="A6769" s="87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/>
      <c r="F6769" s="535" t="s">
        <v>30</v>
      </c>
      <c r="G6769" s="536"/>
      <c r="H6769" s="535" t="s">
        <v>1703</v>
      </c>
      <c r="I6769" s="537"/>
      <c r="J6769" s="538"/>
      <c r="K6769" s="531"/>
      <c r="L6769" s="535" t="s">
        <v>28</v>
      </c>
      <c r="M6769" s="535">
        <v>8288.880000000001</v>
      </c>
      <c r="N6769" s="539">
        <v>0.41666666666666669</v>
      </c>
    </row>
    <row r="6770" spans="1:15" ht="19.5" thickBot="1" x14ac:dyDescent="0.3">
      <c r="A6770" s="881"/>
      <c r="B6770" s="636" t="s">
        <v>1684</v>
      </c>
      <c r="C6770" s="637" t="s">
        <v>24</v>
      </c>
      <c r="D6770" s="638">
        <v>5.3079999999999998</v>
      </c>
      <c r="E6770" s="639"/>
      <c r="F6770" s="640" t="s">
        <v>30</v>
      </c>
      <c r="G6770" s="641"/>
      <c r="H6770" s="640" t="s">
        <v>1703</v>
      </c>
      <c r="I6770" s="642"/>
      <c r="J6770" s="643"/>
      <c r="K6770" s="636"/>
      <c r="L6770" s="640" t="s">
        <v>28</v>
      </c>
      <c r="M6770" s="640">
        <v>5308.32</v>
      </c>
      <c r="N6770" s="644">
        <v>0.41666666666666669</v>
      </c>
    </row>
    <row r="6771" spans="1:15" x14ac:dyDescent="0.25">
      <c r="A6771" s="888">
        <f>MAX(A6741:A6770)+1</f>
        <v>4242</v>
      </c>
      <c r="B6771" s="479" t="s">
        <v>1684</v>
      </c>
      <c r="C6771" s="480" t="s">
        <v>26</v>
      </c>
      <c r="D6771" s="481">
        <v>14.929</v>
      </c>
      <c r="E6771" s="482"/>
      <c r="F6771" s="483" t="s">
        <v>16</v>
      </c>
      <c r="G6771" s="549"/>
      <c r="H6771" s="483" t="s">
        <v>1704</v>
      </c>
      <c r="I6771" s="484"/>
      <c r="J6771" s="485"/>
      <c r="K6771" s="479"/>
      <c r="L6771" s="483" t="s">
        <v>265</v>
      </c>
      <c r="M6771" s="483">
        <v>15056.58</v>
      </c>
      <c r="N6771" s="486">
        <v>0.375</v>
      </c>
    </row>
    <row r="6772" spans="1:15" x14ac:dyDescent="0.25">
      <c r="A6772" s="890"/>
      <c r="B6772" s="523" t="s">
        <v>1684</v>
      </c>
      <c r="C6772" s="524" t="s">
        <v>1705</v>
      </c>
      <c r="D6772" s="525">
        <v>0.83399999999999996</v>
      </c>
      <c r="E6772" s="526"/>
      <c r="F6772" s="527" t="s">
        <v>16</v>
      </c>
      <c r="G6772" s="561"/>
      <c r="H6772" s="527" t="s">
        <v>1704</v>
      </c>
      <c r="I6772" s="528"/>
      <c r="J6772" s="529"/>
      <c r="K6772" s="523"/>
      <c r="L6772" s="527" t="s">
        <v>265</v>
      </c>
      <c r="M6772" s="527">
        <v>834.54000000000008</v>
      </c>
      <c r="N6772" s="530">
        <v>0.375</v>
      </c>
    </row>
    <row r="6773" spans="1:15" ht="19.5" thickBot="1" x14ac:dyDescent="0.3">
      <c r="A6773" s="889"/>
      <c r="B6773" s="645" t="s">
        <v>1684</v>
      </c>
      <c r="C6773" s="646" t="s">
        <v>952</v>
      </c>
      <c r="D6773" s="647">
        <v>1.619</v>
      </c>
      <c r="E6773" s="648"/>
      <c r="F6773" s="649" t="s">
        <v>16</v>
      </c>
      <c r="G6773" s="650"/>
      <c r="H6773" s="649" t="s">
        <v>1704</v>
      </c>
      <c r="I6773" s="651"/>
      <c r="J6773" s="652"/>
      <c r="K6773" s="645"/>
      <c r="L6773" s="649" t="s">
        <v>265</v>
      </c>
      <c r="M6773" s="649">
        <v>1693.38</v>
      </c>
      <c r="N6773" s="653">
        <v>0.375</v>
      </c>
    </row>
    <row r="6774" spans="1:15" x14ac:dyDescent="0.25">
      <c r="A6774" s="877">
        <f>MAX(A6750:A6773)+1</f>
        <v>4243</v>
      </c>
      <c r="B6774" s="759" t="s">
        <v>1684</v>
      </c>
      <c r="C6774" s="532" t="s">
        <v>913</v>
      </c>
      <c r="D6774" s="533">
        <v>2.5939999999999999</v>
      </c>
      <c r="E6774" s="534"/>
      <c r="F6774" s="535" t="s">
        <v>16</v>
      </c>
      <c r="G6774" s="536"/>
      <c r="H6774" s="535" t="s">
        <v>1704</v>
      </c>
      <c r="I6774" s="537"/>
      <c r="J6774" s="538"/>
      <c r="K6774" s="531"/>
      <c r="L6774" s="535" t="s">
        <v>266</v>
      </c>
      <c r="M6774" s="535">
        <v>2616.8999999999996</v>
      </c>
      <c r="N6774" s="539">
        <v>0.41666666666666669</v>
      </c>
    </row>
    <row r="6775" spans="1:15" x14ac:dyDescent="0.25">
      <c r="A6775" s="891"/>
      <c r="B6775" s="826" t="s">
        <v>1684</v>
      </c>
      <c r="C6775" s="822" t="s">
        <v>23</v>
      </c>
      <c r="D6775" s="823">
        <v>14.505000000000001</v>
      </c>
      <c r="E6775" s="824"/>
      <c r="F6775" s="821" t="s">
        <v>16</v>
      </c>
      <c r="G6775" s="825"/>
      <c r="H6775" s="821" t="s">
        <v>1704</v>
      </c>
      <c r="I6775" s="782"/>
      <c r="J6775" s="827"/>
      <c r="K6775" s="852"/>
      <c r="L6775" s="821" t="s">
        <v>28</v>
      </c>
      <c r="M6775" s="821">
        <v>14596.900000000001</v>
      </c>
      <c r="N6775" s="813">
        <v>0.41666666666666669</v>
      </c>
    </row>
    <row r="6776" spans="1:15" ht="19.5" thickBot="1" x14ac:dyDescent="0.3">
      <c r="A6776" s="891"/>
      <c r="B6776" s="828" t="s">
        <v>1703</v>
      </c>
      <c r="C6776" s="829" t="s">
        <v>23</v>
      </c>
      <c r="D6776" s="830">
        <v>4.7</v>
      </c>
      <c r="E6776" s="830"/>
      <c r="F6776" s="831" t="s">
        <v>16</v>
      </c>
      <c r="G6776" s="832"/>
      <c r="H6776" s="831" t="s">
        <v>1704</v>
      </c>
      <c r="I6776" s="831"/>
      <c r="J6776" s="833"/>
      <c r="K6776" s="834"/>
      <c r="L6776" s="831" t="s">
        <v>28</v>
      </c>
      <c r="M6776" s="831">
        <v>4710</v>
      </c>
      <c r="N6776" s="644">
        <v>0.41666666666666669</v>
      </c>
      <c r="O6776" s="758" t="s">
        <v>1725</v>
      </c>
    </row>
    <row r="6777" spans="1:15" ht="19.5" thickBot="1" x14ac:dyDescent="0.3">
      <c r="A6777" s="513">
        <f>MAX(A6752:A6776)+1</f>
        <v>4244</v>
      </c>
      <c r="B6777" s="514" t="s">
        <v>1701</v>
      </c>
      <c r="C6777" s="515" t="s">
        <v>1341</v>
      </c>
      <c r="D6777" s="516">
        <v>9.3330000000000002</v>
      </c>
      <c r="E6777" s="517"/>
      <c r="F6777" s="518" t="s">
        <v>16</v>
      </c>
      <c r="G6777" s="519"/>
      <c r="H6777" s="518" t="s">
        <v>1704</v>
      </c>
      <c r="I6777" s="520"/>
      <c r="J6777" s="521"/>
      <c r="K6777" s="514"/>
      <c r="L6777" s="518" t="s">
        <v>266</v>
      </c>
      <c r="M6777" s="518">
        <v>9332.9999999999982</v>
      </c>
      <c r="N6777" s="522">
        <v>0.45833333333333331</v>
      </c>
    </row>
    <row r="6778" spans="1:15" ht="19.5" thickBot="1" x14ac:dyDescent="0.3">
      <c r="A6778" s="503">
        <f>MAX(A6753:A6777)+1</f>
        <v>4245</v>
      </c>
      <c r="B6778" s="504" t="s">
        <v>1701</v>
      </c>
      <c r="C6778" s="505" t="s">
        <v>26</v>
      </c>
      <c r="D6778" s="506">
        <v>12.856</v>
      </c>
      <c r="E6778" s="507"/>
      <c r="F6778" s="508" t="s">
        <v>30</v>
      </c>
      <c r="G6778" s="509"/>
      <c r="H6778" s="508" t="s">
        <v>1704</v>
      </c>
      <c r="I6778" s="510"/>
      <c r="J6778" s="511"/>
      <c r="K6778" s="504"/>
      <c r="L6778" s="508" t="s">
        <v>265</v>
      </c>
      <c r="M6778" s="508">
        <v>12856.319999999998</v>
      </c>
      <c r="N6778" s="512">
        <v>0.375</v>
      </c>
    </row>
    <row r="6779" spans="1:15" ht="19.5" thickBot="1" x14ac:dyDescent="0.3">
      <c r="A6779" s="513">
        <f>MAX(A6754:A6778)+1</f>
        <v>4246</v>
      </c>
      <c r="B6779" s="514" t="s">
        <v>1701</v>
      </c>
      <c r="C6779" s="515" t="s">
        <v>26</v>
      </c>
      <c r="D6779" s="516">
        <v>17.457999999999998</v>
      </c>
      <c r="E6779" s="517"/>
      <c r="F6779" s="518" t="s">
        <v>16</v>
      </c>
      <c r="G6779" s="519"/>
      <c r="H6779" s="518" t="s">
        <v>1721</v>
      </c>
      <c r="I6779" s="520"/>
      <c r="J6779" s="521"/>
      <c r="K6779" s="514"/>
      <c r="L6779" s="518" t="s">
        <v>265</v>
      </c>
      <c r="M6779" s="518">
        <v>17646</v>
      </c>
      <c r="N6779" s="522">
        <v>0.375</v>
      </c>
    </row>
    <row r="6780" spans="1:15" x14ac:dyDescent="0.25">
      <c r="A6780" s="879">
        <f>MAX(A6756:A6779)+1</f>
        <v>4247</v>
      </c>
      <c r="B6780" s="531" t="s">
        <v>1701</v>
      </c>
      <c r="C6780" s="532" t="s">
        <v>480</v>
      </c>
      <c r="D6780" s="533">
        <v>9.57</v>
      </c>
      <c r="E6780" s="534"/>
      <c r="F6780" s="535" t="s">
        <v>16</v>
      </c>
      <c r="G6780" s="536"/>
      <c r="H6780" s="535" t="s">
        <v>1721</v>
      </c>
      <c r="I6780" s="537"/>
      <c r="J6780" s="538"/>
      <c r="K6780" s="531"/>
      <c r="L6780" s="535" t="s">
        <v>266</v>
      </c>
      <c r="M6780" s="535">
        <v>9687.74</v>
      </c>
      <c r="N6780" s="539">
        <v>0.41666666666666669</v>
      </c>
    </row>
    <row r="6781" spans="1:15" ht="19.5" thickBot="1" x14ac:dyDescent="0.3">
      <c r="A6781" s="881"/>
      <c r="B6781" s="636" t="s">
        <v>1701</v>
      </c>
      <c r="C6781" s="637" t="s">
        <v>23</v>
      </c>
      <c r="D6781" s="638">
        <v>7.9219999999999997</v>
      </c>
      <c r="E6781" s="639"/>
      <c r="F6781" s="640" t="s">
        <v>16</v>
      </c>
      <c r="G6781" s="641"/>
      <c r="H6781" s="640" t="s">
        <v>1721</v>
      </c>
      <c r="I6781" s="642"/>
      <c r="J6781" s="643"/>
      <c r="K6781" s="636"/>
      <c r="L6781" s="640" t="s">
        <v>28</v>
      </c>
      <c r="M6781" s="640">
        <v>8010.5199999999995</v>
      </c>
      <c r="N6781" s="644">
        <v>0.41666666666666669</v>
      </c>
    </row>
    <row r="6782" spans="1:15" ht="38.25" thickBot="1" x14ac:dyDescent="0.3">
      <c r="A6782" s="513">
        <f>MAX(A6760:A6781)+1</f>
        <v>4248</v>
      </c>
      <c r="B6782" s="514" t="s">
        <v>1701</v>
      </c>
      <c r="C6782" s="515" t="s">
        <v>47</v>
      </c>
      <c r="D6782" s="516">
        <v>15.505000000000001</v>
      </c>
      <c r="E6782" s="517"/>
      <c r="F6782" s="518" t="s">
        <v>16</v>
      </c>
      <c r="G6782" s="519" t="s">
        <v>1634</v>
      </c>
      <c r="H6782" s="518" t="s">
        <v>1721</v>
      </c>
      <c r="I6782" s="520"/>
      <c r="J6782" s="521"/>
      <c r="K6782" s="514"/>
      <c r="L6782" s="518" t="s">
        <v>28</v>
      </c>
      <c r="M6782" s="518">
        <v>15695.96</v>
      </c>
      <c r="N6782" s="522">
        <v>0.45833333333333331</v>
      </c>
    </row>
    <row r="6783" spans="1:15" ht="94.5" thickBot="1" x14ac:dyDescent="0.3">
      <c r="A6783" s="503">
        <f>MAX(A6761:A6782)+1</f>
        <v>4249</v>
      </c>
      <c r="B6783" s="504" t="s">
        <v>1701</v>
      </c>
      <c r="C6783" s="505" t="s">
        <v>24</v>
      </c>
      <c r="D6783" s="506">
        <v>13.52</v>
      </c>
      <c r="E6783" s="507"/>
      <c r="F6783" s="508" t="s">
        <v>16</v>
      </c>
      <c r="G6783" s="509" t="s">
        <v>1722</v>
      </c>
      <c r="H6783" s="508" t="s">
        <v>1721</v>
      </c>
      <c r="I6783" s="510"/>
      <c r="J6783" s="511"/>
      <c r="K6783" s="504"/>
      <c r="L6783" s="508" t="s">
        <v>28</v>
      </c>
      <c r="M6783" s="508">
        <v>13721.14</v>
      </c>
      <c r="N6783" s="512">
        <v>0.5</v>
      </c>
    </row>
    <row r="6784" spans="1:15" x14ac:dyDescent="0.25">
      <c r="A6784" s="888">
        <f>MAX(A6762:A6783)+1</f>
        <v>4250</v>
      </c>
      <c r="B6784" s="479" t="s">
        <v>1701</v>
      </c>
      <c r="C6784" s="480" t="s">
        <v>587</v>
      </c>
      <c r="D6784" s="481">
        <v>5.9189999999999996</v>
      </c>
      <c r="E6784" s="482"/>
      <c r="F6784" s="483" t="s">
        <v>30</v>
      </c>
      <c r="G6784" s="549" t="s">
        <v>23</v>
      </c>
      <c r="H6784" s="483" t="s">
        <v>1721</v>
      </c>
      <c r="I6784" s="484"/>
      <c r="J6784" s="485"/>
      <c r="K6784" s="479"/>
      <c r="L6784" s="483" t="s">
        <v>28</v>
      </c>
      <c r="M6784" s="483">
        <v>5919.48</v>
      </c>
      <c r="N6784" s="486">
        <v>0.41666666666666669</v>
      </c>
    </row>
    <row r="6785" spans="1:14" ht="19.5" thickBot="1" x14ac:dyDescent="0.3">
      <c r="A6785" s="889"/>
      <c r="B6785" s="645" t="s">
        <v>1701</v>
      </c>
      <c r="C6785" s="646" t="s">
        <v>47</v>
      </c>
      <c r="D6785" s="647">
        <v>5.8710000000000004</v>
      </c>
      <c r="E6785" s="648"/>
      <c r="F6785" s="649" t="s">
        <v>30</v>
      </c>
      <c r="G6785" s="650"/>
      <c r="H6785" s="649" t="s">
        <v>1721</v>
      </c>
      <c r="I6785" s="651"/>
      <c r="J6785" s="652"/>
      <c r="K6785" s="645"/>
      <c r="L6785" s="649" t="s">
        <v>28</v>
      </c>
      <c r="M6785" s="649">
        <v>5871.7199999999993</v>
      </c>
      <c r="N6785" s="653">
        <v>0.41666666666666669</v>
      </c>
    </row>
    <row r="6786" spans="1:14" ht="19.5" thickBot="1" x14ac:dyDescent="0.3">
      <c r="A6786" s="503">
        <f t="shared" ref="A6786:A6796" si="203">MAX(A6764:A6785)+1</f>
        <v>4251</v>
      </c>
      <c r="B6786" s="504" t="s">
        <v>1701</v>
      </c>
      <c r="C6786" s="505" t="s">
        <v>26</v>
      </c>
      <c r="D6786" s="506">
        <v>17.286000000000001</v>
      </c>
      <c r="E6786" s="507"/>
      <c r="F6786" s="508" t="s">
        <v>16</v>
      </c>
      <c r="G6786" s="509"/>
      <c r="H6786" s="508" t="s">
        <v>1723</v>
      </c>
      <c r="I6786" s="510"/>
      <c r="J6786" s="511"/>
      <c r="K6786" s="504"/>
      <c r="L6786" s="508" t="s">
        <v>265</v>
      </c>
      <c r="M6786" s="508">
        <v>17478.29</v>
      </c>
      <c r="N6786" s="512">
        <v>0.375</v>
      </c>
    </row>
    <row r="6787" spans="1:14" ht="38.25" thickBot="1" x14ac:dyDescent="0.3">
      <c r="A6787" s="513">
        <f t="shared" si="203"/>
        <v>4252</v>
      </c>
      <c r="B6787" s="514" t="s">
        <v>1701</v>
      </c>
      <c r="C6787" s="515" t="s">
        <v>15</v>
      </c>
      <c r="D6787" s="516">
        <v>14.497999999999999</v>
      </c>
      <c r="E6787" s="517"/>
      <c r="F6787" s="518" t="s">
        <v>16</v>
      </c>
      <c r="G6787" s="519" t="s">
        <v>1724</v>
      </c>
      <c r="H6787" s="518" t="s">
        <v>1723</v>
      </c>
      <c r="I6787" s="520"/>
      <c r="J6787" s="521"/>
      <c r="K6787" s="514"/>
      <c r="L6787" s="518" t="s">
        <v>28</v>
      </c>
      <c r="M6787" s="518">
        <v>14641.119999999999</v>
      </c>
      <c r="N6787" s="522">
        <v>0.41666666666666669</v>
      </c>
    </row>
    <row r="6788" spans="1:14" ht="19.5" thickBot="1" x14ac:dyDescent="0.3">
      <c r="A6788" s="503">
        <f t="shared" si="203"/>
        <v>4253</v>
      </c>
      <c r="B6788" s="504" t="s">
        <v>1701</v>
      </c>
      <c r="C6788" s="505" t="s">
        <v>47</v>
      </c>
      <c r="D6788" s="506">
        <v>17.498999999999999</v>
      </c>
      <c r="E6788" s="507"/>
      <c r="F6788" s="508" t="s">
        <v>16</v>
      </c>
      <c r="G6788" s="509"/>
      <c r="H6788" s="508" t="s">
        <v>1723</v>
      </c>
      <c r="I6788" s="510"/>
      <c r="J6788" s="511"/>
      <c r="K6788" s="504"/>
      <c r="L6788" s="508" t="s">
        <v>28</v>
      </c>
      <c r="M6788" s="508">
        <v>17585.059999999998</v>
      </c>
      <c r="N6788" s="512">
        <v>0.45833333333333331</v>
      </c>
    </row>
    <row r="6789" spans="1:14" ht="19.5" thickBot="1" x14ac:dyDescent="0.3">
      <c r="A6789" s="513">
        <f t="shared" si="203"/>
        <v>4254</v>
      </c>
      <c r="B6789" s="514" t="s">
        <v>1701</v>
      </c>
      <c r="C6789" s="515" t="s">
        <v>1382</v>
      </c>
      <c r="D6789" s="516">
        <v>17.901</v>
      </c>
      <c r="E6789" s="517"/>
      <c r="F6789" s="518" t="s">
        <v>16</v>
      </c>
      <c r="G6789" s="519"/>
      <c r="H6789" s="518" t="s">
        <v>1723</v>
      </c>
      <c r="I6789" s="520"/>
      <c r="J6789" s="521"/>
      <c r="K6789" s="514"/>
      <c r="L6789" s="518" t="s">
        <v>266</v>
      </c>
      <c r="M6789" s="518">
        <v>18026.280000000002</v>
      </c>
      <c r="N6789" s="522">
        <v>0.5</v>
      </c>
    </row>
    <row r="6790" spans="1:14" ht="19.5" thickBot="1" x14ac:dyDescent="0.3">
      <c r="A6790" s="503">
        <f t="shared" si="203"/>
        <v>4255</v>
      </c>
      <c r="B6790" s="504" t="s">
        <v>1701</v>
      </c>
      <c r="C6790" s="505" t="s">
        <v>26</v>
      </c>
      <c r="D6790" s="506">
        <v>17.433</v>
      </c>
      <c r="E6790" s="507"/>
      <c r="F6790" s="508" t="s">
        <v>16</v>
      </c>
      <c r="G6790" s="509"/>
      <c r="H6790" s="508" t="s">
        <v>1723</v>
      </c>
      <c r="I6790" s="510"/>
      <c r="J6790" s="511"/>
      <c r="K6790" s="504"/>
      <c r="L6790" s="508" t="s">
        <v>265</v>
      </c>
      <c r="M6790" s="508">
        <v>17476.72</v>
      </c>
      <c r="N6790" s="512">
        <v>0.58333333333333337</v>
      </c>
    </row>
    <row r="6791" spans="1:14" x14ac:dyDescent="0.25">
      <c r="A6791" s="676">
        <f t="shared" si="203"/>
        <v>4256</v>
      </c>
      <c r="B6791" s="676"/>
      <c r="C6791" s="473"/>
      <c r="D6791" s="474"/>
      <c r="E6791" s="475"/>
      <c r="F6791" s="676"/>
      <c r="G6791" s="476"/>
      <c r="H6791" s="676"/>
      <c r="I6791" s="477"/>
      <c r="J6791" s="478"/>
      <c r="K6791" s="676"/>
      <c r="L6791" s="676"/>
      <c r="M6791" s="676"/>
      <c r="N6791" s="676"/>
    </row>
    <row r="6792" spans="1:14" x14ac:dyDescent="0.25">
      <c r="A6792" s="676">
        <f t="shared" si="203"/>
        <v>4257</v>
      </c>
      <c r="B6792" s="676"/>
      <c r="C6792" s="473"/>
      <c r="D6792" s="474"/>
      <c r="E6792" s="475"/>
      <c r="F6792" s="676"/>
      <c r="G6792" s="476"/>
      <c r="H6792" s="676"/>
      <c r="I6792" s="477"/>
      <c r="J6792" s="478"/>
      <c r="K6792" s="676"/>
      <c r="L6792" s="676"/>
      <c r="M6792" s="676"/>
      <c r="N6792" s="676"/>
    </row>
    <row r="6793" spans="1:14" x14ac:dyDescent="0.25">
      <c r="A6793" s="676">
        <f t="shared" si="203"/>
        <v>4258</v>
      </c>
      <c r="B6793" s="676"/>
      <c r="C6793" s="473"/>
      <c r="D6793" s="474"/>
      <c r="E6793" s="475"/>
      <c r="F6793" s="676"/>
      <c r="G6793" s="476"/>
      <c r="H6793" s="676"/>
      <c r="I6793" s="477"/>
      <c r="J6793" s="478"/>
      <c r="K6793" s="676"/>
      <c r="L6793" s="676"/>
      <c r="M6793" s="676"/>
      <c r="N6793" s="676"/>
    </row>
    <row r="6794" spans="1:14" x14ac:dyDescent="0.25">
      <c r="A6794" s="676">
        <f t="shared" si="203"/>
        <v>4259</v>
      </c>
      <c r="B6794" s="676"/>
      <c r="C6794" s="473"/>
      <c r="D6794" s="474"/>
      <c r="E6794" s="475"/>
      <c r="F6794" s="676"/>
      <c r="G6794" s="476"/>
      <c r="H6794" s="676"/>
      <c r="I6794" s="477"/>
      <c r="J6794" s="478"/>
      <c r="K6794" s="676"/>
      <c r="L6794" s="676"/>
      <c r="M6794" s="676"/>
      <c r="N6794" s="676"/>
    </row>
    <row r="6795" spans="1:14" x14ac:dyDescent="0.25">
      <c r="A6795" s="676">
        <f t="shared" si="203"/>
        <v>4260</v>
      </c>
      <c r="B6795" s="676"/>
      <c r="C6795" s="473"/>
      <c r="D6795" s="474"/>
      <c r="E6795" s="475"/>
      <c r="F6795" s="676"/>
      <c r="G6795" s="476"/>
      <c r="H6795" s="676"/>
      <c r="I6795" s="477"/>
      <c r="J6795" s="478"/>
      <c r="K6795" s="676"/>
      <c r="L6795" s="676"/>
      <c r="M6795" s="676"/>
      <c r="N6795" s="676"/>
    </row>
    <row r="6796" spans="1:14" x14ac:dyDescent="0.25">
      <c r="A6796" s="676">
        <f t="shared" si="203"/>
        <v>4261</v>
      </c>
      <c r="B6796" s="676"/>
      <c r="C6796" s="473"/>
      <c r="D6796" s="474"/>
      <c r="E6796" s="475"/>
      <c r="F6796" s="676"/>
      <c r="G6796" s="476"/>
      <c r="H6796" s="676"/>
      <c r="I6796" s="477"/>
      <c r="J6796" s="478"/>
      <c r="K6796" s="676"/>
      <c r="L6796" s="676"/>
      <c r="M6796" s="676"/>
      <c r="N6796" s="676"/>
    </row>
    <row r="6797" spans="1:14" x14ac:dyDescent="0.25">
      <c r="A6797" s="676">
        <f t="shared" ref="A6797:A6802" si="204">MAX(A6776:A6796)+1</f>
        <v>4262</v>
      </c>
      <c r="B6797" s="676"/>
      <c r="C6797" s="473"/>
      <c r="D6797" s="474"/>
      <c r="E6797" s="475"/>
      <c r="F6797" s="676"/>
      <c r="G6797" s="476"/>
      <c r="H6797" s="676"/>
      <c r="I6797" s="477"/>
      <c r="J6797" s="478"/>
      <c r="K6797" s="676"/>
      <c r="L6797" s="676"/>
      <c r="M6797" s="676"/>
      <c r="N6797" s="676"/>
    </row>
    <row r="6798" spans="1:14" x14ac:dyDescent="0.25">
      <c r="A6798" s="676">
        <f t="shared" si="204"/>
        <v>4263</v>
      </c>
      <c r="B6798" s="676"/>
      <c r="C6798" s="473"/>
      <c r="D6798" s="474"/>
      <c r="E6798" s="475"/>
      <c r="F6798" s="676"/>
      <c r="G6798" s="476"/>
      <c r="H6798" s="676"/>
      <c r="I6798" s="477"/>
      <c r="J6798" s="478"/>
      <c r="K6798" s="676"/>
      <c r="L6798" s="676"/>
      <c r="M6798" s="676"/>
      <c r="N6798" s="676"/>
    </row>
    <row r="6799" spans="1:14" x14ac:dyDescent="0.25">
      <c r="A6799" s="676">
        <f t="shared" si="204"/>
        <v>4264</v>
      </c>
      <c r="B6799" s="676"/>
      <c r="C6799" s="473"/>
      <c r="D6799" s="474"/>
      <c r="E6799" s="475"/>
      <c r="F6799" s="676"/>
      <c r="G6799" s="476"/>
      <c r="H6799" s="676"/>
      <c r="I6799" s="477"/>
      <c r="J6799" s="478"/>
      <c r="K6799" s="676"/>
      <c r="L6799" s="676"/>
      <c r="M6799" s="676"/>
      <c r="N6799" s="676"/>
    </row>
    <row r="6800" spans="1:14" x14ac:dyDescent="0.25">
      <c r="A6800" s="676">
        <f t="shared" si="204"/>
        <v>4265</v>
      </c>
      <c r="B6800" s="676"/>
      <c r="C6800" s="473"/>
      <c r="D6800" s="474"/>
      <c r="E6800" s="475"/>
      <c r="F6800" s="676"/>
      <c r="G6800" s="476"/>
      <c r="H6800" s="676"/>
      <c r="I6800" s="477"/>
      <c r="J6800" s="478"/>
      <c r="K6800" s="676"/>
      <c r="L6800" s="676"/>
      <c r="M6800" s="676"/>
      <c r="N6800" s="676"/>
    </row>
    <row r="6801" spans="1:14" x14ac:dyDescent="0.25">
      <c r="A6801" s="676">
        <f t="shared" si="204"/>
        <v>4266</v>
      </c>
      <c r="B6801" s="676"/>
      <c r="C6801" s="473"/>
      <c r="D6801" s="474"/>
      <c r="E6801" s="475"/>
      <c r="F6801" s="676"/>
      <c r="G6801" s="476"/>
      <c r="H6801" s="676"/>
      <c r="I6801" s="477"/>
      <c r="J6801" s="478"/>
      <c r="K6801" s="676"/>
      <c r="L6801" s="676"/>
      <c r="M6801" s="676"/>
      <c r="N6801" s="676"/>
    </row>
    <row r="6802" spans="1:14" x14ac:dyDescent="0.25">
      <c r="A6802" s="676">
        <f t="shared" si="204"/>
        <v>4267</v>
      </c>
      <c r="B6802" s="676"/>
      <c r="C6802" s="473"/>
      <c r="D6802" s="474"/>
      <c r="E6802" s="475"/>
      <c r="F6802" s="676"/>
      <c r="G6802" s="476"/>
      <c r="H6802" s="676"/>
      <c r="I6802" s="477"/>
      <c r="J6802" s="478"/>
      <c r="K6802" s="676"/>
      <c r="L6802" s="676"/>
      <c r="M6802" s="676"/>
      <c r="N6802" s="676"/>
    </row>
  </sheetData>
  <autoFilter ref="A2:N6802" xr:uid="{00000000-0009-0000-0000-000000000000}">
    <filterColumn colId="10">
      <filters blank="1"/>
    </filterColumn>
  </autoFilter>
  <mergeCells count="1762">
    <mergeCell ref="A6754:A6755"/>
    <mergeCell ref="A6756:A6758"/>
    <mergeCell ref="A6780:A6781"/>
    <mergeCell ref="A6784:A6785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6673:A6674"/>
    <mergeCell ref="A6695:A6697"/>
    <mergeCell ref="A6700:A6702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589:A6590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G5436:G5437"/>
    <mergeCell ref="A5439:A5440"/>
    <mergeCell ref="A5441:A5442"/>
    <mergeCell ref="A5443:A5444"/>
    <mergeCell ref="A5445:A5446"/>
    <mergeCell ref="A5511:A5512"/>
    <mergeCell ref="A5513:A5514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15:A5516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549:G5550"/>
    <mergeCell ref="A5549:A5550"/>
    <mergeCell ref="A5534:A5538"/>
    <mergeCell ref="A5539:A5541"/>
    <mergeCell ref="A5561:A5562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713:A715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032:A1034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G983:G984"/>
    <mergeCell ref="A985:A987"/>
    <mergeCell ref="A988:A989"/>
    <mergeCell ref="A990:A992"/>
    <mergeCell ref="A1026:A1027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G496:G497"/>
    <mergeCell ref="A654:A655"/>
    <mergeCell ref="A710:A711"/>
    <mergeCell ref="A959:A960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769:A771"/>
    <mergeCell ref="A925:A928"/>
    <mergeCell ref="A809:A812"/>
    <mergeCell ref="A939:A941"/>
    <mergeCell ref="A943:A947"/>
    <mergeCell ref="G408:G409"/>
    <mergeCell ref="G815:G816"/>
    <mergeCell ref="A4416:A4419"/>
    <mergeCell ref="A1070:A1071"/>
    <mergeCell ref="A1072:A1074"/>
    <mergeCell ref="G929:G930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G654:G655"/>
    <mergeCell ref="G762:G763"/>
    <mergeCell ref="A881:A882"/>
    <mergeCell ref="A839:A841"/>
    <mergeCell ref="A948:A949"/>
    <mergeCell ref="A951:A954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8:A1029"/>
    <mergeCell ref="A1021:A1022"/>
    <mergeCell ref="G4391:G4392"/>
    <mergeCell ref="G4331:G4332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221:A1222"/>
    <mergeCell ref="A1223:A1224"/>
    <mergeCell ref="G5321:G5325"/>
    <mergeCell ref="A5316:A5317"/>
    <mergeCell ref="A5247:A5249"/>
    <mergeCell ref="G5232:G5233"/>
    <mergeCell ref="A5199:A5200"/>
    <mergeCell ref="G5202:G5203"/>
    <mergeCell ref="A5183:A5184"/>
    <mergeCell ref="A5202:A5203"/>
    <mergeCell ref="A5070:A5071"/>
    <mergeCell ref="A5234:A5235"/>
    <mergeCell ref="A5279:A5281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G4700:G4701"/>
    <mergeCell ref="A4721:A4722"/>
    <mergeCell ref="A4806:A4807"/>
    <mergeCell ref="G4579:G4581"/>
    <mergeCell ref="A4582:A4584"/>
    <mergeCell ref="A6769:A6770"/>
    <mergeCell ref="A6771:A6773"/>
    <mergeCell ref="A6774:A6776"/>
    <mergeCell ref="A6735:A6736"/>
    <mergeCell ref="A6738:A6739"/>
    <mergeCell ref="A6766:A6767"/>
    <mergeCell ref="A6759:A6762"/>
    <mergeCell ref="A6763:A6765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G6721:G6722"/>
    <mergeCell ref="A6723:A6724"/>
    <mergeCell ref="G6723:G6724"/>
    <mergeCell ref="A6725:A6726"/>
    <mergeCell ref="A6750:A6752"/>
    <mergeCell ref="A6733:A673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741:A6743"/>
    <mergeCell ref="A6744:A6746"/>
    <mergeCell ref="A6747:A674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2026-07-25T07:54:31Z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