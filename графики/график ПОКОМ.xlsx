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62752377-12D2-4CDC-9544-0E2C1F0159EF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Лист1!$A$2:$R$7081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A7053" i="1" l="1"/>
  <c r="A7041" i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s="1"/>
  <c r="A7032" i="1" l="1"/>
  <c r="A7035" i="1" s="1"/>
  <c r="A7037" i="1" s="1"/>
  <c r="A7039" i="1" s="1"/>
  <c r="A7042" i="1" s="1"/>
  <c r="A7047" i="1" l="1"/>
  <c r="A7049" i="1" s="1"/>
  <c r="A7055" i="1"/>
  <c r="A7056" i="1" l="1"/>
  <c r="A7059" i="1" l="1"/>
  <c r="A7060" i="1" l="1"/>
  <c r="A7062" i="1" s="1"/>
  <c r="A7063" i="1" l="1"/>
  <c r="A7067" i="1" s="1"/>
  <c r="A7068" i="1" l="1"/>
  <c r="A7070" i="1" s="1"/>
  <c r="A7071" i="1" s="1"/>
  <c r="A7072" i="1" s="1"/>
  <c r="A7073" i="1" s="1"/>
  <c r="A7075" i="1" l="1"/>
  <c r="A7077" i="1" s="1"/>
  <c r="A7078" i="1" s="1"/>
  <c r="A7079" i="1" s="1"/>
  <c r="A7080" i="1" s="1"/>
  <c r="A7081" i="1" s="1"/>
</calcChain>
</file>

<file path=xl/sharedStrings.xml><?xml version="1.0" encoding="utf-8"?>
<sst xmlns="http://schemas.openxmlformats.org/spreadsheetml/2006/main" count="45163" uniqueCount="2234">
  <si>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</si>
  <si>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</si>
  <si>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</si>
  <si>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</si>
  <si>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</si>
  <si>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</si>
  <si>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</si>
  <si>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</si>
  <si>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</si>
  <si>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</si>
  <si>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</si>
  <si>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</si>
  <si>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</si>
  <si>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</si>
  <si>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</si>
  <si>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</si>
  <si>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</si>
  <si>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</si>
  <si>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</si>
  <si>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</si>
  <si>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</si>
  <si>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</si>
  <si>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</si>
  <si>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</si>
  <si>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</si>
  <si>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</si>
  <si>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</si>
  <si>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</si>
  <si>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</si>
  <si>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</si>
  <si>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</si>
  <si>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</si>
  <si>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</si>
  <si>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</si>
  <si>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</si>
  <si>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</si>
  <si>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</si>
  <si>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</si>
  <si>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</si>
  <si>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</si>
  <si>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</si>
  <si>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</si>
  <si>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</si>
  <si>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</si>
  <si>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</si>
  <si>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</si>
  <si>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</si>
  <si>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</si>
  <si>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</si>
  <si>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</si>
  <si>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</si>
  <si>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</si>
  <si>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</si>
  <si>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</si>
  <si>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</si>
  <si>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</si>
  <si>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</si>
  <si>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</si>
  <si>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</si>
  <si>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</si>
  <si>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</si>
  <si>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</si>
  <si>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</si>
  <si>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</si>
  <si>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</si>
  <si>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</si>
  <si>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</si>
  <si>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</si>
  <si>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</si>
  <si>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</si>
  <si>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</si>
  <si>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</si>
  <si>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</si>
  <si>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</si>
  <si>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</si>
  <si>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</si>
  <si>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</si>
  <si>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</si>
  <si>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</si>
  <si>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</si>
  <si>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</si>
  <si>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</si>
  <si>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</si>
  <si>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</si>
  <si>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</si>
  <si>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</si>
  <si>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</si>
  <si>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</si>
  <si>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</si>
  <si>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</si>
  <si>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</si>
  <si>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</si>
  <si>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</si>
  <si>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</si>
  <si>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</si>
  <si>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</si>
  <si>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</si>
  <si>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</si>
  <si>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</si>
  <si>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</si>
  <si>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</si>
  <si>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</si>
  <si>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</si>
  <si>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</si>
  <si>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</si>
  <si>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</si>
  <si>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</si>
  <si>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</si>
  <si>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</si>
  <si>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</si>
  <si>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</si>
  <si>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</si>
  <si>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</si>
  <si>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</si>
  <si>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</si>
  <si>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</si>
  <si>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</si>
  <si>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</si>
  <si>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</si>
  <si>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</si>
  <si>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</si>
  <si>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</si>
  <si>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</si>
  <si>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</si>
  <si>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</si>
  <si>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</si>
  <si>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</si>
  <si>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</si>
  <si>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</si>
  <si>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</si>
  <si>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</si>
  <si>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</si>
  <si>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</si>
  <si>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</si>
  <si>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</si>
  <si>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</si>
  <si>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</si>
  <si>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</si>
  <si>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</si>
  <si>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</si>
  <si>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</si>
  <si>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</si>
  <si>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</si>
  <si>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</si>
  <si>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</si>
  <si>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</si>
  <si>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</si>
  <si>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</si>
  <si>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</si>
  <si>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</si>
  <si>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</si>
  <si>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</si>
  <si>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</si>
  <si>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</si>
  <si>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</si>
  <si>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</si>
  <si>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</si>
  <si>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</si>
  <si>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</si>
  <si>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</si>
  <si>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</si>
  <si>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</si>
  <si>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</si>
  <si>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</si>
  <si>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</si>
  <si>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</si>
  <si>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</si>
  <si>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</si>
  <si>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</si>
  <si>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</si>
  <si>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</si>
  <si>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</si>
  <si>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</si>
  <si>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</si>
  <si>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</si>
  <si>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</si>
  <si>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</si>
  <si>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</si>
  <si>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</si>
  <si>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</si>
  <si>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</si>
  <si>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</si>
  <si>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</si>
  <si>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</si>
  <si>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</si>
  <si>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</si>
  <si>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</si>
  <si>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</si>
  <si>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</si>
  <si>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</si>
  <si>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</si>
  <si>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</si>
  <si>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</si>
  <si>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</si>
  <si>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</si>
  <si>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</si>
  <si>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</si>
  <si>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</si>
  <si>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</si>
  <si>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</si>
  <si>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</si>
  <si>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</si>
  <si>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</si>
  <si>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</si>
  <si>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</si>
  <si>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</si>
  <si>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</si>
  <si>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</si>
  <si>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</si>
  <si>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</si>
  <si>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</si>
  <si>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</si>
  <si>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</si>
  <si>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</si>
  <si>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</si>
  <si>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</si>
  <si>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</si>
  <si>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</si>
  <si>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</si>
  <si>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</si>
  <si>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</si>
  <si>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</si>
  <si>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</si>
  <si>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</si>
  <si>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</si>
  <si>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</si>
  <si>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</si>
  <si>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</si>
  <si>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</si>
  <si>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</si>
  <si>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</si>
  <si>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</si>
  <si>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</si>
  <si>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</si>
  <si>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</si>
  <si>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</si>
  <si>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</si>
  <si>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</si>
  <si>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</si>
  <si>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</si>
  <si>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</si>
  <si>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</si>
  <si>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</si>
  <si>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</si>
  <si>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</si>
  <si>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</si>
  <si>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</si>
  <si>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</si>
  <si>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</si>
  <si>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</si>
  <si>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</si>
  <si>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</si>
  <si>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</si>
  <si>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</si>
  <si>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</si>
  <si>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</si>
  <si>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</si>
  <si>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</si>
  <si>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</si>
  <si>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</si>
  <si>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</si>
  <si>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</si>
  <si>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</si>
  <si>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</si>
  <si>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</si>
  <si>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</si>
  <si>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</si>
  <si>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</si>
  <si>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</si>
  <si>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</si>
  <si>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</si>
  <si>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</si>
  <si>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</si>
  <si>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</si>
  <si>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</si>
  <si>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</si>
  <si>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</si>
  <si>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</si>
  <si>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</si>
  <si>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</si>
  <si>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</si>
  <si>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</si>
  <si>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</si>
  <si>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</si>
  <si>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</si>
  <si>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</si>
  <si>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</si>
  <si>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</si>
  <si>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</si>
  <si>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</si>
  <si>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</si>
  <si>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</si>
  <si>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</si>
  <si>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</si>
  <si>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</si>
  <si>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</si>
  <si>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</si>
  <si>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</si>
  <si>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</si>
  <si>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</si>
  <si>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</si>
  <si>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</si>
  <si>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</si>
  <si>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</si>
  <si>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</si>
  <si>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</si>
  <si>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</si>
  <si>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</si>
  <si>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</si>
  <si>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</si>
  <si>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</si>
  <si>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</si>
  <si>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</si>
  <si>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</si>
  <si>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</si>
  <si>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</si>
  <si>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</si>
  <si>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</si>
  <si>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</si>
  <si>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</si>
  <si>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</si>
  <si>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</si>
  <si>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</si>
  <si>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</si>
  <si>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</si>
  <si>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</si>
  <si>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</si>
  <si>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</si>
  <si>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</si>
  <si>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</si>
  <si>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</si>
  <si>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</si>
  <si>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</si>
  <si>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</si>
  <si>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</si>
  <si>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</si>
  <si>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</si>
  <si>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</si>
  <si>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</si>
  <si>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</si>
  <si>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</si>
  <si>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</si>
  <si>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</si>
  <si>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</si>
  <si>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</si>
  <si>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</si>
  <si>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</si>
  <si>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</si>
  <si>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</si>
  <si>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</si>
  <si>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</si>
  <si>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</si>
  <si>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</si>
  <si>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</si>
  <si>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</si>
  <si>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</si>
  <si>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</si>
  <si>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</si>
  <si>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</si>
  <si>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</si>
  <si>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</si>
  <si>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</si>
  <si>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</si>
  <si>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</si>
  <si>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</si>
  <si>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</si>
  <si>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</si>
  <si>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</si>
  <si>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</si>
  <si>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</si>
  <si>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</si>
  <si>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</si>
  <si>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</si>
  <si>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</si>
  <si>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</si>
  <si>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</si>
  <si>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</si>
  <si>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</si>
  <si>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</si>
  <si>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</si>
  <si>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</si>
  <si>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</si>
  <si>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</si>
  <si>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</si>
  <si>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</si>
  <si>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</si>
  <si>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</si>
  <si>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</si>
  <si>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</si>
  <si>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</si>
  <si>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</si>
  <si>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</si>
  <si>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</si>
  <si>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</si>
  <si>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</si>
  <si>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</si>
  <si>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</si>
  <si>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</si>
  <si>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</si>
  <si>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</si>
  <si>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</si>
  <si>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</si>
  <si>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</si>
  <si>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</si>
  <si>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</si>
  <si>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</si>
  <si>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</si>
  <si>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</si>
  <si>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</si>
  <si>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</si>
  <si>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</si>
  <si>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</si>
  <si>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</si>
  <si>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</si>
  <si>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</si>
  <si>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</si>
  <si>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</si>
  <si>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</si>
  <si>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</si>
  <si>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</si>
  <si>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</si>
  <si>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</si>
  <si>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</si>
  <si>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</si>
  <si>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</si>
  <si>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</si>
  <si>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</si>
  <si>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</si>
  <si>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</si>
  <si>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</si>
  <si>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</si>
  <si>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</si>
  <si>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</si>
  <si>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</si>
  <si>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</si>
  <si>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</si>
  <si>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</si>
  <si>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</si>
  <si>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</si>
  <si>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</si>
  <si>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</si>
  <si>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</si>
  <si>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</si>
  <si>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</si>
  <si>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</si>
  <si>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</si>
  <si>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</si>
  <si>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</si>
  <si>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</si>
  <si>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</si>
  <si>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</si>
  <si>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</si>
  <si>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</si>
  <si>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</si>
  <si>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</si>
  <si>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</si>
  <si>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</si>
  <si>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</si>
  <si>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</si>
  <si>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</si>
  <si>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</si>
  <si>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</si>
  <si>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</si>
  <si>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</si>
  <si>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</si>
  <si>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</si>
  <si>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</si>
  <si>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</si>
  <si>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</si>
  <si>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</si>
  <si>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</si>
  <si>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</si>
  <si>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</si>
  <si>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</si>
  <si>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</si>
  <si>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</si>
  <si>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</si>
  <si>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</si>
  <si>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</si>
  <si>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</si>
  <si>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</si>
  <si>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</si>
  <si>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</si>
  <si>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</si>
  <si>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</si>
  <si>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</si>
  <si>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</si>
  <si>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</si>
  <si>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</si>
  <si>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</si>
  <si>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</si>
  <si>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</si>
  <si>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</si>
  <si>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</si>
  <si>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</si>
  <si>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</si>
  <si>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</si>
  <si>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</si>
  <si>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</si>
  <si>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</si>
  <si>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</si>
  <si>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</si>
  <si>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</si>
  <si>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</si>
  <si>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</si>
  <si>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</si>
  <si>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</si>
  <si>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</si>
  <si>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</si>
  <si>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</si>
  <si>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</si>
  <si>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</si>
  <si>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</si>
  <si>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</si>
  <si>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</si>
  <si>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</si>
  <si>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</si>
  <si>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</si>
  <si>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</si>
  <si>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</si>
  <si>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</si>
  <si>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</si>
  <si>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</si>
  <si>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</si>
  <si>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</si>
  <si>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</si>
  <si>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</si>
  <si>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</si>
  <si>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</si>
  <si>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</si>
  <si>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</si>
  <si>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</si>
  <si>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</si>
  <si>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</si>
  <si>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</si>
  <si>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</si>
  <si>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</si>
  <si>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</si>
  <si>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</si>
  <si>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</si>
  <si>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</si>
  <si>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</si>
  <si>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</si>
  <si>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</si>
  <si>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</si>
  <si>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</si>
  <si>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</si>
  <si>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</si>
  <si>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</si>
  <si>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</si>
  <si>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</si>
  <si>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</si>
  <si>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</si>
  <si>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</si>
  <si>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</si>
  <si>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</si>
  <si>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</si>
  <si>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</si>
  <si>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</si>
  <si>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</si>
  <si>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</si>
  <si>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</si>
  <si>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</si>
  <si>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</si>
  <si>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</si>
  <si>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</si>
  <si>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</si>
  <si>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</si>
  <si>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</si>
  <si>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</si>
  <si>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</si>
  <si>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</si>
  <si>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</si>
  <si>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</si>
  <si>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</si>
  <si>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</si>
  <si>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</si>
  <si>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</si>
  <si>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</si>
  <si>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</si>
  <si>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</si>
  <si>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</si>
  <si>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</si>
  <si>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</si>
  <si>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</si>
  <si>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</si>
  <si>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</si>
  <si>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</si>
  <si>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</si>
  <si>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</si>
  <si>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</si>
  <si>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</si>
  <si>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</si>
  <si>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</si>
  <si>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</si>
  <si>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</si>
  <si>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</si>
  <si>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</si>
  <si>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</si>
  <si>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</si>
  <si>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</si>
  <si>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</si>
  <si>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</si>
  <si>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</si>
  <si>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</si>
  <si>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</si>
  <si>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</si>
  <si>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</si>
  <si>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</si>
  <si>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</si>
  <si>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</si>
  <si>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</si>
  <si>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</si>
  <si>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</si>
  <si>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</si>
  <si>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</si>
  <si>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</si>
  <si>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</si>
  <si>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</si>
  <si>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</si>
  <si>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</si>
  <si>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</si>
  <si>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</si>
  <si>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</si>
  <si>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</si>
  <si>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</si>
  <si>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</si>
  <si>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</si>
  <si>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</si>
  <si>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</si>
  <si>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</si>
  <si>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</si>
  <si>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</si>
  <si>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</si>
  <si>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</si>
  <si>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</si>
  <si>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</si>
  <si>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</si>
  <si>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</si>
  <si>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</si>
  <si>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</si>
  <si>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</si>
  <si>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</si>
  <si>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</si>
  <si>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</si>
  <si>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</si>
  <si>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</si>
  <si>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</si>
  <si>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</si>
  <si>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</si>
  <si>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</si>
  <si>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</si>
  <si>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</si>
  <si>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</si>
  <si>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</si>
  <si>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</si>
  <si>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</si>
  <si>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</si>
  <si>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</si>
  <si>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</si>
  <si>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</si>
  <si>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</si>
  <si>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</si>
  <si>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</si>
  <si>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</si>
  <si>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</si>
  <si>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</si>
  <si>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</si>
  <si>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</si>
  <si>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</si>
  <si>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</si>
  <si>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</si>
  <si>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</si>
  <si>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</si>
  <si>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</si>
  <si>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</si>
  <si>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</si>
  <si>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</si>
  <si>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</si>
  <si>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</si>
  <si>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</si>
  <si>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</si>
  <si>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</si>
  <si>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</si>
  <si>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</si>
  <si>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</si>
  <si>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</si>
  <si>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</si>
  <si>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</si>
  <si>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</si>
  <si>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</si>
  <si>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</si>
  <si>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</si>
  <si>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</si>
  <si>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</si>
  <si>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</si>
  <si>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</si>
  <si>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</si>
  <si>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</si>
  <si>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</si>
  <si>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</si>
  <si>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</si>
  <si>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</si>
  <si>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</si>
  <si>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</si>
  <si>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</si>
  <si>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</si>
  <si>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</si>
  <si>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</si>
  <si>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</si>
  <si>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</si>
  <si>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</si>
  <si>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</si>
  <si>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</si>
  <si>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</si>
  <si>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</si>
  <si>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</si>
  <si>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</si>
  <si>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</si>
  <si>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</si>
  <si>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</si>
  <si>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</si>
  <si>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</si>
  <si>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</si>
  <si>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</si>
  <si>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</si>
  <si>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</si>
  <si>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</si>
  <si>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</si>
  <si>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</si>
  <si>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</si>
  <si>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</si>
  <si>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</si>
  <si>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</si>
  <si>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</si>
  <si>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</si>
  <si>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</si>
  <si>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</si>
  <si>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</si>
  <si>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</si>
  <si>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</si>
  <si>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</si>
  <si>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</si>
  <si>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</si>
  <si>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</si>
  <si>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</si>
  <si>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</si>
  <si>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</si>
  <si>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</si>
  <si>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</si>
  <si>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</si>
  <si>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</si>
  <si>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</si>
  <si>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</si>
  <si>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</si>
  <si>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</si>
  <si>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</si>
  <si>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</si>
  <si>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</si>
  <si>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</si>
  <si>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</si>
  <si>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</si>
  <si>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</si>
  <si>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</si>
  <si>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</si>
  <si>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</si>
  <si>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</si>
  <si>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</si>
  <si>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</si>
  <si>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</si>
  <si>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</si>
  <si>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</si>
  <si>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</si>
  <si>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</si>
  <si>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</si>
  <si>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</si>
  <si>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</si>
  <si>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</si>
  <si>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</si>
  <si>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</si>
  <si>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</si>
  <si>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</si>
  <si>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</si>
  <si>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</si>
  <si>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</si>
  <si>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</si>
  <si>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</si>
  <si>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</si>
  <si>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</si>
  <si>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</si>
  <si>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</si>
  <si>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</si>
  <si>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</si>
  <si>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</si>
  <si>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</si>
  <si>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</si>
  <si>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</si>
  <si>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</si>
  <si>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</si>
  <si>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</si>
  <si>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</si>
  <si>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</si>
  <si>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</si>
  <si>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</si>
  <si>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</si>
  <si>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</si>
  <si>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</si>
  <si>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</si>
  <si>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</si>
  <si>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</si>
  <si>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</si>
  <si>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</si>
  <si>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</si>
  <si>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</si>
  <si>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</si>
  <si>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</si>
  <si>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</si>
  <si>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</si>
  <si>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</si>
  <si>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</si>
  <si>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</si>
  <si>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</si>
  <si>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</si>
  <si>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</si>
  <si>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</si>
  <si>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</si>
  <si>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</si>
  <si>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</si>
  <si>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</si>
  <si>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</si>
  <si>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</si>
  <si>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</si>
  <si>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</si>
  <si>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</si>
  <si>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</si>
  <si>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</si>
  <si>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</si>
  <si>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</si>
  <si>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</si>
  <si>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</si>
  <si>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</si>
  <si>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</si>
  <si>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</si>
  <si>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</si>
  <si>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</si>
  <si>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</si>
  <si>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</si>
  <si>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</si>
  <si>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</si>
  <si>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</si>
  <si>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</si>
  <si>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</si>
  <si>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</si>
  <si>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</si>
  <si>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</si>
  <si>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</si>
  <si>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</si>
  <si>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</si>
  <si>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</si>
  <si>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</si>
  <si>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</si>
  <si>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</si>
  <si>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</si>
  <si>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</si>
  <si>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</si>
  <si>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</si>
  <si>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</si>
  <si>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</si>
  <si>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</si>
  <si>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</si>
  <si>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</si>
  <si>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</si>
  <si>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</si>
  <si>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</si>
  <si>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</si>
  <si>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</si>
  <si>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</si>
  <si>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</si>
  <si>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</si>
  <si>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</si>
  <si>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</si>
  <si>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</si>
  <si>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</si>
  <si>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</si>
  <si>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</si>
  <si>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</si>
  <si>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</si>
  <si>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</si>
  <si>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</si>
  <si>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</si>
  <si>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</si>
  <si>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</si>
  <si>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</si>
  <si>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</si>
  <si>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</si>
  <si>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</si>
  <si>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</si>
  <si>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</si>
  <si>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</si>
  <si>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</si>
  <si>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</si>
  <si>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</si>
  <si>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</si>
  <si>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</si>
  <si>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</si>
  <si>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</si>
  <si>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</si>
  <si>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</si>
  <si>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</si>
  <si>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</si>
  <si>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</si>
  <si>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</si>
  <si>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</si>
  <si>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</si>
  <si>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</si>
  <si>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</si>
  <si>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</si>
  <si>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</si>
  <si>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</si>
  <si>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</si>
  <si>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</si>
  <si>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</si>
  <si>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</si>
  <si>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</si>
  <si>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</si>
  <si>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</si>
  <si>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</si>
  <si>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</si>
  <si>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</si>
  <si>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</si>
  <si>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</si>
  <si>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</si>
  <si>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</si>
  <si>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</si>
  <si>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</si>
  <si>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</si>
  <si>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</si>
  <si>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</si>
  <si>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</si>
  <si>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</si>
  <si>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</si>
  <si>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</si>
  <si>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</si>
  <si>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</si>
  <si>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</si>
  <si>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</si>
  <si>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</si>
  <si>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</si>
  <si>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</si>
  <si>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</si>
  <si>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</si>
  <si>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</si>
  <si>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</si>
  <si>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</si>
  <si>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</si>
  <si>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</si>
  <si>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</si>
  <si>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</si>
  <si>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</si>
  <si>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</si>
  <si>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</si>
  <si>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</si>
  <si>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</si>
  <si>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</si>
  <si>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</si>
  <si>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</si>
  <si>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</si>
  <si>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</si>
  <si>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</si>
  <si>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</si>
  <si>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</si>
  <si>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</si>
  <si>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</si>
  <si>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</si>
  <si>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</si>
  <si>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</si>
  <si>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</si>
  <si>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</si>
  <si>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</si>
  <si>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</si>
  <si>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</si>
  <si>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</si>
  <si>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</si>
  <si>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</si>
  <si>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</si>
  <si>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</si>
  <si>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</si>
  <si>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</si>
  <si>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</si>
  <si>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</si>
  <si>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</si>
  <si>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</si>
  <si>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</si>
  <si>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</si>
  <si>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</si>
  <si>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</si>
  <si>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</si>
  <si>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</si>
  <si>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</si>
  <si>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</si>
  <si>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</si>
  <si>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</si>
  <si>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</si>
  <si>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</si>
  <si>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</si>
  <si>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</si>
  <si>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</si>
  <si>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</si>
  <si>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</si>
  <si>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</si>
  <si>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</si>
  <si>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</si>
  <si>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</si>
  <si>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</si>
  <si>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</si>
  <si>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</si>
  <si>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</si>
  <si>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</si>
  <si>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</si>
  <si>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</si>
  <si>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</si>
  <si>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</si>
  <si>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</si>
  <si>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</si>
  <si>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</si>
  <si>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</si>
  <si>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</si>
  <si>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</si>
  <si>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</si>
  <si>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</si>
  <si>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</si>
  <si>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</si>
  <si>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</si>
  <si>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</si>
  <si>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</si>
  <si>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</si>
  <si>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</si>
  <si>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</si>
  <si>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</si>
  <si>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</si>
  <si>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</si>
  <si>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</si>
  <si>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</si>
  <si>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</si>
  <si>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</si>
  <si>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</si>
  <si>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</si>
  <si>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</si>
  <si>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</si>
  <si>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</si>
  <si>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</si>
  <si>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</si>
  <si>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</si>
  <si>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</si>
  <si>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</si>
  <si>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</si>
  <si>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</si>
  <si>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</si>
  <si>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</si>
  <si>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</si>
  <si>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</si>
  <si>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</si>
  <si>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</si>
  <si>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</si>
  <si>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</si>
  <si>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</si>
  <si>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</si>
  <si>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</si>
  <si>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</si>
  <si>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</si>
  <si>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</si>
  <si>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</si>
  <si>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</si>
  <si>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</si>
  <si>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</si>
  <si>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</si>
  <si>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</si>
  <si>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</si>
  <si>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</si>
  <si>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</si>
  <si>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</si>
  <si>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</si>
  <si>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</si>
  <si>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</si>
  <si>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</si>
  <si>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</si>
  <si>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</si>
  <si>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</si>
  <si>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</si>
  <si>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</si>
  <si>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</si>
  <si>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</si>
  <si>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</si>
  <si>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</si>
  <si>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</si>
  <si>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</si>
  <si>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</si>
  <si>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</si>
  <si>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</si>
  <si>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</si>
  <si>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</si>
  <si>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</si>
  <si>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</si>
  <si>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</si>
  <si>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</si>
  <si>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</si>
  <si>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</si>
  <si>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</si>
  <si>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</si>
  <si>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</si>
  <si>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</si>
  <si>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</si>
  <si>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</si>
  <si>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</si>
  <si>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</si>
  <si>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</si>
  <si>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</si>
  <si>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</si>
  <si>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</si>
  <si>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</si>
  <si>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</si>
  <si>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</si>
  <si>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</si>
  <si>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</si>
  <si>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</si>
  <si>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</si>
  <si>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</si>
  <si>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</si>
  <si>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</si>
  <si>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</si>
  <si>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</si>
  <si>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</si>
  <si>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</si>
  <si>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</si>
  <si>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</si>
  <si>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</si>
  <si>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</si>
  <si>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</si>
  <si>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</si>
  <si>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</si>
  <si>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</si>
  <si>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</si>
  <si>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</si>
  <si>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</si>
  <si>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</si>
  <si>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</si>
  <si>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</si>
  <si>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</si>
  <si>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</si>
  <si>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</si>
  <si>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</si>
  <si>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</si>
  <si>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</si>
  <si>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</si>
  <si>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</si>
  <si>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</si>
  <si>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</si>
  <si>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</si>
  <si>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</si>
  <si>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</si>
  <si>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</si>
  <si>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</si>
  <si>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</si>
  <si>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</si>
  <si>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</si>
  <si>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</si>
  <si>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</si>
  <si>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</si>
  <si>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</si>
  <si>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</si>
  <si>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</si>
  <si>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</si>
  <si>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</si>
  <si>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</si>
  <si>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</si>
  <si>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</si>
  <si>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</si>
  <si>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</si>
  <si>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</si>
  <si>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</si>
  <si>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</si>
  <si>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</si>
  <si>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</si>
  <si>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</si>
  <si>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</si>
  <si>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</si>
  <si>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</si>
  <si>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</si>
  <si>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</si>
  <si>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</si>
  <si>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</si>
  <si>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</si>
  <si>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</si>
  <si>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</si>
  <si>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</si>
  <si>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</si>
  <si>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</si>
  <si>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</si>
  <si>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</si>
  <si>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</si>
  <si>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</si>
  <si>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</si>
  <si>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</si>
  <si>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</si>
  <si>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</si>
  <si>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</si>
  <si>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</si>
  <si>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</si>
  <si>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</si>
  <si>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</si>
  <si>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</si>
  <si>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</si>
  <si>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</si>
  <si>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</si>
  <si>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</si>
  <si>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</si>
  <si>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</si>
  <si>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</si>
  <si>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</si>
  <si>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</si>
  <si>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</si>
  <si>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</si>
  <si>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</si>
  <si>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</si>
  <si>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</si>
  <si>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</si>
  <si>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</si>
  <si>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</si>
  <si>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</si>
  <si>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</si>
  <si>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</si>
  <si>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</si>
  <si>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</si>
  <si>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</si>
  <si>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</si>
  <si>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</si>
  <si>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</si>
  <si>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</si>
  <si>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</si>
  <si>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</si>
  <si>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</si>
  <si>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</si>
  <si>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</si>
  <si>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</si>
  <si>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</si>
  <si>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</si>
  <si>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</si>
  <si>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</si>
  <si>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</si>
  <si>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</si>
  <si>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</si>
  <si>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</si>
  <si>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</si>
  <si>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</si>
  <si>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</si>
  <si>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</si>
  <si>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</si>
  <si>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</si>
  <si>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</si>
  <si>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</si>
  <si>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</si>
  <si>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</si>
  <si>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</si>
  <si>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</si>
  <si>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</si>
  <si>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</si>
  <si>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</si>
  <si>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</si>
  <si>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</si>
  <si>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</si>
  <si>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</si>
  <si>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</si>
  <si>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</si>
  <si>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</si>
  <si>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</si>
  <si>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</si>
  <si>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</si>
  <si>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</si>
  <si>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</si>
  <si>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</si>
  <si>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</si>
  <si>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</si>
  <si>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</si>
  <si>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</si>
  <si>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</si>
  <si>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</si>
  <si>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</si>
  <si>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</si>
  <si>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</si>
  <si>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</si>
  <si>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</si>
  <si>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</si>
  <si>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</si>
  <si>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</si>
  <si>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</si>
  <si>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</si>
  <si>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</si>
  <si>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</si>
  <si>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</si>
  <si>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</si>
  <si>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</si>
  <si>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</si>
  <si>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</si>
  <si>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</si>
  <si>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</si>
  <si>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</si>
  <si>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</si>
  <si>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</si>
  <si>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</si>
  <si>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</si>
  <si>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</si>
  <si>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</si>
  <si>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</si>
  <si>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</si>
  <si>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</si>
  <si>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</si>
  <si>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</si>
  <si>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</si>
  <si>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</si>
  <si>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</si>
  <si>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</si>
  <si>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</si>
  <si>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</si>
  <si>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</si>
  <si>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</si>
  <si>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</si>
  <si>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</si>
  <si>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</si>
  <si>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</si>
  <si>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</si>
  <si>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</si>
  <si>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</si>
  <si>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</si>
  <si>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</si>
  <si>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</si>
  <si>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</si>
  <si>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</si>
  <si>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</si>
  <si>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</si>
  <si>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</si>
  <si>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</si>
  <si>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</si>
  <si>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</si>
  <si>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</si>
  <si>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</si>
  <si>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</si>
  <si>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</si>
  <si>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</si>
  <si>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</si>
  <si>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</si>
  <si>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</si>
  <si>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</si>
  <si>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</si>
  <si>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</si>
  <si>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</si>
  <si>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</si>
  <si>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</si>
  <si>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</si>
  <si>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</si>
  <si>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</si>
  <si>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</si>
  <si>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</si>
  <si>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</si>
  <si>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</si>
  <si>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</si>
  <si>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</si>
  <si>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</si>
  <si>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</si>
  <si>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</si>
  <si>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</si>
  <si>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</si>
  <si>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</si>
  <si>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</si>
  <si>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</si>
  <si>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</si>
  <si>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</si>
  <si>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</si>
  <si>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</si>
  <si>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</si>
  <si>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</si>
  <si>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</si>
  <si>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</si>
  <si>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</si>
  <si>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</si>
  <si>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</si>
  <si>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</si>
  <si>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</si>
  <si>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</si>
  <si>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</si>
  <si>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</si>
  <si>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</si>
  <si>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</si>
  <si>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</si>
  <si>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</si>
  <si>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</si>
  <si>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</si>
  <si>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</si>
  <si>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</si>
  <si>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</si>
  <si>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</si>
  <si>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</si>
  <si>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</si>
  <si>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</si>
  <si>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</si>
  <si>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</si>
  <si>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</si>
  <si>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</si>
  <si>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</si>
  <si>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</si>
  <si>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</si>
  <si>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</si>
  <si>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</si>
  <si>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</si>
  <si>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</si>
  <si>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</si>
  <si>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</si>
  <si>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</si>
  <si>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</si>
  <si>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</si>
  <si>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</si>
  <si>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</si>
  <si>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</si>
  <si>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</si>
  <si>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</si>
  <si>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</si>
  <si>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</si>
  <si>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</si>
  <si>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</si>
  <si>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</si>
  <si>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</si>
  <si>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</si>
  <si>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</si>
  <si>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</si>
  <si>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</si>
  <si>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</si>
  <si>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</si>
  <si>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</si>
  <si>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</si>
  <si>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</si>
  <si>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</si>
  <si>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</si>
  <si>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</si>
  <si>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</si>
  <si>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</si>
  <si>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</si>
  <si>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</si>
  <si>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</si>
  <si>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</si>
  <si>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</si>
  <si>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</si>
  <si>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</si>
  <si>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</si>
  <si>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</si>
  <si>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</si>
  <si>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</si>
  <si>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</si>
  <si>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</si>
  <si>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</si>
  <si>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</si>
  <si>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</si>
  <si>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</si>
  <si>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</si>
  <si>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</si>
  <si>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</si>
  <si>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</si>
  <si>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</si>
  <si>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</si>
  <si>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</si>
  <si>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</si>
  <si>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</si>
  <si>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</si>
  <si>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</si>
  <si>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</si>
  <si>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</si>
  <si>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</si>
  <si>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</si>
  <si>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</si>
  <si>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</si>
  <si>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</si>
  <si>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</si>
  <si>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</si>
  <si>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</si>
  <si>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</si>
  <si>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</si>
  <si>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</si>
  <si>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</si>
  <si>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</si>
  <si>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</si>
  <si>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</si>
  <si>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</si>
  <si>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</si>
  <si>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</si>
  <si>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</si>
  <si>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</si>
  <si>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</si>
  <si>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</si>
  <si>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</si>
  <si>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</si>
  <si>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</si>
  <si>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</si>
  <si>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</si>
  <si>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</si>
  <si>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</si>
  <si>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</si>
  <si>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</si>
  <si>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</si>
  <si>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</si>
  <si>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</si>
  <si>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</si>
  <si>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</si>
  <si>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</si>
  <si>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</si>
  <si>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</si>
  <si>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</si>
  <si>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</si>
  <si>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</si>
  <si>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</si>
  <si>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</si>
  <si>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</si>
  <si>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</si>
  <si>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</si>
  <si>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</si>
  <si>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</si>
  <si>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</si>
  <si>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</si>
  <si>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</si>
  <si>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</si>
  <si>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</si>
  <si>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</si>
  <si>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</si>
  <si>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</si>
  <si>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</si>
  <si>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</si>
  <si>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</si>
  <si>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</si>
  <si>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</si>
  <si>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</si>
  <si>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</si>
  <si>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</si>
  <si>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</si>
  <si>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</si>
  <si>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</si>
  <si>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</si>
  <si>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</si>
  <si>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</si>
  <si>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</si>
  <si>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</si>
  <si>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</si>
  <si>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</si>
  <si>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</si>
  <si>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</si>
  <si>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</si>
  <si>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</si>
  <si>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</si>
  <si>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</si>
  <si>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</si>
  <si>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</si>
  <si>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</si>
  <si>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</si>
  <si>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</si>
  <si>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</si>
  <si>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</si>
  <si>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</si>
  <si>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</si>
  <si>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</si>
  <si>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</si>
  <si>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</si>
  <si>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</si>
  <si>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</si>
  <si>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</si>
  <si>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</si>
  <si>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</si>
  <si>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</si>
  <si>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</si>
  <si>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</si>
  <si>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</si>
  <si>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</si>
  <si>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</si>
  <si>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</si>
  <si>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</si>
  <si>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</si>
  <si>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</si>
  <si>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</si>
  <si>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</si>
  <si>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</si>
  <si>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</si>
  <si>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</si>
  <si>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</si>
  <si>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</si>
  <si>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</si>
  <si>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</si>
  <si>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</si>
  <si>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</si>
  <si>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</si>
  <si>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</si>
  <si>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</si>
  <si>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</si>
  <si>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</si>
  <si>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</si>
  <si>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</si>
  <si>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</si>
  <si>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</si>
  <si>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</si>
  <si>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</si>
  <si>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</si>
  <si>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</si>
  <si>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</si>
  <si>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</si>
  <si>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</si>
  <si>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</si>
  <si>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</si>
  <si>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</si>
  <si>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</si>
  <si>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</si>
  <si>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</si>
  <si>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</si>
  <si>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</si>
  <si>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</si>
  <si>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</si>
  <si>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</si>
  <si>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</si>
  <si>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</si>
  <si>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</si>
  <si>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</si>
  <si>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</si>
  <si>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</si>
  <si>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</si>
  <si>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</si>
  <si>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</si>
  <si>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</si>
  <si>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</si>
  <si>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</si>
  <si>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</si>
  <si>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</si>
  <si>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</si>
  <si>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</si>
  <si>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</si>
  <si>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</si>
  <si>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</si>
  <si>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</si>
  <si>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</si>
  <si>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</si>
  <si>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</si>
  <si>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</si>
  <si>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</si>
  <si>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</si>
  <si>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</si>
  <si>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</si>
  <si>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</si>
  <si>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</si>
  <si>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</si>
  <si>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</si>
  <si>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</si>
  <si>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</si>
  <si>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</si>
  <si>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</si>
  <si>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</si>
  <si>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</si>
  <si>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</si>
  <si>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</si>
  <si>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</si>
  <si>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</si>
  <si>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</si>
  <si>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</si>
  <si>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</si>
  <si>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</si>
  <si>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</si>
  <si>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</si>
  <si>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</si>
  <si>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</si>
  <si>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</si>
  <si>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</si>
  <si>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</si>
  <si>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</si>
  <si>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</si>
  <si>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</si>
  <si>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</si>
  <si>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</si>
  <si>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</si>
  <si>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</si>
  <si>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</si>
  <si>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</si>
  <si>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</si>
  <si>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</si>
  <si>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</si>
  <si>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</si>
  <si>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</si>
  <si>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</si>
  <si>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</si>
  <si>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</si>
  <si>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</si>
  <si>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</si>
  <si>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</si>
  <si>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</si>
  <si>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</si>
  <si>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</si>
  <si>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</si>
  <si>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</si>
  <si>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</si>
  <si>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</si>
  <si>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</si>
  <si>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</si>
  <si>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</si>
  <si>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</si>
  <si>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</si>
  <si>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</si>
  <si>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</si>
  <si>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</si>
  <si>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</si>
  <si>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</si>
  <si>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</si>
  <si>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</si>
  <si>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</si>
  <si>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</si>
  <si>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</si>
  <si>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</si>
  <si>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</si>
  <si>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</si>
  <si>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</si>
  <si>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</si>
  <si>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</si>
  <si>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</si>
  <si>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</si>
  <si>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</si>
  <si>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</si>
  <si>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</si>
  <si>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</si>
  <si>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</si>
  <si>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</si>
  <si>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</si>
  <si>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</si>
  <si>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</si>
  <si>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</si>
  <si>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</si>
  <si>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</si>
  <si>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</si>
  <si>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</si>
  <si>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</si>
  <si>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</si>
  <si>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</si>
  <si>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</si>
  <si>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</si>
  <si>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</si>
  <si>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</si>
  <si>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</si>
  <si>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</si>
  <si>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</si>
  <si>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</si>
  <si>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</si>
  <si>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</si>
  <si>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</si>
  <si>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</si>
  <si>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</si>
  <si>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</si>
  <si>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</si>
  <si>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</si>
  <si>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</si>
  <si>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</si>
  <si>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</si>
  <si>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</si>
  <si>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</si>
  <si>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</si>
  <si>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</si>
  <si>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</si>
  <si>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</si>
  <si>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</si>
  <si>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</si>
  <si>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</si>
  <si>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</si>
  <si>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</si>
  <si>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</si>
  <si>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</si>
  <si>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</si>
  <si>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</si>
  <si>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</si>
  <si>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</si>
  <si>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</si>
  <si>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</si>
  <si>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</si>
  <si>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</si>
  <si>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</si>
  <si>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</si>
  <si>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</si>
  <si>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</si>
  <si>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</si>
  <si>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</si>
  <si>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</si>
  <si>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</si>
  <si>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</si>
  <si>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</si>
  <si>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</si>
  <si>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</si>
  <si>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</si>
  <si>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</si>
  <si>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</si>
  <si>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</si>
  <si>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</si>
  <si>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</si>
  <si>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</si>
  <si>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</si>
  <si>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</si>
  <si>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</si>
  <si>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</si>
  <si>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</si>
  <si>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</si>
  <si>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</si>
  <si>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</si>
  <si>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</si>
  <si>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</si>
  <si>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</si>
  <si>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</si>
  <si>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</si>
  <si>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</si>
  <si>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</si>
  <si>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</si>
  <si>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</si>
  <si>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</si>
  <si>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</si>
  <si>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</si>
  <si>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</si>
  <si>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</si>
  <si>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</si>
  <si>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</si>
  <si>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</si>
  <si>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</si>
  <si>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</si>
  <si>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</si>
  <si>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</si>
  <si>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</si>
  <si>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</si>
  <si>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</si>
  <si>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</si>
  <si>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</si>
  <si>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</si>
  <si>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</si>
  <si>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</si>
  <si>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</si>
  <si>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</si>
  <si>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</si>
  <si>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</si>
  <si>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</si>
  <si>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</si>
  <si>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</si>
  <si>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</si>
  <si>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</si>
  <si>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</si>
  <si>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</si>
  <si>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</si>
  <si>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</si>
  <si>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</si>
  <si>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</si>
  <si>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</si>
  <si>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</si>
  <si>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</si>
  <si>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</si>
  <si>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</si>
  <si>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</si>
  <si>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</si>
  <si>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</si>
  <si>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</si>
  <si>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</si>
  <si>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</si>
  <si>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</si>
  <si>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</si>
  <si>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</si>
  <si>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</si>
  <si>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</si>
  <si>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</si>
  <si>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</si>
  <si>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</si>
  <si>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</si>
  <si>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</si>
  <si>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</si>
  <si>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</si>
  <si>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</si>
  <si>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</si>
  <si>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</si>
  <si>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</si>
  <si>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</si>
  <si>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</si>
  <si>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</si>
  <si>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</si>
  <si>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</si>
  <si>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</si>
  <si>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</si>
  <si>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</si>
  <si>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</si>
  <si>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</si>
  <si>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</si>
  <si>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</si>
  <si>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</si>
  <si>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</si>
  <si>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</si>
  <si>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</si>
  <si>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</si>
  <si>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</si>
  <si>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</si>
  <si>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</si>
  <si>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</si>
  <si>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</si>
  <si>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</si>
  <si>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</si>
  <si>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</si>
  <si>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</si>
  <si>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</si>
  <si>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</si>
  <si>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</si>
  <si>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</si>
  <si>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</si>
  <si>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</si>
  <si>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</si>
  <si>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</si>
  <si>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</si>
  <si>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</si>
  <si>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</si>
  <si>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</si>
  <si>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</si>
  <si>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</si>
  <si>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</si>
  <si>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</si>
  <si>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</si>
  <si>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</si>
  <si>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</si>
  <si>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</si>
  <si>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</si>
  <si>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</si>
  <si>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</si>
  <si>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</si>
  <si>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</si>
  <si>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</si>
  <si>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</si>
  <si>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</si>
  <si>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</si>
  <si>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</si>
  <si>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</si>
  <si>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</si>
  <si>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</si>
  <si>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</si>
  <si>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</si>
  <si>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</si>
  <si>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</si>
  <si>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</si>
  <si>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</si>
  <si>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</si>
  <si>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</si>
  <si>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</si>
  <si>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</si>
  <si>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</si>
  <si>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</si>
  <si>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</si>
  <si>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</si>
  <si>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</si>
  <si>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</si>
  <si>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</si>
  <si>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</si>
  <si>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</si>
  <si>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</si>
  <si>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</si>
  <si>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</si>
  <si>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</si>
  <si>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</si>
  <si>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</si>
  <si>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</si>
  <si>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</si>
  <si>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</si>
  <si>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</si>
  <si>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</si>
  <si>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</si>
  <si>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</si>
  <si>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</si>
  <si>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</si>
  <si>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</si>
  <si>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</si>
  <si>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</si>
  <si>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</si>
  <si>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</si>
  <si>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</si>
  <si>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</si>
  <si>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</si>
  <si>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</si>
  <si>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</si>
  <si>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</si>
  <si>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</si>
  <si>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</si>
  <si>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</si>
  <si>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</si>
  <si>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</si>
  <si>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</si>
  <si>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</si>
  <si>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</si>
  <si>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</si>
  <si>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</si>
  <si>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</si>
  <si>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</si>
  <si>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</si>
  <si>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</si>
  <si>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</si>
  <si>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</si>
  <si>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</si>
  <si>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</si>
  <si>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</si>
  <si>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</si>
  <si>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</si>
  <si>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</si>
  <si>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</si>
  <si>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</si>
  <si>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</si>
  <si>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</si>
  <si>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</si>
  <si>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</si>
  <si>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</si>
  <si>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</si>
  <si>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</si>
  <si>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</si>
  <si>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</si>
  <si>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</si>
  <si>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</si>
  <si>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</si>
  <si>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</si>
  <si>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</si>
  <si>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</si>
  <si>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</si>
  <si>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</si>
  <si>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</si>
  <si>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</si>
  <si>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</si>
  <si>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</si>
  <si>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</si>
  <si>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</si>
  <si>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</si>
  <si>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</si>
  <si>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</si>
  <si>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</si>
  <si>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</si>
  <si>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</si>
  <si>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</si>
  <si>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</si>
  <si>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</si>
  <si>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</si>
  <si>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</si>
  <si>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</si>
  <si>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</si>
  <si>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</si>
  <si>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</si>
  <si>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</si>
  <si>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</si>
  <si>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</si>
  <si>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</si>
  <si>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</si>
  <si>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</si>
  <si>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</si>
  <si>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</si>
  <si>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</si>
  <si>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</si>
  <si>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</si>
  <si>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</si>
  <si>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</si>
  <si>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</si>
  <si>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</si>
  <si>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</si>
  <si>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</si>
  <si>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</si>
  <si>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</si>
  <si>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</si>
  <si>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</si>
  <si>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</si>
  <si>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</si>
  <si>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</si>
  <si>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</si>
  <si>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</si>
  <si>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</si>
  <si>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</si>
  <si>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</si>
  <si>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</si>
  <si>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</si>
  <si>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</si>
  <si>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</si>
  <si>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</si>
  <si>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</si>
  <si>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</si>
  <si>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</si>
  <si>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</si>
  <si>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</si>
  <si>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</si>
  <si>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</si>
  <si>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</si>
  <si>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</si>
  <si>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</si>
  <si>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</si>
  <si>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</si>
  <si>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</si>
  <si>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</si>
  <si>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</si>
  <si>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</si>
  <si>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</si>
  <si>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</si>
  <si>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</si>
  <si>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</si>
  <si>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</si>
  <si>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</si>
  <si>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</si>
  <si>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</si>
  <si>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</si>
  <si>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</si>
  <si>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</si>
  <si>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</si>
  <si>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</si>
  <si>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</si>
  <si>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</si>
  <si>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</si>
  <si>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</si>
  <si>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</si>
  <si>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</si>
  <si>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</si>
  <si>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</si>
  <si>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</si>
  <si>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</si>
  <si>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</si>
  <si>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</si>
  <si>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</si>
  <si>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</si>
  <si>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</si>
  <si>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</si>
  <si>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</si>
  <si>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</si>
  <si>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</si>
  <si>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</si>
  <si>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</si>
  <si>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</si>
  <si>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</si>
  <si>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</si>
  <si>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</si>
  <si>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</si>
  <si>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</si>
  <si>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</si>
  <si>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</si>
  <si>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</si>
  <si>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</si>
  <si>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</si>
  <si>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</si>
  <si>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</si>
  <si>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</si>
  <si>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</si>
  <si>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</si>
  <si>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</si>
  <si>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</si>
  <si>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</si>
  <si>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</si>
  <si>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</si>
  <si>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</si>
  <si>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</si>
  <si>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</si>
  <si>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</si>
  <si>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</si>
  <si>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</si>
  <si>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</si>
  <si>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</si>
  <si>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</si>
  <si>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</si>
  <si>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</si>
  <si>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</si>
  <si>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</si>
  <si>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</si>
  <si>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</si>
  <si>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</si>
  <si>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</si>
  <si>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</si>
  <si>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</si>
  <si>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</si>
  <si>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</si>
  <si>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</si>
  <si>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</si>
  <si>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</si>
  <si>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</si>
  <si>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</si>
  <si>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</si>
  <si>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</si>
  <si>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</si>
  <si>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</si>
  <si>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</si>
  <si>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</si>
  <si>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</si>
  <si>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</si>
  <si>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</si>
  <si>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</si>
  <si>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</si>
  <si>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</si>
  <si>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</si>
  <si>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</si>
  <si>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</si>
  <si>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</si>
  <si>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</si>
  <si>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</si>
  <si>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</si>
  <si>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</si>
  <si>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</si>
  <si>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</si>
  <si>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</si>
  <si>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</si>
  <si>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</si>
  <si>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</si>
  <si>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</si>
  <si>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</si>
  <si>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</si>
  <si>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</si>
  <si>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</si>
  <si>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</si>
  <si>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</si>
  <si>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</si>
  <si>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</si>
  <si>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</si>
  <si>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</si>
  <si>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</si>
  <si>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</si>
  <si>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</si>
  <si>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</si>
  <si>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</si>
  <si>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</si>
  <si>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</si>
  <si>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</si>
  <si>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</si>
  <si>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</si>
  <si>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</si>
  <si>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</si>
  <si>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</si>
  <si>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</si>
  <si>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+</t>
  </si>
  <si>
    <t>TSO001089578</t>
  </si>
  <si>
    <t>TSO001089579</t>
  </si>
  <si>
    <t>TSO001089582</t>
  </si>
  <si>
    <t>TSO001089586</t>
  </si>
  <si>
    <t>TSO001089587</t>
  </si>
  <si>
    <t>TSO001089588</t>
  </si>
  <si>
    <t>TSO001089591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</si>
</sst>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6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46" fillId="0" borderId="0" xfId="0" applyFont="1"/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81"/>
  <sheetViews>
    <sheetView tabSelected="1" zoomScale="80" zoomScaleNormal="80" workbookViewId="0">
      <pane ySplit="2" topLeftCell="A7049" activePane="bottomLeft" state="frozen"/>
      <selection pane="bottomLeft" activeCell="P7062" sqref="P706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7" t="s">
        <v>0</v>
      </c>
      <c r="B1" s="1007"/>
      <c r="C1" s="1007"/>
      <c r="D1" s="1007"/>
      <c r="E1" s="1007"/>
      <c r="F1" s="1007"/>
      <c r="G1" s="1007"/>
      <c r="H1" s="1007"/>
      <c r="I1" s="1007"/>
      <c r="J1" s="1007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8">
        <v>1</v>
      </c>
      <c r="B3" s="100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8"/>
      <c r="B4" s="100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4">
        <v>3</v>
      </c>
      <c r="B6" s="100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4"/>
      <c r="B7" s="100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4"/>
      <c r="B8" s="100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4">
        <v>5</v>
      </c>
      <c r="B10" s="100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4"/>
      <c r="B11" s="100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2">
        <v>8</v>
      </c>
      <c r="B14" s="100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2"/>
      <c r="B15" s="100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4">
        <v>11</v>
      </c>
      <c r="B18" s="100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4"/>
      <c r="B19" s="100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4"/>
      <c r="B20" s="100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4"/>
      <c r="B21" s="100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4">
        <v>13</v>
      </c>
      <c r="B23" s="100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4"/>
      <c r="B24" s="100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2">
        <v>14</v>
      </c>
      <c r="B25" s="100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2"/>
      <c r="B26" s="100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4">
        <v>15</v>
      </c>
      <c r="B27" s="100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4"/>
      <c r="B28" s="100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4"/>
      <c r="B29" s="100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4"/>
      <c r="B30" s="100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2">
        <v>16</v>
      </c>
      <c r="B31" s="100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2"/>
      <c r="B32" s="100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2"/>
      <c r="B33" s="100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2"/>
      <c r="B34" s="100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4">
        <v>17</v>
      </c>
      <c r="B35" s="100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4"/>
      <c r="B36" s="100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4">
        <v>21</v>
      </c>
      <c r="B40" s="100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4"/>
      <c r="B41" s="100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4">
        <v>23</v>
      </c>
      <c r="B43" s="100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4"/>
      <c r="B44" s="100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4"/>
      <c r="B45" s="100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2">
        <v>24</v>
      </c>
      <c r="B46" s="100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2"/>
      <c r="B47" s="100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4">
        <v>25</v>
      </c>
      <c r="B48" s="100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4"/>
      <c r="B49" s="100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4"/>
      <c r="B50" s="100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2">
        <v>26</v>
      </c>
      <c r="B51" s="100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2"/>
      <c r="B52" s="100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4">
        <v>29</v>
      </c>
      <c r="B55" s="100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4"/>
      <c r="B56" s="100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2">
        <v>32</v>
      </c>
      <c r="B59" s="100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2"/>
      <c r="B60" s="100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2">
        <v>34</v>
      </c>
      <c r="B62" s="100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2"/>
      <c r="B63" s="100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2"/>
      <c r="B64" s="100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2"/>
      <c r="B65" s="100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2"/>
      <c r="B66" s="100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4">
        <v>35</v>
      </c>
      <c r="B67" s="100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4"/>
      <c r="B68" s="100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91">
        <v>40</v>
      </c>
      <c r="B73" s="100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91"/>
      <c r="B74" s="100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90">
        <v>41</v>
      </c>
      <c r="B75" s="100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90"/>
      <c r="B76" s="100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90"/>
      <c r="B77" s="100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91">
        <v>42</v>
      </c>
      <c r="B78" s="100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91"/>
      <c r="B79" s="100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90">
        <v>49</v>
      </c>
      <c r="B86" s="100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90"/>
      <c r="B87" s="100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90"/>
      <c r="B88" s="100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91">
        <v>50</v>
      </c>
      <c r="B89" s="100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91"/>
      <c r="B90" s="100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90">
        <v>51</v>
      </c>
      <c r="B91" s="100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90"/>
      <c r="B92" s="100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90">
        <v>53</v>
      </c>
      <c r="B94" s="100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90"/>
      <c r="B95" s="100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91">
        <v>54</v>
      </c>
      <c r="B96" s="100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91"/>
      <c r="B97" s="100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91"/>
      <c r="B98" s="100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91">
        <v>58</v>
      </c>
      <c r="B102" s="100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91"/>
      <c r="B103" s="100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91">
        <v>60</v>
      </c>
      <c r="B105" s="100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91"/>
      <c r="B106" s="100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91"/>
      <c r="B107" s="100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90">
        <v>61</v>
      </c>
      <c r="B108" s="100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90"/>
      <c r="B109" s="100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90"/>
      <c r="B110" s="100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91">
        <v>64</v>
      </c>
      <c r="B113" s="100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91"/>
      <c r="B114" s="100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91">
        <v>66</v>
      </c>
      <c r="B116" s="100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91"/>
      <c r="B117" s="100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90">
        <v>67</v>
      </c>
      <c r="B118" s="100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90"/>
      <c r="B119" s="100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90"/>
      <c r="B120" s="100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91">
        <v>68</v>
      </c>
      <c r="B121" s="100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91"/>
      <c r="B122" s="100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90">
        <v>69</v>
      </c>
      <c r="B123" s="100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90"/>
      <c r="B124" s="100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91">
        <v>72</v>
      </c>
      <c r="B127" s="1002" t="s">
        <v>65</v>
      </c>
      <c r="C127" s="119" t="s">
        <v>26</v>
      </c>
      <c r="D127" s="120">
        <v>3.3</v>
      </c>
      <c r="E127" s="121"/>
      <c r="F127" s="122" t="s">
        <v>30</v>
      </c>
      <c r="G127" s="100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91"/>
      <c r="B128" s="1002"/>
      <c r="C128" s="103" t="s">
        <v>26</v>
      </c>
      <c r="D128" s="88">
        <v>12.9</v>
      </c>
      <c r="E128" s="106"/>
      <c r="F128" s="107" t="s">
        <v>16</v>
      </c>
      <c r="G128" s="100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91">
        <v>76</v>
      </c>
      <c r="B132" s="100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91"/>
      <c r="B133" s="100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91"/>
      <c r="B134" s="100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91"/>
      <c r="B135" s="100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91">
        <v>78</v>
      </c>
      <c r="B137" s="101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91"/>
      <c r="B138" s="101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9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9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9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9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9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9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9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9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9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9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9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9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9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9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9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9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9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9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9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9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9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9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9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9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9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9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9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9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9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9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9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9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9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9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9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9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9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9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9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9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9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9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9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9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9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9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9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9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9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9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9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9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9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9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9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9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9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9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9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9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9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9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9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9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9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9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9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9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9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9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9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9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9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9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9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9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9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9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9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9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9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9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9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9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9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9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9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9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9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9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9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9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9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9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9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9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9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1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9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1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9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9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9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9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9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9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9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9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9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9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9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9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9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9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9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9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9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9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9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9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9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9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9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9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9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9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9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9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9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9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9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9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9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9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9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9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9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9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9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9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9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9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9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9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9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9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9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9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9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9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9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9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9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9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9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9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9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9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9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9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9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9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9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9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9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9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9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9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9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9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9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9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9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9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9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9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9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9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9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9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9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9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9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9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9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9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9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9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9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9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9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9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9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9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9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9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9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9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9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9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9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9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9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9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9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9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9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9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9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9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9" t="s">
        <v>133</v>
      </c>
      <c r="J420" s="100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9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9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9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9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9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9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9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9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9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9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9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9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9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9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9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9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9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9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9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9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9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9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9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9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9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9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9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9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9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9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9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9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9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9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9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9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9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9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9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9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9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9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9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9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9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9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9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9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9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9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9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9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9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9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9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9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9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9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9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9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1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9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1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9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1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9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1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9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1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9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9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9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9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9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9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9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9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9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9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9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9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9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9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9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9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9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9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9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9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9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9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9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9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9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9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9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9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9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9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9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9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9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9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9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9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9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9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9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9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9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9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9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9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9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9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9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9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9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9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9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9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9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9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9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9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9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9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9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9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9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9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9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9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9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9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9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9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9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9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9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9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9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9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9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9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9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9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9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9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9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9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9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9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9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9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9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9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9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9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9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9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9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9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9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9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9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9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9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9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9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9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9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9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9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9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9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9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9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9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9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9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9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9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9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9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9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9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9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9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9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9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1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9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1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9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9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9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9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9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9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9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9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9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9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9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9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9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9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9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9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9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9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9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9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9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9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9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9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9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9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9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9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9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9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9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9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9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9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9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9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9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9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9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9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9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9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9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9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9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9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9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9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9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9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9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9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9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9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9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9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9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9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9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9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9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9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9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9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9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1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9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1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9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9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9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9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9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9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9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9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9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9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9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9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9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9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9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9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0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0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0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0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0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0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9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9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9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9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9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9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9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9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9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9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9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9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9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9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9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9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9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9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9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9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9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9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9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9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9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9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9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9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9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9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9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9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9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9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9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9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9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9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9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9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9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9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9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9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9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9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9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9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9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9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9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9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9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9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9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9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9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9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9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9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9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9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9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9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9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9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9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9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9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9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9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9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9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9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9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9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9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9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9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9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9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9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9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9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9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9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9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9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9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9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9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9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9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9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9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9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9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9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9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9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9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9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9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9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9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9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9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9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9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9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9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9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9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9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9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9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9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9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9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9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9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9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9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9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9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9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9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9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9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9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9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9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9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9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9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9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9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9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9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9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9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9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9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9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9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9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9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9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9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9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9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9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9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9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9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9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9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9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9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9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9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9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9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9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9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9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9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9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9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9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9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9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9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9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9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9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9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9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9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9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9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9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9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9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9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9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9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9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9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9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9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9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9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9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9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9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9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9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9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9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9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9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9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9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9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9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9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9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9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9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9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9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9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9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9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9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9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9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9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9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9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9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9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9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9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9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9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9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9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9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9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9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9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9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9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9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9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9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9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9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9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9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9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9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9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9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9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9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9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9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9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9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9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9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9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9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9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9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9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9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9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9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9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9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9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9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9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9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9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9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9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9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9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9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9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9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9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9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9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9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9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9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9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9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9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9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9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9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9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9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9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9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9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9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9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9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9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9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9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9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9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9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9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9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9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9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9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9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9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9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9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9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9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9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9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9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9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9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9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9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9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9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9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9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9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9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9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9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9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9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9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9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9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9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9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9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9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9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9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9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9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9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9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9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9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9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9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9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9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9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9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9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9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9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9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9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9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9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9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9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9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9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9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9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9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9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9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9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9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9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9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9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9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9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9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9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9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9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9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9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9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9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9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9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9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9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9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9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9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9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9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9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9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9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9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9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9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9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9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9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9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9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9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9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9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9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9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9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9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9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9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9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9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9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9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9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9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9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9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9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9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9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9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9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9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9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9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9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9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9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9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9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9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9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9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9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9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9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9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9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9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9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9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9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9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9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9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9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9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9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9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9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9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9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9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9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9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9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9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9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9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9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9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9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9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9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9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9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9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9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9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9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9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9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9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9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9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9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9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9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9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9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9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9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9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9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9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9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9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9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9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9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9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9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9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9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9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9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9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9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9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9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9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9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9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9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9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9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9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9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9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9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9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9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9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9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9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9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9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9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9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9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9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9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9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9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9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9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9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9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9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9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9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9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9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9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9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9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9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9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9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9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9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9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9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9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9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9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9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9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9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9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9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9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9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9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9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9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9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9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9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9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9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9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9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9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9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9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9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9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9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9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9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9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9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9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9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9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9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9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9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9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9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9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9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9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9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9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9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9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9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9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9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9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9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9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9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9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9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9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9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9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9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9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9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9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9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9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9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9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9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9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9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9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9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9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9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9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9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9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9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9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9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9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9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9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9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9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9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9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9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9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9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9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9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9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9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9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9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9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9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9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9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9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9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9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9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9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9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9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9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9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9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9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9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9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9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9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9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9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9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9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9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9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9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9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9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9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9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9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9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9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9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9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9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9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9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9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9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9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9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9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9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9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9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9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9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9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9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9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9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9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9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9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9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9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9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9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9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9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9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9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9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9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9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9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9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9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9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9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9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9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9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9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9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9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9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9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9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9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9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9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9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9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9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9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9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9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9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9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9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9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9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9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9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9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9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9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9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9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91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9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91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9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9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9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9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9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9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9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9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91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9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9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9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9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9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9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9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9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9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9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9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9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9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9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9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9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9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9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9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9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9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9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9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9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9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9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9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9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9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9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9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9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9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9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9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9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9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9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9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9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9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9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9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9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9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9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9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9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9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9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9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9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9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9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9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9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9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9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9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9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9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9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9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9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9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9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9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9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9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9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9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9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9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9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9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9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9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9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9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9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9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9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9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9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9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9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9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9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9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9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9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9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9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91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9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9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9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9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91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9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9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9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9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9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9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9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9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9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9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9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9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9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9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9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9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9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9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9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9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9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9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9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9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9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9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9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9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9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9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9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9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9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9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9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9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9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9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9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9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9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9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9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9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9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9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9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9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9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9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9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9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9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9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9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9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9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9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9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9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9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9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9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9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9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9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9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9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9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91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9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9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9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9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9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9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9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9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9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9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9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9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9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9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9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9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9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9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9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9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9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9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9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9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9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91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9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9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9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9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9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9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9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9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9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9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9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9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1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16" t="s">
        <v>467</v>
      </c>
      <c r="H2160" s="414" t="s">
        <v>515</v>
      </c>
      <c r="I2160" s="415" t="s">
        <v>516</v>
      </c>
      <c r="J2160" s="101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1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16"/>
      <c r="H2161" s="421" t="s">
        <v>515</v>
      </c>
      <c r="I2161" s="422" t="s">
        <v>516</v>
      </c>
      <c r="J2161" s="101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1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16"/>
      <c r="H2162" s="429" t="s">
        <v>515</v>
      </c>
      <c r="I2162" s="430" t="s">
        <v>516</v>
      </c>
      <c r="J2162" s="101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1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16" t="s">
        <v>467</v>
      </c>
      <c r="H2165" s="414" t="s">
        <v>516</v>
      </c>
      <c r="I2165" s="415" t="s">
        <v>516</v>
      </c>
      <c r="J2165" s="101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1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16"/>
      <c r="H2166" s="429" t="s">
        <v>516</v>
      </c>
      <c r="I2166" s="430" t="s">
        <v>516</v>
      </c>
      <c r="J2166" s="101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9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9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9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9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9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9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9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9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9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9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9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9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9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9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9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9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9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9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9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1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9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1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9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1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9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1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9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9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9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9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9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9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9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9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9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9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9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9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9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9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9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9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9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9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9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9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9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9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9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9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9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9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9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9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9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9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9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9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9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9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9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9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91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9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9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91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9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9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9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9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9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9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9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9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9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9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9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9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9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9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9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9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9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9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9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9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9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9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9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9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91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9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9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9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9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9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9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9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9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9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9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9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9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9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9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9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9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9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9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9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9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9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9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9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9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9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9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9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9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9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9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9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9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9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9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9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9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9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9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9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9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9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9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9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9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9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9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9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9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9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9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9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9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9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9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9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9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9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9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9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9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9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9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9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9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9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9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9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9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9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9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9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9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9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9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9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9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9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9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9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9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9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9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9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9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9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9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9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9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9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9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9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9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9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9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9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9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9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9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9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9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9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9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9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9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9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9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9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9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9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9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9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9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9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9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9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9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9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9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91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9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9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9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9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9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9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9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9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9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9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9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9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9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9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9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9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9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9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9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9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1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2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1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2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9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9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9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9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9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9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9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9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91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9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9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9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9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9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9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9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9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9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9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2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2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9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9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9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9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9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9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9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9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9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9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91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9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9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9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9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9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9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9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9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9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9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9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9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9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9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9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9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9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9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9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9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9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9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9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9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9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9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9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9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9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9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9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9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9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9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9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9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9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9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9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9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9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9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9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9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9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9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9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9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9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9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9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9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9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9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9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9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9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9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9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9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9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9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9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9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9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9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9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9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9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9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9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9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9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9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9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9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9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9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9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9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9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9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9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9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9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9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9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9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9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9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9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9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9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9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9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9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9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9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9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9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9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9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9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9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9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9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9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9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9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9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9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9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9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9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9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9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9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9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9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9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9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9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9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9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9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9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9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9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9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9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9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9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9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9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9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9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9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9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9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9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9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9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9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9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9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9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9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9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9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9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9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9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9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9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9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9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9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9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9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9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9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9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9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9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9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9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9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9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9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9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9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9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9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9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9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9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9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9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9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9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9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9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9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9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9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9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9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9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9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9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9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9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9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9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9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9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9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9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9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9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9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9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9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9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9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9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9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9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9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9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9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9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9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9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9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9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9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9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9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9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9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9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9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9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9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9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9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9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9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9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9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9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9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9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9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9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9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9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9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9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9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9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9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9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9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9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9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9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9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9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9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9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9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9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9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9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9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9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9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9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9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9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9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9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9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9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9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9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9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9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9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9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9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9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9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9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9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9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9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9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9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9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9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9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9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9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9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9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9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9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9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9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9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9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9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9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9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9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9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9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9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9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9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9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9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9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9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9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9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9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9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9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9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9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9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9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9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9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9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9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9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9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9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9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9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9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9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9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9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9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9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9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9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9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9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9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9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9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9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9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9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9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9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9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9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9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9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9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9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9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9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9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9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9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9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9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9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9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9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9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9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9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9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9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9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9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2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2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2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2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2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2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9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9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9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9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9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9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9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9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91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9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9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9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9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9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9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9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9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9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9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9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9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9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9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9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9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9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9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9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9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9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9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9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9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9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9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9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9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9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9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9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9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9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9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9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9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9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9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9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9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9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9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9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9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9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9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9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9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9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9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9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9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9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9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9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9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9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9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9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9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9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9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9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9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9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9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9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9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9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9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9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9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9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9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9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9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9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9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9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9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9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9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9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9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9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9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9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9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9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9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9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9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9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9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9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9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9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9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9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9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9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9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9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9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9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9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9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9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9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9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9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9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9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9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9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9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9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9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9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9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9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9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9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9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2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2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2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9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9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9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9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9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9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9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9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9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9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9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9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9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9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9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9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9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9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9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9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9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9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9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9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9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9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9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9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9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9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9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9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9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9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9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9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9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9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9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9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9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9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9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9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9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9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9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9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9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9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9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9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9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9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9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9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9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9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9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9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9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9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5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2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2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2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2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5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5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5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5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2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2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5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2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5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7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2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2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2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5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7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2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2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2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5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5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5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2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5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5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5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5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2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2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2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2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2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2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5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2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2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5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2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2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5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5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2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5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5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5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5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5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5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2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5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7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2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2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2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5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2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2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2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2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5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5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2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2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5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7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2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2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5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2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5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2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5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7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2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2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2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5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5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2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2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5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5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5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5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5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2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2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5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5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5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5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5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5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5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5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2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2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2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2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5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5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2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2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2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5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5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5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2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2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2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5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2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5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5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5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5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5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2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2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5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2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2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5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2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2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2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5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5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2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5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2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2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5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2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2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5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5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5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5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5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5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2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2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5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5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5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2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2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2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5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5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5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2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5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5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5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5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5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5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2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2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2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5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5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2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2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5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5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2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2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2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5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7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2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2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2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5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2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5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2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2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5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5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2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2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5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2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2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2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2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5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5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2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5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2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5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5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5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5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5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5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5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2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5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7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2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2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2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5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5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5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5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2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2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5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2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2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2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2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2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2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5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2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2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5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2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2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2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5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5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5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6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5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5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6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7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5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7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5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7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5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5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6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6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5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5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5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7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5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5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7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5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5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5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5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5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6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5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5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5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5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5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6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5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5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5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6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5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5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6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6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5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5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5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6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5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5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5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5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5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6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5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5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5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6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5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5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6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6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6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5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5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5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5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5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6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5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5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5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5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5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5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6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5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5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5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5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6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6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7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5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5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5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5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5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5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6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6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5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7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5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5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5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7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6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6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5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5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5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6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5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5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5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5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7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5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7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6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5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5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5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5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5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6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5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5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6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5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5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5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5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5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6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6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7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5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5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6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6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5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5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5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6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5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7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5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7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5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5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5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5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5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5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5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5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5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5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5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6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6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5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5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5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6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5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5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5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5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5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6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5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5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5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6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5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7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5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7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6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5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5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5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5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6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5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5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5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5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6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5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5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5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5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6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5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5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6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6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6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5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5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5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5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6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5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5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5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5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5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5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5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5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5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6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6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5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7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5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6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5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5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6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5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5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6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6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5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5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6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5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5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5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6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5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5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6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5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5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5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6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6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6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5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5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6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5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5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6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5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5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5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5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5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5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6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5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5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5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6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7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5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5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5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5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5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5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5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6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6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5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5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6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6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6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7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5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5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5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5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5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5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6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5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5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6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6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6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5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5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5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6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5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5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5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6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5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5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6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5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5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5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1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5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5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6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5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5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5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5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6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5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5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6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6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7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6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5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5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5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6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5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5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5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5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5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5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6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5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7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5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5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5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7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5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5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5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5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7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5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7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6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5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5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5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6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7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6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5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5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5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5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5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5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5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5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5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5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6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5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5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6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7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6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5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5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5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5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7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5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7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6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6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5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5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5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5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6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5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5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6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5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7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5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5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7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6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6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7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5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5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6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5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7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5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7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6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5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5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6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5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5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6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7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5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5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5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6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6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7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5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5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5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5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6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5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5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5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6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5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5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6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5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5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6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7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5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5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5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5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5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5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5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5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5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5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6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6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6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5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5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5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5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6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7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6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5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7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5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7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5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5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6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5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5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6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7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5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5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6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5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7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5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7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6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5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5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5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6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5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5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5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5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7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5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7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5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5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5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6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6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5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5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5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5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7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5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7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5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7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5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7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6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5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5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5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6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5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5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5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7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5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7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5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5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5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6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5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7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5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7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6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5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5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5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5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7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5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7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1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1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5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5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5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5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6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5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5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6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6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5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7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5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5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7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5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7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5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7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5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5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5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5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5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5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5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6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5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5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6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7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6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5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5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5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6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7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5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5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6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5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5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6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7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5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5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5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5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5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5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5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5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5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5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5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5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5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5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5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6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5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5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5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6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5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5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6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5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5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5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5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6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7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6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6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7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6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5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5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6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5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7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5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7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5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5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5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6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5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5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5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6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7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5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5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5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5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6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5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5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6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5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5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6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6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5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5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5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6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5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5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5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7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5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5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5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6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5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5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5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5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5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6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5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5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5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6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5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5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6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5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5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5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5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5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5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5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5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5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5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6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5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5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5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6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6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5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5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5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7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5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7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5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7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5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5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5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6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5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5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6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6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5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5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5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5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5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5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1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5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5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1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5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5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6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7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5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5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5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5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6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5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5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6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5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5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6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7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6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5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5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6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5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5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6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5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5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5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5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5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5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5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6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6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5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5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5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5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5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5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6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5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5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5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5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7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5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7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6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6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5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5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6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6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7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6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5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5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6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5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7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5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7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5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5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5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5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5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6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5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7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5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7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5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7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5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5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5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5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7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6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5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5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5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5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5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6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7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5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5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6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6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6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5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5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5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6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5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5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6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5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5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6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5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5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6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5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7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5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7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5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5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6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6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6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6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5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5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6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5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7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5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7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6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8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8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8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5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5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8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8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8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8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8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8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8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5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5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5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7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3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6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3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3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7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5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5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5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5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5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5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5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5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5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5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5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5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5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6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6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6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5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5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5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5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5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5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5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1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6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5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5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5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6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5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5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5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5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5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5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5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5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5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5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6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5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7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5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7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5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5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7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6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6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6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6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6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1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6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6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6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6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6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6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6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6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6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6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6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6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6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6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6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1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1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1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5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5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5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55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7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6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7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7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5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55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6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6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6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5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5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1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9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6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5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5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5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1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6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5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5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5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5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55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6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6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6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6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6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5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6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6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5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5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5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5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6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6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6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6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6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5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6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6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6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5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7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54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7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5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77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6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54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5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5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6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6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6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6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1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1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1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6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54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5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5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55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54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5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5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5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55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1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1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1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1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1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6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6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6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6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6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1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6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6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6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6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6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6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6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6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1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6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6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6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6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6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6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5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6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6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5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66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66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5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7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66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7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7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54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55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6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6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6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6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5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66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6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6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8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6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7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6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6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6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6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54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55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61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6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6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63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64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5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66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54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5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5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5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5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61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61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6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98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98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54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5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5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5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55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61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6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6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88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6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64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61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61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6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6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78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63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6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63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6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64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77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6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5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6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6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64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65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7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66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7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66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97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66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97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6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7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6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6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63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6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64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77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5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60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59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61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60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62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64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59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61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61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61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60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62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64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59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61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61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61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8" t="str">
        <f t="shared" si="208"/>
        <v>08,26</v>
      </c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60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54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5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5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5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59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61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61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8" t="str">
        <f t="shared" si="208"/>
        <v>08,26</v>
      </c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60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62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64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59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60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954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95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1"/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955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959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961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961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960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9"/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962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963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1" t="s">
        <v>76</v>
      </c>
      <c r="H6997" s="839" t="s">
        <v>2067</v>
      </c>
      <c r="I6997" s="839" t="s">
        <v>2067</v>
      </c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964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965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68" t="s">
        <v>1633</v>
      </c>
      <c r="H6999" s="483" t="s">
        <v>2067</v>
      </c>
      <c r="I6999" s="484" t="s">
        <v>2068</v>
      </c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966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69"/>
      <c r="H7000" s="763" t="s">
        <v>2067</v>
      </c>
      <c r="I7000" s="768" t="s">
        <v>2068</v>
      </c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966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69"/>
      <c r="H7001" s="860" t="s">
        <v>2067</v>
      </c>
      <c r="I7001" s="860" t="s">
        <v>2068</v>
      </c>
      <c r="J7001" s="865"/>
      <c r="K7001" s="952"/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966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69"/>
      <c r="H7002" s="844" t="s">
        <v>2067</v>
      </c>
      <c r="I7002" s="844" t="s">
        <v>2068</v>
      </c>
      <c r="J7002" s="845"/>
      <c r="K7002" s="886"/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967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70"/>
      <c r="H7003" s="808" t="s">
        <v>2067</v>
      </c>
      <c r="I7003" s="808" t="s">
        <v>2068</v>
      </c>
      <c r="J7003" s="810"/>
      <c r="K7003" s="887"/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962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63"/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964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48"/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959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79"/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960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87"/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4"/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/>
      <c r="F7009" s="518" t="s">
        <v>30</v>
      </c>
      <c r="G7009" s="519" t="s">
        <v>23</v>
      </c>
      <c r="H7009" s="518" t="s">
        <v>2067</v>
      </c>
      <c r="I7009" s="520"/>
      <c r="J7009" s="521"/>
      <c r="K7009" s="514"/>
      <c r="L7009" s="518" t="s">
        <v>28</v>
      </c>
      <c r="M7009" s="518">
        <v>10834.2</v>
      </c>
      <c r="N7009" s="522">
        <v>0.41666666666666669</v>
      </c>
      <c r="O7009" s="897" t="s">
        <v>2113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4"/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959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79"/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x14ac:dyDescent="0.25">
      <c r="A7012" s="961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944"/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thickBot="1" x14ac:dyDescent="0.3">
      <c r="A7013" s="960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86"/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x14ac:dyDescent="0.25">
      <c r="A7014" s="962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78" t="s">
        <v>1634</v>
      </c>
      <c r="H7014" s="535" t="s">
        <v>2068</v>
      </c>
      <c r="I7014" s="537" t="s">
        <v>2068</v>
      </c>
      <c r="J7014" s="538"/>
      <c r="K7014" s="531"/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thickBot="1" x14ac:dyDescent="0.3">
      <c r="A7015" s="964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77"/>
      <c r="H7015" s="873" t="s">
        <v>2068</v>
      </c>
      <c r="I7015" s="788" t="s">
        <v>2068</v>
      </c>
      <c r="J7015" s="790"/>
      <c r="K7015" s="877"/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5"/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x14ac:dyDescent="0.25">
      <c r="A7017" s="962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1"/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x14ac:dyDescent="0.25">
      <c r="A7018" s="963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49"/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thickBot="1" x14ac:dyDescent="0.3">
      <c r="A7019" s="964"/>
      <c r="B7019" s="953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69"/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thickBot="1" x14ac:dyDescent="0.3">
      <c r="A7020" s="572">
        <f t="shared" ref="A7020:A7026" si="210">MAX(A6908:A7019)+1</f>
        <v>4348</v>
      </c>
      <c r="B7020" s="495" t="s">
        <v>2067</v>
      </c>
      <c r="C7020" s="496" t="s">
        <v>32</v>
      </c>
      <c r="D7020" s="497">
        <v>17.5</v>
      </c>
      <c r="E7020" s="498"/>
      <c r="F7020" s="499" t="s">
        <v>16</v>
      </c>
      <c r="G7020" s="562"/>
      <c r="H7020" s="499" t="s">
        <v>2116</v>
      </c>
      <c r="I7020" s="500"/>
      <c r="J7020" s="501"/>
      <c r="K7020" s="495"/>
      <c r="L7020" s="499" t="s">
        <v>266</v>
      </c>
      <c r="M7020" s="499">
        <v>17503.2</v>
      </c>
      <c r="N7020" s="502">
        <v>0.41666666666666669</v>
      </c>
      <c r="O7020" s="897" t="s">
        <v>2126</v>
      </c>
    </row>
    <row r="7021" spans="1:16" ht="19.5" thickBot="1" x14ac:dyDescent="0.3">
      <c r="A7021" s="503">
        <f t="shared" si="210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4"/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thickBot="1" x14ac:dyDescent="0.3">
      <c r="A7022" s="513">
        <f t="shared" si="210"/>
        <v>4350</v>
      </c>
      <c r="B7022" s="514" t="s">
        <v>2068</v>
      </c>
      <c r="C7022" s="515" t="s">
        <v>32</v>
      </c>
      <c r="D7022" s="516">
        <v>17.931999999999999</v>
      </c>
      <c r="E7022" s="517"/>
      <c r="F7022" s="518" t="s">
        <v>16</v>
      </c>
      <c r="G7022" s="519"/>
      <c r="H7022" s="518" t="s">
        <v>2148</v>
      </c>
      <c r="I7022" s="520"/>
      <c r="J7022" s="521"/>
      <c r="K7022" s="514"/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</row>
    <row r="7023" spans="1:16" ht="19.5" thickBot="1" x14ac:dyDescent="0.3">
      <c r="A7023" s="503">
        <f t="shared" si="210"/>
        <v>4351</v>
      </c>
      <c r="B7023" s="504" t="s">
        <v>2068</v>
      </c>
      <c r="C7023" s="505" t="s">
        <v>32</v>
      </c>
      <c r="D7023" s="506">
        <v>18</v>
      </c>
      <c r="E7023" s="507"/>
      <c r="F7023" s="508" t="s">
        <v>16</v>
      </c>
      <c r="G7023" s="509"/>
      <c r="H7023" s="508" t="s">
        <v>2148</v>
      </c>
      <c r="I7023" s="510"/>
      <c r="J7023" s="511"/>
      <c r="K7023" s="504"/>
      <c r="L7023" s="508" t="s">
        <v>266</v>
      </c>
      <c r="M7023" s="508">
        <v>18018</v>
      </c>
      <c r="N7023" s="512">
        <v>0.5</v>
      </c>
      <c r="O7023" s="897" t="s">
        <v>2152</v>
      </c>
    </row>
    <row r="7024" spans="1:16" ht="19.5" thickBot="1" x14ac:dyDescent="0.3">
      <c r="A7024" s="513">
        <f t="shared" si="210"/>
        <v>4352</v>
      </c>
      <c r="B7024" s="514" t="s">
        <v>2068</v>
      </c>
      <c r="C7024" s="515" t="s">
        <v>32</v>
      </c>
      <c r="D7024" s="516">
        <v>17.8</v>
      </c>
      <c r="E7024" s="517"/>
      <c r="F7024" s="518" t="s">
        <v>16</v>
      </c>
      <c r="G7024" s="519"/>
      <c r="H7024" s="518" t="s">
        <v>2148</v>
      </c>
      <c r="I7024" s="520"/>
      <c r="J7024" s="521"/>
      <c r="K7024" s="514"/>
      <c r="L7024" s="518" t="s">
        <v>266</v>
      </c>
      <c r="M7024" s="518">
        <v>17810.400000000001</v>
      </c>
      <c r="N7024" s="522">
        <v>0.54166666666666663</v>
      </c>
      <c r="O7024" s="897" t="s">
        <v>2153</v>
      </c>
    </row>
    <row r="7025" spans="1:18" ht="19.5" thickBot="1" x14ac:dyDescent="0.3">
      <c r="A7025" s="551">
        <f t="shared" si="210"/>
        <v>4353</v>
      </c>
      <c r="B7025" s="552" t="s">
        <v>2068</v>
      </c>
      <c r="C7025" s="553" t="s">
        <v>848</v>
      </c>
      <c r="D7025" s="554">
        <v>18</v>
      </c>
      <c r="E7025" s="555"/>
      <c r="F7025" s="556" t="s">
        <v>16</v>
      </c>
      <c r="G7025" s="557"/>
      <c r="H7025" s="556" t="s">
        <v>2148</v>
      </c>
      <c r="I7025" s="558"/>
      <c r="J7025" s="559"/>
      <c r="K7025" s="552"/>
      <c r="L7025" s="556" t="s">
        <v>266</v>
      </c>
      <c r="M7025" s="556">
        <v>18144.8</v>
      </c>
      <c r="N7025" s="560">
        <v>0.58333333333333337</v>
      </c>
      <c r="O7025" s="897" t="s">
        <v>2159</v>
      </c>
    </row>
    <row r="7026" spans="1:18" x14ac:dyDescent="0.25">
      <c r="A7026" s="959">
        <f t="shared" si="210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79"/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8" ht="19.5" thickBot="1" x14ac:dyDescent="0.3">
      <c r="A7027" s="960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87"/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8" x14ac:dyDescent="0.25">
      <c r="A7028" s="954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63"/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  <c r="Q7028" s="847">
        <v>12676</v>
      </c>
    </row>
    <row r="7029" spans="1:18" x14ac:dyDescent="0.25">
      <c r="A7029" s="95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1" t="s">
        <v>76</v>
      </c>
      <c r="H7029" s="839" t="s">
        <v>2162</v>
      </c>
      <c r="I7029" s="839" t="s">
        <v>2162</v>
      </c>
      <c r="J7029" s="840"/>
      <c r="K7029" s="836"/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  <c r="Q7029" s="847">
        <v>713</v>
      </c>
    </row>
    <row r="7030" spans="1:18" ht="19.5" thickBot="1" x14ac:dyDescent="0.3">
      <c r="A7030" s="955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48"/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  <c r="Q7030" s="847">
        <v>4029</v>
      </c>
    </row>
    <row r="7031" spans="1:18" ht="19.5" thickBot="1" x14ac:dyDescent="0.3">
      <c r="A7031" s="513">
        <f t="shared" ref="A7031:A7032" si="211">MAX(A6916:A7030)+1</f>
        <v>4356</v>
      </c>
      <c r="B7031" s="514" t="s">
        <v>2116</v>
      </c>
      <c r="C7031" s="515" t="s">
        <v>23</v>
      </c>
      <c r="D7031" s="516">
        <v>11.18</v>
      </c>
      <c r="E7031" s="517"/>
      <c r="F7031" s="518" t="s">
        <v>30</v>
      </c>
      <c r="G7031" s="519"/>
      <c r="H7031" s="518" t="s">
        <v>2162</v>
      </c>
      <c r="I7031" s="520"/>
      <c r="J7031" s="521"/>
      <c r="K7031" s="514"/>
      <c r="L7031" s="518" t="s">
        <v>28</v>
      </c>
      <c r="M7031" s="518">
        <v>11180.84</v>
      </c>
      <c r="N7031" s="522">
        <v>0.41666666666666669</v>
      </c>
      <c r="O7031" s="897" t="s">
        <v>2168</v>
      </c>
    </row>
    <row r="7032" spans="1:18" x14ac:dyDescent="0.25">
      <c r="A7032" s="954">
        <f t="shared" si="211"/>
        <v>4357</v>
      </c>
      <c r="B7032" s="759" t="s">
        <v>2116</v>
      </c>
      <c r="C7032" s="532" t="s">
        <v>26</v>
      </c>
      <c r="D7032" s="533">
        <v>17.21</v>
      </c>
      <c r="E7032" s="534"/>
      <c r="F7032" s="535" t="s">
        <v>16</v>
      </c>
      <c r="G7032" s="898"/>
      <c r="H7032" s="535" t="s">
        <v>2164</v>
      </c>
      <c r="I7032" s="537"/>
      <c r="J7032" s="538"/>
      <c r="K7032" s="563"/>
      <c r="L7032" s="567" t="s">
        <v>265</v>
      </c>
      <c r="M7032" s="567">
        <v>17234.2</v>
      </c>
      <c r="N7032" s="571">
        <v>0.375</v>
      </c>
      <c r="O7032" s="897" t="s">
        <v>2166</v>
      </c>
    </row>
    <row r="7033" spans="1:18" x14ac:dyDescent="0.25">
      <c r="A7033" s="958"/>
      <c r="B7033" s="852" t="s">
        <v>2164</v>
      </c>
      <c r="C7033" s="837" t="s">
        <v>26</v>
      </c>
      <c r="D7033" s="838">
        <v>1.2</v>
      </c>
      <c r="E7033" s="838"/>
      <c r="F7033" s="839" t="s">
        <v>16</v>
      </c>
      <c r="G7033" s="951" t="s">
        <v>76</v>
      </c>
      <c r="H7033" s="839" t="s">
        <v>2164</v>
      </c>
      <c r="I7033" s="839"/>
      <c r="J7033" s="840"/>
      <c r="K7033" s="836"/>
      <c r="L7033" s="839" t="s">
        <v>265</v>
      </c>
      <c r="M7033" s="839">
        <v>1200</v>
      </c>
      <c r="N7033" s="598">
        <v>0.375</v>
      </c>
      <c r="O7033" s="897" t="s">
        <v>2229</v>
      </c>
    </row>
    <row r="7034" spans="1:18" ht="19.5" thickBot="1" x14ac:dyDescent="0.3">
      <c r="A7034" s="955"/>
      <c r="B7034" s="798" t="s">
        <v>2162</v>
      </c>
      <c r="C7034" s="799" t="s">
        <v>26</v>
      </c>
      <c r="D7034" s="800">
        <v>3.6</v>
      </c>
      <c r="E7034" s="800"/>
      <c r="F7034" s="801" t="s">
        <v>16</v>
      </c>
      <c r="G7034" s="942" t="s">
        <v>76</v>
      </c>
      <c r="H7034" s="801" t="s">
        <v>2164</v>
      </c>
      <c r="I7034" s="801"/>
      <c r="J7034" s="803"/>
      <c r="K7034" s="848"/>
      <c r="L7034" s="801" t="s">
        <v>265</v>
      </c>
      <c r="M7034" s="801">
        <v>3615</v>
      </c>
      <c r="N7034" s="804">
        <v>0.375</v>
      </c>
      <c r="O7034" s="897" t="s">
        <v>2227</v>
      </c>
    </row>
    <row r="7035" spans="1:18" x14ac:dyDescent="0.25">
      <c r="A7035" s="959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/>
      <c r="F7035" s="483" t="s">
        <v>16</v>
      </c>
      <c r="G7035" s="899"/>
      <c r="H7035" s="483" t="s">
        <v>2164</v>
      </c>
      <c r="I7035" s="484"/>
      <c r="J7035" s="485"/>
      <c r="K7035" s="479"/>
      <c r="L7035" s="483" t="s">
        <v>265</v>
      </c>
      <c r="M7035" s="483">
        <v>17498</v>
      </c>
      <c r="N7035" s="486">
        <v>0.41666666666666669</v>
      </c>
      <c r="O7035" s="897" t="s">
        <v>2167</v>
      </c>
    </row>
    <row r="7036" spans="1:18" ht="19.5" thickBot="1" x14ac:dyDescent="0.3">
      <c r="A7036" s="960"/>
      <c r="B7036" s="805" t="s">
        <v>2162</v>
      </c>
      <c r="C7036" s="806" t="s">
        <v>26</v>
      </c>
      <c r="D7036" s="807">
        <v>5</v>
      </c>
      <c r="E7036" s="807"/>
      <c r="F7036" s="808" t="s">
        <v>16</v>
      </c>
      <c r="G7036" s="902" t="s">
        <v>76</v>
      </c>
      <c r="H7036" s="808" t="s">
        <v>2164</v>
      </c>
      <c r="I7036" s="808"/>
      <c r="J7036" s="810"/>
      <c r="K7036" s="887"/>
      <c r="L7036" s="808" t="s">
        <v>265</v>
      </c>
      <c r="M7036" s="808">
        <v>5025</v>
      </c>
      <c r="N7036" s="778">
        <v>0.41666666666666669</v>
      </c>
      <c r="O7036" s="897" t="s">
        <v>2228</v>
      </c>
      <c r="P7036" s="1035" t="s">
        <v>2230</v>
      </c>
      <c r="Q7036" s="1035" t="s">
        <v>2233</v>
      </c>
    </row>
    <row r="7037" spans="1:18" x14ac:dyDescent="0.25">
      <c r="A7037" s="962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/>
      <c r="F7037" s="535" t="s">
        <v>16</v>
      </c>
      <c r="G7037" s="898"/>
      <c r="H7037" s="535" t="s">
        <v>2164</v>
      </c>
      <c r="I7037" s="537"/>
      <c r="J7037" s="538"/>
      <c r="K7037" s="563"/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>
        <v>6296861</v>
      </c>
      <c r="Q7037" s="847">
        <v>-1037</v>
      </c>
      <c r="R7037" s="833">
        <v>1000</v>
      </c>
    </row>
    <row r="7038" spans="1:18" ht="19.5" thickBot="1" x14ac:dyDescent="0.3">
      <c r="A7038" s="964"/>
      <c r="B7038" s="798" t="s">
        <v>2164</v>
      </c>
      <c r="C7038" s="799" t="s">
        <v>23</v>
      </c>
      <c r="D7038" s="800">
        <v>1</v>
      </c>
      <c r="E7038" s="800"/>
      <c r="F7038" s="801" t="s">
        <v>16</v>
      </c>
      <c r="G7038" s="942" t="s">
        <v>76</v>
      </c>
      <c r="H7038" s="801" t="s">
        <v>2164</v>
      </c>
      <c r="I7038" s="801"/>
      <c r="J7038" s="803"/>
      <c r="K7038" s="848"/>
      <c r="L7038" s="801" t="s">
        <v>28</v>
      </c>
      <c r="M7038" s="801">
        <v>1020.9000000000001</v>
      </c>
      <c r="N7038" s="804">
        <v>0.45833333333333331</v>
      </c>
      <c r="O7038" s="897" t="s">
        <v>2231</v>
      </c>
    </row>
    <row r="7039" spans="1:18" x14ac:dyDescent="0.25">
      <c r="A7039" s="959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/>
      <c r="F7039" s="483" t="s">
        <v>16</v>
      </c>
      <c r="G7039" s="899"/>
      <c r="H7039" s="483" t="s">
        <v>2164</v>
      </c>
      <c r="I7039" s="484"/>
      <c r="J7039" s="485"/>
      <c r="K7039" s="479"/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>
        <v>6296866</v>
      </c>
      <c r="Q7039" s="847">
        <v>-2660</v>
      </c>
      <c r="R7039" s="833">
        <v>2600</v>
      </c>
    </row>
    <row r="7040" spans="1:18" ht="19.5" thickBot="1" x14ac:dyDescent="0.3">
      <c r="A7040" s="960"/>
      <c r="B7040" s="805" t="s">
        <v>2164</v>
      </c>
      <c r="C7040" s="806" t="s">
        <v>47</v>
      </c>
      <c r="D7040" s="807">
        <v>2.6</v>
      </c>
      <c r="E7040" s="807"/>
      <c r="F7040" s="808" t="s">
        <v>16</v>
      </c>
      <c r="G7040" s="902" t="s">
        <v>76</v>
      </c>
      <c r="H7040" s="808" t="s">
        <v>2164</v>
      </c>
      <c r="I7040" s="808"/>
      <c r="J7040" s="810"/>
      <c r="K7040" s="887"/>
      <c r="L7040" s="808" t="s">
        <v>28</v>
      </c>
      <c r="M7040" s="808">
        <v>2621.2800000000002</v>
      </c>
      <c r="N7040" s="778">
        <v>0.5</v>
      </c>
      <c r="O7040" s="897" t="s">
        <v>2232</v>
      </c>
    </row>
    <row r="7041" spans="1:18" ht="19.5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/>
      <c r="F7041" s="508" t="s">
        <v>30</v>
      </c>
      <c r="G7041" s="509"/>
      <c r="H7041" s="508" t="s">
        <v>2164</v>
      </c>
      <c r="I7041" s="510"/>
      <c r="J7041" s="511"/>
      <c r="K7041" s="504"/>
      <c r="L7041" s="508" t="s">
        <v>265</v>
      </c>
      <c r="M7041" s="508">
        <v>14094.68</v>
      </c>
      <c r="N7041" s="512">
        <v>0.375</v>
      </c>
      <c r="O7041" s="897" t="s">
        <v>2178</v>
      </c>
    </row>
    <row r="7042" spans="1:18" x14ac:dyDescent="0.25">
      <c r="A7042" s="959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/>
      <c r="J7042" s="485"/>
      <c r="K7042" s="479"/>
      <c r="L7042" s="483" t="s">
        <v>266</v>
      </c>
      <c r="M7042" s="483">
        <v>1388.7</v>
      </c>
      <c r="N7042" s="486">
        <v>0.54166666666666663</v>
      </c>
      <c r="O7042" s="897" t="s">
        <v>2179</v>
      </c>
    </row>
    <row r="7043" spans="1:18" ht="37.5" x14ac:dyDescent="0.25">
      <c r="A7043" s="961"/>
      <c r="B7043" s="523" t="s">
        <v>2148</v>
      </c>
      <c r="C7043" s="524" t="s">
        <v>41</v>
      </c>
      <c r="D7043" s="525">
        <v>3</v>
      </c>
      <c r="E7043" s="526"/>
      <c r="F7043" s="527" t="s">
        <v>16</v>
      </c>
      <c r="G7043" s="561" t="s">
        <v>1900</v>
      </c>
      <c r="H7043" s="527" t="s">
        <v>2164</v>
      </c>
      <c r="I7043" s="528"/>
      <c r="J7043" s="529"/>
      <c r="K7043" s="523"/>
      <c r="L7043" s="527" t="s">
        <v>266</v>
      </c>
      <c r="M7043" s="527">
        <v>3003</v>
      </c>
      <c r="N7043" s="530">
        <v>0.54166666666666663</v>
      </c>
      <c r="O7043" s="897" t="s">
        <v>2182</v>
      </c>
    </row>
    <row r="7044" spans="1:18" x14ac:dyDescent="0.25">
      <c r="A7044" s="961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/>
      <c r="J7044" s="529"/>
      <c r="K7044" s="523"/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</row>
    <row r="7045" spans="1:18" x14ac:dyDescent="0.25">
      <c r="A7045" s="961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/>
      <c r="J7045" s="529"/>
      <c r="K7045" s="523"/>
      <c r="L7045" s="527" t="s">
        <v>266</v>
      </c>
      <c r="M7045" s="527">
        <v>2633.25</v>
      </c>
      <c r="N7045" s="530">
        <v>0.54166666666666663</v>
      </c>
      <c r="O7045" s="897" t="s">
        <v>2180</v>
      </c>
    </row>
    <row r="7046" spans="1:18" ht="38.25" thickBot="1" x14ac:dyDescent="0.3">
      <c r="A7046" s="960"/>
      <c r="B7046" s="645" t="s">
        <v>2148</v>
      </c>
      <c r="C7046" s="646" t="s">
        <v>32</v>
      </c>
      <c r="D7046" s="647">
        <v>2.496</v>
      </c>
      <c r="E7046" s="648"/>
      <c r="F7046" s="649" t="s">
        <v>16</v>
      </c>
      <c r="G7046" s="650" t="s">
        <v>2177</v>
      </c>
      <c r="H7046" s="649" t="s">
        <v>2164</v>
      </c>
      <c r="I7046" s="651"/>
      <c r="J7046" s="652"/>
      <c r="K7046" s="645"/>
      <c r="L7046" s="649" t="s">
        <v>266</v>
      </c>
      <c r="M7046" s="649">
        <v>2496</v>
      </c>
      <c r="N7046" s="653">
        <v>0.54166666666666663</v>
      </c>
      <c r="O7046" s="897" t="s">
        <v>2181</v>
      </c>
    </row>
    <row r="7047" spans="1:18" x14ac:dyDescent="0.25">
      <c r="A7047" s="954">
        <f>MAX(A6927:A7046)+1</f>
        <v>4363</v>
      </c>
      <c r="B7047" s="531" t="s">
        <v>2148</v>
      </c>
      <c r="C7047" s="532" t="s">
        <v>26</v>
      </c>
      <c r="D7047" s="533">
        <v>15.435</v>
      </c>
      <c r="E7047" s="534"/>
      <c r="F7047" s="535" t="s">
        <v>16</v>
      </c>
      <c r="G7047" s="536"/>
      <c r="H7047" s="535" t="s">
        <v>2184</v>
      </c>
      <c r="I7047" s="537"/>
      <c r="J7047" s="538"/>
      <c r="K7047" s="531"/>
      <c r="L7047" s="535" t="s">
        <v>265</v>
      </c>
      <c r="M7047" s="535">
        <v>15614.080000000002</v>
      </c>
      <c r="N7047" s="539">
        <v>0.375</v>
      </c>
      <c r="O7047" s="897" t="s">
        <v>2185</v>
      </c>
    </row>
    <row r="7048" spans="1:18" ht="19.5" thickBot="1" x14ac:dyDescent="0.3">
      <c r="A7048" s="955"/>
      <c r="B7048" s="636" t="s">
        <v>2148</v>
      </c>
      <c r="C7048" s="637" t="s">
        <v>952</v>
      </c>
      <c r="D7048" s="638">
        <v>2.0099999999999998</v>
      </c>
      <c r="E7048" s="639"/>
      <c r="F7048" s="640" t="s">
        <v>16</v>
      </c>
      <c r="G7048" s="641"/>
      <c r="H7048" s="640" t="s">
        <v>2184</v>
      </c>
      <c r="I7048" s="642"/>
      <c r="J7048" s="643"/>
      <c r="K7048" s="636"/>
      <c r="L7048" s="640" t="s">
        <v>265</v>
      </c>
      <c r="M7048" s="640">
        <v>2077.64</v>
      </c>
      <c r="N7048" s="644">
        <v>0.375</v>
      </c>
      <c r="O7048" s="897" t="s">
        <v>2186</v>
      </c>
    </row>
    <row r="7049" spans="1:18" ht="56.25" x14ac:dyDescent="0.25">
      <c r="A7049" s="959">
        <f>MAX(A6929:A7048)+1</f>
        <v>4364</v>
      </c>
      <c r="B7049" s="479" t="s">
        <v>2148</v>
      </c>
      <c r="C7049" s="480" t="s">
        <v>587</v>
      </c>
      <c r="D7049" s="481">
        <v>0.93300000000000005</v>
      </c>
      <c r="E7049" s="482"/>
      <c r="F7049" s="483" t="s">
        <v>16</v>
      </c>
      <c r="G7049" s="549" t="s">
        <v>794</v>
      </c>
      <c r="H7049" s="483" t="s">
        <v>2184</v>
      </c>
      <c r="I7049" s="484"/>
      <c r="J7049" s="485"/>
      <c r="K7049" s="479"/>
      <c r="L7049" s="483" t="s">
        <v>28</v>
      </c>
      <c r="M7049" s="483">
        <v>933.12</v>
      </c>
      <c r="N7049" s="486">
        <v>0.41666666666666669</v>
      </c>
      <c r="O7049" s="897" t="s">
        <v>2188</v>
      </c>
      <c r="P7049" s="867">
        <v>6297199</v>
      </c>
      <c r="Q7049" s="847">
        <v>-177</v>
      </c>
      <c r="R7049" s="943">
        <v>1450</v>
      </c>
    </row>
    <row r="7050" spans="1:18" x14ac:dyDescent="0.25">
      <c r="A7050" s="961"/>
      <c r="B7050" s="523" t="s">
        <v>2148</v>
      </c>
      <c r="C7050" s="524" t="s">
        <v>587</v>
      </c>
      <c r="D7050" s="525">
        <v>9.1039999999999992</v>
      </c>
      <c r="E7050" s="526"/>
      <c r="F7050" s="527" t="s">
        <v>16</v>
      </c>
      <c r="G7050" s="561" t="s">
        <v>47</v>
      </c>
      <c r="H7050" s="527" t="s">
        <v>2184</v>
      </c>
      <c r="I7050" s="528"/>
      <c r="J7050" s="529"/>
      <c r="K7050" s="523"/>
      <c r="L7050" s="527" t="s">
        <v>28</v>
      </c>
      <c r="M7050" s="527">
        <v>9104.880000000001</v>
      </c>
      <c r="N7050" s="530">
        <v>0.41666666666666669</v>
      </c>
      <c r="O7050" s="897" t="s">
        <v>2190</v>
      </c>
      <c r="P7050" s="867">
        <v>6297219</v>
      </c>
      <c r="Q7050" s="847">
        <v>-679</v>
      </c>
    </row>
    <row r="7051" spans="1:18" x14ac:dyDescent="0.25">
      <c r="A7051" s="961"/>
      <c r="B7051" s="523" t="s">
        <v>2148</v>
      </c>
      <c r="C7051" s="524" t="s">
        <v>47</v>
      </c>
      <c r="D7051" s="525">
        <v>8.0050000000000008</v>
      </c>
      <c r="E7051" s="526"/>
      <c r="F7051" s="527" t="s">
        <v>16</v>
      </c>
      <c r="G7051" s="561"/>
      <c r="H7051" s="527" t="s">
        <v>2184</v>
      </c>
      <c r="I7051" s="528"/>
      <c r="J7051" s="529"/>
      <c r="K7051" s="523"/>
      <c r="L7051" s="527" t="s">
        <v>28</v>
      </c>
      <c r="M7051" s="527">
        <v>8075.0400000000009</v>
      </c>
      <c r="N7051" s="530">
        <v>0.41666666666666669</v>
      </c>
      <c r="O7051" s="897" t="s">
        <v>2187</v>
      </c>
      <c r="P7051" s="867">
        <v>6297204</v>
      </c>
      <c r="Q7051" s="847">
        <v>-630</v>
      </c>
    </row>
    <row r="7052" spans="1:18" ht="19.5" thickBot="1" x14ac:dyDescent="0.3">
      <c r="A7052" s="960"/>
      <c r="B7052" s="859" t="s">
        <v>2164</v>
      </c>
      <c r="C7052" s="854" t="s">
        <v>47</v>
      </c>
      <c r="D7052" s="855">
        <v>1.45</v>
      </c>
      <c r="E7052" s="855"/>
      <c r="F7052" s="856" t="s">
        <v>16</v>
      </c>
      <c r="G7052" s="857"/>
      <c r="H7052" s="856" t="s">
        <v>2184</v>
      </c>
      <c r="I7052" s="856"/>
      <c r="J7052" s="858"/>
      <c r="K7052" s="859"/>
      <c r="L7052" s="856" t="s">
        <v>28</v>
      </c>
      <c r="M7052" s="856">
        <v>1455</v>
      </c>
      <c r="N7052" s="653">
        <v>0.41666666666666669</v>
      </c>
      <c r="O7052" s="897" t="s">
        <v>2226</v>
      </c>
    </row>
    <row r="7053" spans="1:18" x14ac:dyDescent="0.25">
      <c r="A7053" s="962">
        <f>MAX(A6932:A7052)+1</f>
        <v>4365</v>
      </c>
      <c r="B7053" s="759" t="s">
        <v>2148</v>
      </c>
      <c r="C7053" s="532" t="s">
        <v>23</v>
      </c>
      <c r="D7053" s="533">
        <v>17.747</v>
      </c>
      <c r="E7053" s="534"/>
      <c r="F7053" s="535" t="s">
        <v>16</v>
      </c>
      <c r="G7053" s="898"/>
      <c r="H7053" s="535" t="s">
        <v>2184</v>
      </c>
      <c r="I7053" s="537"/>
      <c r="J7053" s="538"/>
      <c r="K7053" s="563"/>
      <c r="L7053" s="567" t="s">
        <v>28</v>
      </c>
      <c r="M7053" s="567">
        <v>17828.04</v>
      </c>
      <c r="N7053" s="571">
        <v>0.45833333333333331</v>
      </c>
      <c r="O7053" s="897" t="s">
        <v>2189</v>
      </c>
      <c r="P7053" s="867">
        <v>6297221</v>
      </c>
      <c r="Q7053" s="847">
        <v>-1215</v>
      </c>
      <c r="R7053" s="833">
        <v>1200</v>
      </c>
    </row>
    <row r="7054" spans="1:18" ht="19.5" thickBot="1" x14ac:dyDescent="0.3">
      <c r="A7054" s="964"/>
      <c r="B7054" s="798" t="s">
        <v>2164</v>
      </c>
      <c r="C7054" s="799" t="s">
        <v>23</v>
      </c>
      <c r="D7054" s="800">
        <v>1.2</v>
      </c>
      <c r="E7054" s="800"/>
      <c r="F7054" s="801" t="s">
        <v>16</v>
      </c>
      <c r="G7054" s="942"/>
      <c r="H7054" s="801" t="s">
        <v>2184</v>
      </c>
      <c r="I7054" s="801"/>
      <c r="J7054" s="803"/>
      <c r="K7054" s="848"/>
      <c r="L7054" s="801" t="s">
        <v>28</v>
      </c>
      <c r="M7054" s="801">
        <v>1215</v>
      </c>
      <c r="N7054" s="804">
        <v>0.45833333333333331</v>
      </c>
      <c r="O7054" s="897" t="s">
        <v>2226</v>
      </c>
    </row>
    <row r="7055" spans="1:18" ht="19.5" thickBot="1" x14ac:dyDescent="0.3">
      <c r="A7055" s="513">
        <f>MAX(A6933:A7054)+1</f>
        <v>4366</v>
      </c>
      <c r="B7055" s="514" t="s">
        <v>2162</v>
      </c>
      <c r="C7055" s="515" t="s">
        <v>26</v>
      </c>
      <c r="D7055" s="516">
        <v>17.372</v>
      </c>
      <c r="E7055" s="517"/>
      <c r="F7055" s="518" t="s">
        <v>16</v>
      </c>
      <c r="G7055" s="519"/>
      <c r="H7055" s="518" t="s">
        <v>2199</v>
      </c>
      <c r="I7055" s="520"/>
      <c r="J7055" s="521"/>
      <c r="K7055" s="514"/>
      <c r="L7055" s="518" t="s">
        <v>265</v>
      </c>
      <c r="M7055" s="518">
        <v>17563.52</v>
      </c>
      <c r="N7055" s="522">
        <v>0.375</v>
      </c>
      <c r="O7055" s="897" t="s">
        <v>2200</v>
      </c>
    </row>
    <row r="7056" spans="1:18" x14ac:dyDescent="0.25">
      <c r="A7056" s="954">
        <f>MAX(A6934:A7055)+1</f>
        <v>4367</v>
      </c>
      <c r="B7056" s="531" t="s">
        <v>2162</v>
      </c>
      <c r="C7056" s="532" t="s">
        <v>26</v>
      </c>
      <c r="D7056" s="533">
        <v>11.414</v>
      </c>
      <c r="E7056" s="534"/>
      <c r="F7056" s="535" t="s">
        <v>16</v>
      </c>
      <c r="G7056" s="536"/>
      <c r="H7056" s="535" t="s">
        <v>2199</v>
      </c>
      <c r="I7056" s="537"/>
      <c r="J7056" s="538"/>
      <c r="K7056" s="531"/>
      <c r="L7056" s="535" t="s">
        <v>265</v>
      </c>
      <c r="M7056" s="535">
        <v>11514.16</v>
      </c>
      <c r="N7056" s="539">
        <v>0.41666666666666669</v>
      </c>
      <c r="O7056" s="897" t="s">
        <v>2201</v>
      </c>
    </row>
    <row r="7057" spans="1:15" x14ac:dyDescent="0.25">
      <c r="A7057" s="958"/>
      <c r="B7057" s="563" t="s">
        <v>2162</v>
      </c>
      <c r="C7057" s="564" t="s">
        <v>1358</v>
      </c>
      <c r="D7057" s="565">
        <v>2.5230000000000001</v>
      </c>
      <c r="E7057" s="566"/>
      <c r="F7057" s="567" t="s">
        <v>16</v>
      </c>
      <c r="G7057" s="568" t="s">
        <v>844</v>
      </c>
      <c r="H7057" s="567" t="s">
        <v>2199</v>
      </c>
      <c r="I7057" s="569"/>
      <c r="J7057" s="570"/>
      <c r="K7057" s="563"/>
      <c r="L7057" s="567" t="s">
        <v>265</v>
      </c>
      <c r="M7057" s="567">
        <v>2624.5599999999995</v>
      </c>
      <c r="N7057" s="571">
        <v>0.41666666666666669</v>
      </c>
      <c r="O7057" s="897" t="s">
        <v>2202</v>
      </c>
    </row>
    <row r="7058" spans="1:15" ht="19.5" thickBot="1" x14ac:dyDescent="0.3">
      <c r="A7058" s="955"/>
      <c r="B7058" s="636" t="s">
        <v>2162</v>
      </c>
      <c r="C7058" s="637" t="s">
        <v>1358</v>
      </c>
      <c r="D7058" s="638">
        <v>3.5030000000000001</v>
      </c>
      <c r="E7058" s="639"/>
      <c r="F7058" s="640" t="s">
        <v>16</v>
      </c>
      <c r="G7058" s="641" t="s">
        <v>845</v>
      </c>
      <c r="H7058" s="640" t="s">
        <v>2199</v>
      </c>
      <c r="I7058" s="642"/>
      <c r="J7058" s="643"/>
      <c r="K7058" s="636"/>
      <c r="L7058" s="640" t="s">
        <v>265</v>
      </c>
      <c r="M7058" s="640">
        <v>3601.7400000000002</v>
      </c>
      <c r="N7058" s="644">
        <v>0.41666666666666669</v>
      </c>
      <c r="O7058" s="897" t="s">
        <v>2203</v>
      </c>
    </row>
    <row r="7059" spans="1:15" ht="19.5" thickBot="1" x14ac:dyDescent="0.3">
      <c r="A7059" s="513">
        <f>MAX(A6937:A7058)+1</f>
        <v>4368</v>
      </c>
      <c r="B7059" s="514" t="s">
        <v>2162</v>
      </c>
      <c r="C7059" s="515" t="s">
        <v>26</v>
      </c>
      <c r="D7059" s="516">
        <v>14.427</v>
      </c>
      <c r="E7059" s="517"/>
      <c r="F7059" s="518" t="s">
        <v>30</v>
      </c>
      <c r="G7059" s="519"/>
      <c r="H7059" s="518" t="s">
        <v>2199</v>
      </c>
      <c r="I7059" s="520"/>
      <c r="J7059" s="521"/>
      <c r="K7059" s="514"/>
      <c r="L7059" s="518" t="s">
        <v>265</v>
      </c>
      <c r="M7059" s="518">
        <v>14427.119999999999</v>
      </c>
      <c r="N7059" s="522">
        <v>0.375</v>
      </c>
      <c r="O7059" s="897" t="s">
        <v>2207</v>
      </c>
    </row>
    <row r="7060" spans="1:15" x14ac:dyDescent="0.25">
      <c r="A7060" s="954">
        <f>MAX(A6938:A7059)+1</f>
        <v>4369</v>
      </c>
      <c r="B7060" s="531" t="s">
        <v>2162</v>
      </c>
      <c r="C7060" s="532" t="s">
        <v>15</v>
      </c>
      <c r="D7060" s="533">
        <v>10.724</v>
      </c>
      <c r="E7060" s="534"/>
      <c r="F7060" s="535" t="s">
        <v>16</v>
      </c>
      <c r="G7060" s="956" t="s">
        <v>1724</v>
      </c>
      <c r="H7060" s="535" t="s">
        <v>2199</v>
      </c>
      <c r="I7060" s="537"/>
      <c r="J7060" s="538"/>
      <c r="K7060" s="531"/>
      <c r="L7060" s="535" t="s">
        <v>28</v>
      </c>
      <c r="M7060" s="535">
        <v>10934.48</v>
      </c>
      <c r="N7060" s="539">
        <v>0.45833333333333331</v>
      </c>
      <c r="O7060" s="897" t="s">
        <v>2216</v>
      </c>
    </row>
    <row r="7061" spans="1:15" ht="19.5" thickBot="1" x14ac:dyDescent="0.3">
      <c r="A7061" s="955"/>
      <c r="B7061" s="636" t="s">
        <v>2162</v>
      </c>
      <c r="C7061" s="637" t="s">
        <v>24</v>
      </c>
      <c r="D7061" s="638">
        <v>5.923</v>
      </c>
      <c r="E7061" s="639"/>
      <c r="F7061" s="640" t="s">
        <v>16</v>
      </c>
      <c r="G7061" s="957"/>
      <c r="H7061" s="640" t="s">
        <v>2199</v>
      </c>
      <c r="I7061" s="642"/>
      <c r="J7061" s="643"/>
      <c r="K7061" s="636"/>
      <c r="L7061" s="640" t="s">
        <v>28</v>
      </c>
      <c r="M7061" s="640">
        <v>6103.3</v>
      </c>
      <c r="N7061" s="644">
        <v>0.45833333333333331</v>
      </c>
      <c r="O7061" s="897" t="s">
        <v>2215</v>
      </c>
    </row>
    <row r="7062" spans="1:15" ht="38.25" thickBot="1" x14ac:dyDescent="0.3">
      <c r="A7062" s="513">
        <f>MAX(A6940:A7061)+1</f>
        <v>4370</v>
      </c>
      <c r="B7062" s="514" t="s">
        <v>2162</v>
      </c>
      <c r="C7062" s="515" t="s">
        <v>47</v>
      </c>
      <c r="D7062" s="516">
        <v>17.093</v>
      </c>
      <c r="E7062" s="517"/>
      <c r="F7062" s="518" t="s">
        <v>16</v>
      </c>
      <c r="G7062" s="519" t="s">
        <v>1634</v>
      </c>
      <c r="H7062" s="518" t="s">
        <v>2199</v>
      </c>
      <c r="I7062" s="520"/>
      <c r="J7062" s="521"/>
      <c r="K7062" s="514"/>
      <c r="L7062" s="518" t="s">
        <v>28</v>
      </c>
      <c r="M7062" s="518">
        <v>17356.240000000002</v>
      </c>
      <c r="N7062" s="522">
        <v>0.5</v>
      </c>
      <c r="O7062" s="897" t="s">
        <v>2217</v>
      </c>
    </row>
    <row r="7063" spans="1:15" x14ac:dyDescent="0.25">
      <c r="A7063" s="954">
        <f>MAX(A6941:A7062)+1</f>
        <v>4371</v>
      </c>
      <c r="B7063" s="531" t="s">
        <v>2162</v>
      </c>
      <c r="C7063" s="532" t="s">
        <v>913</v>
      </c>
      <c r="D7063" s="533">
        <v>1.667</v>
      </c>
      <c r="E7063" s="534"/>
      <c r="F7063" s="535" t="s">
        <v>16</v>
      </c>
      <c r="G7063" s="536"/>
      <c r="H7063" s="535" t="s">
        <v>2199</v>
      </c>
      <c r="I7063" s="537"/>
      <c r="J7063" s="538"/>
      <c r="K7063" s="531"/>
      <c r="L7063" s="535" t="s">
        <v>266</v>
      </c>
      <c r="M7063" s="535">
        <v>1678.8</v>
      </c>
      <c r="N7063" s="539">
        <v>0.54166666666666663</v>
      </c>
      <c r="O7063" s="897" t="s">
        <v>2221</v>
      </c>
    </row>
    <row r="7064" spans="1:15" x14ac:dyDescent="0.25">
      <c r="A7064" s="958"/>
      <c r="B7064" s="563" t="s">
        <v>2162</v>
      </c>
      <c r="C7064" s="564" t="s">
        <v>1382</v>
      </c>
      <c r="D7064" s="565">
        <v>6.2930000000000001</v>
      </c>
      <c r="E7064" s="566"/>
      <c r="F7064" s="567" t="s">
        <v>16</v>
      </c>
      <c r="G7064" s="568" t="s">
        <v>844</v>
      </c>
      <c r="H7064" s="567" t="s">
        <v>2199</v>
      </c>
      <c r="I7064" s="569"/>
      <c r="J7064" s="570"/>
      <c r="K7064" s="563"/>
      <c r="L7064" s="567" t="s">
        <v>266</v>
      </c>
      <c r="M7064" s="567">
        <v>6306</v>
      </c>
      <c r="N7064" s="571">
        <v>0.54166666666666663</v>
      </c>
      <c r="O7064" s="897" t="s">
        <v>2220</v>
      </c>
    </row>
    <row r="7065" spans="1:15" x14ac:dyDescent="0.25">
      <c r="A7065" s="958"/>
      <c r="B7065" s="563" t="s">
        <v>2162</v>
      </c>
      <c r="C7065" s="564" t="s">
        <v>1382</v>
      </c>
      <c r="D7065" s="565">
        <v>1.5760000000000001</v>
      </c>
      <c r="E7065" s="566"/>
      <c r="F7065" s="567" t="s">
        <v>16</v>
      </c>
      <c r="G7065" s="568" t="s">
        <v>845</v>
      </c>
      <c r="H7065" s="567" t="s">
        <v>2199</v>
      </c>
      <c r="I7065" s="569"/>
      <c r="J7065" s="570"/>
      <c r="K7065" s="563"/>
      <c r="L7065" s="567" t="s">
        <v>28</v>
      </c>
      <c r="M7065" s="567">
        <v>1612.3799999999999</v>
      </c>
      <c r="N7065" s="571">
        <v>0.54166666666666663</v>
      </c>
      <c r="O7065" s="897" t="s">
        <v>2219</v>
      </c>
    </row>
    <row r="7066" spans="1:15" ht="19.5" thickBot="1" x14ac:dyDescent="0.3">
      <c r="A7066" s="955"/>
      <c r="B7066" s="636" t="s">
        <v>2162</v>
      </c>
      <c r="C7066" s="637" t="s">
        <v>23</v>
      </c>
      <c r="D7066" s="638">
        <v>7.9850000000000003</v>
      </c>
      <c r="E7066" s="639"/>
      <c r="F7066" s="640" t="s">
        <v>16</v>
      </c>
      <c r="G7066" s="641"/>
      <c r="H7066" s="640" t="s">
        <v>2199</v>
      </c>
      <c r="I7066" s="642"/>
      <c r="J7066" s="643"/>
      <c r="K7066" s="636"/>
      <c r="L7066" s="640" t="s">
        <v>28</v>
      </c>
      <c r="M7066" s="640">
        <v>8033.42</v>
      </c>
      <c r="N7066" s="644">
        <v>0.54166666666666663</v>
      </c>
      <c r="O7066" s="897" t="s">
        <v>2218</v>
      </c>
    </row>
    <row r="7067" spans="1:15" ht="38.25" thickBot="1" x14ac:dyDescent="0.3">
      <c r="A7067" s="513">
        <f>MAX(A6945:A7066)+1</f>
        <v>4372</v>
      </c>
      <c r="B7067" s="514" t="s">
        <v>2162</v>
      </c>
      <c r="C7067" s="515" t="s">
        <v>1382</v>
      </c>
      <c r="D7067" s="516">
        <v>5</v>
      </c>
      <c r="E7067" s="517"/>
      <c r="F7067" s="518" t="s">
        <v>16</v>
      </c>
      <c r="G7067" s="519" t="s">
        <v>1900</v>
      </c>
      <c r="H7067" s="518" t="s">
        <v>2199</v>
      </c>
      <c r="I7067" s="520"/>
      <c r="J7067" s="521"/>
      <c r="K7067" s="514"/>
      <c r="L7067" s="518" t="s">
        <v>266</v>
      </c>
      <c r="M7067" s="518">
        <v>5004</v>
      </c>
      <c r="N7067" s="522">
        <v>0.58333333333333337</v>
      </c>
      <c r="O7067" s="897" t="s">
        <v>2224</v>
      </c>
    </row>
    <row r="7068" spans="1:15" x14ac:dyDescent="0.25">
      <c r="A7068" s="954">
        <f>MAX(A6946:A7067)+1</f>
        <v>4373</v>
      </c>
      <c r="B7068" s="531" t="s">
        <v>2162</v>
      </c>
      <c r="C7068" s="532" t="s">
        <v>15</v>
      </c>
      <c r="D7068" s="533">
        <v>8.9960000000000004</v>
      </c>
      <c r="E7068" s="534"/>
      <c r="F7068" s="535" t="s">
        <v>30</v>
      </c>
      <c r="G7068" s="536"/>
      <c r="H7068" s="535" t="s">
        <v>2199</v>
      </c>
      <c r="I7068" s="537"/>
      <c r="J7068" s="538"/>
      <c r="K7068" s="531"/>
      <c r="L7068" s="535" t="s">
        <v>28</v>
      </c>
      <c r="M7068" s="535">
        <v>8996.880000000001</v>
      </c>
      <c r="N7068" s="539">
        <v>0.41666666666666669</v>
      </c>
      <c r="O7068" s="897" t="s">
        <v>2211</v>
      </c>
    </row>
    <row r="7069" spans="1:15" ht="19.5" thickBot="1" x14ac:dyDescent="0.3">
      <c r="A7069" s="955"/>
      <c r="B7069" s="636" t="s">
        <v>2162</v>
      </c>
      <c r="C7069" s="637" t="s">
        <v>24</v>
      </c>
      <c r="D7069" s="638">
        <v>5.0060000000000002</v>
      </c>
      <c r="E7069" s="639"/>
      <c r="F7069" s="640" t="s">
        <v>30</v>
      </c>
      <c r="G7069" s="641"/>
      <c r="H7069" s="640" t="s">
        <v>2199</v>
      </c>
      <c r="I7069" s="642"/>
      <c r="J7069" s="643"/>
      <c r="K7069" s="636"/>
      <c r="L7069" s="640" t="s">
        <v>28</v>
      </c>
      <c r="M7069" s="640">
        <v>5006.3999999999996</v>
      </c>
      <c r="N7069" s="644">
        <v>0.41666666666666669</v>
      </c>
      <c r="O7069" s="897" t="s">
        <v>2210</v>
      </c>
    </row>
    <row r="7070" spans="1:15" ht="19.5" thickBot="1" x14ac:dyDescent="0.3">
      <c r="A7070" s="513">
        <f>MAX(A6948:A7069)+1</f>
        <v>4374</v>
      </c>
      <c r="B7070" s="514" t="s">
        <v>2162</v>
      </c>
      <c r="C7070" s="515" t="s">
        <v>26</v>
      </c>
      <c r="D7070" s="516">
        <v>17.384</v>
      </c>
      <c r="E7070" s="517"/>
      <c r="F7070" s="518" t="s">
        <v>16</v>
      </c>
      <c r="G7070" s="519"/>
      <c r="H7070" s="518" t="s">
        <v>2208</v>
      </c>
      <c r="I7070" s="520"/>
      <c r="J7070" s="521"/>
      <c r="K7070" s="514"/>
      <c r="L7070" s="518" t="s">
        <v>265</v>
      </c>
      <c r="M7070" s="518">
        <v>17533.699999999997</v>
      </c>
      <c r="N7070" s="522">
        <v>0.375</v>
      </c>
      <c r="O7070" s="897" t="s">
        <v>2209</v>
      </c>
    </row>
    <row r="7071" spans="1:15" ht="19.5" thickBot="1" x14ac:dyDescent="0.3">
      <c r="A7071" s="503">
        <f>MAX(A6949:A7070)+1</f>
        <v>4375</v>
      </c>
      <c r="B7071" s="504" t="s">
        <v>2162</v>
      </c>
      <c r="C7071" s="505" t="s">
        <v>47</v>
      </c>
      <c r="D7071" s="506">
        <v>17.847999999999999</v>
      </c>
      <c r="E7071" s="507"/>
      <c r="F7071" s="508" t="s">
        <v>16</v>
      </c>
      <c r="G7071" s="509"/>
      <c r="H7071" s="508" t="s">
        <v>2208</v>
      </c>
      <c r="I7071" s="510"/>
      <c r="J7071" s="511"/>
      <c r="K7071" s="504"/>
      <c r="L7071" s="508" t="s">
        <v>28</v>
      </c>
      <c r="M7071" s="508">
        <v>18040.5</v>
      </c>
      <c r="N7071" s="512">
        <v>0.41666666666666669</v>
      </c>
      <c r="O7071" s="897" t="s">
        <v>2222</v>
      </c>
    </row>
    <row r="7072" spans="1:15" ht="38.25" thickBot="1" x14ac:dyDescent="0.3">
      <c r="A7072" s="513">
        <f>MAX(A6950:A7071)+1</f>
        <v>4376</v>
      </c>
      <c r="B7072" s="514" t="s">
        <v>2162</v>
      </c>
      <c r="C7072" s="515" t="s">
        <v>23</v>
      </c>
      <c r="D7072" s="516">
        <v>16.997</v>
      </c>
      <c r="E7072" s="517"/>
      <c r="F7072" s="518" t="s">
        <v>16</v>
      </c>
      <c r="G7072" s="519" t="s">
        <v>1634</v>
      </c>
      <c r="H7072" s="518" t="s">
        <v>2208</v>
      </c>
      <c r="I7072" s="520"/>
      <c r="J7072" s="521"/>
      <c r="K7072" s="514"/>
      <c r="L7072" s="518" t="s">
        <v>28</v>
      </c>
      <c r="M7072" s="518">
        <v>17121.98</v>
      </c>
      <c r="N7072" s="522">
        <v>0.45833333333333331</v>
      </c>
      <c r="O7072" s="897" t="s">
        <v>2223</v>
      </c>
    </row>
    <row r="7073" spans="1:15" x14ac:dyDescent="0.25">
      <c r="A7073" s="954">
        <f>MAX(A6951:A7072)+1</f>
        <v>4377</v>
      </c>
      <c r="B7073" s="531" t="s">
        <v>2162</v>
      </c>
      <c r="C7073" s="532" t="s">
        <v>587</v>
      </c>
      <c r="D7073" s="533">
        <v>6.6550000000000002</v>
      </c>
      <c r="E7073" s="534"/>
      <c r="F7073" s="535" t="s">
        <v>30</v>
      </c>
      <c r="G7073" s="536" t="s">
        <v>23</v>
      </c>
      <c r="H7073" s="535" t="s">
        <v>2208</v>
      </c>
      <c r="I7073" s="537"/>
      <c r="J7073" s="538"/>
      <c r="K7073" s="531"/>
      <c r="L7073" s="535" t="s">
        <v>28</v>
      </c>
      <c r="M7073" s="535">
        <v>6655.2000000000007</v>
      </c>
      <c r="N7073" s="539">
        <v>0.41666666666666669</v>
      </c>
      <c r="O7073" s="897" t="s">
        <v>2225</v>
      </c>
    </row>
    <row r="7074" spans="1:15" ht="19.5" thickBot="1" x14ac:dyDescent="0.3">
      <c r="A7074" s="955"/>
      <c r="B7074" s="636" t="s">
        <v>2162</v>
      </c>
      <c r="C7074" s="637" t="s">
        <v>23</v>
      </c>
      <c r="D7074" s="638">
        <v>5.391</v>
      </c>
      <c r="E7074" s="639"/>
      <c r="F7074" s="640" t="s">
        <v>30</v>
      </c>
      <c r="G7074" s="641"/>
      <c r="H7074" s="640" t="s">
        <v>2208</v>
      </c>
      <c r="I7074" s="642"/>
      <c r="J7074" s="643"/>
      <c r="K7074" s="636"/>
      <c r="L7074" s="640" t="s">
        <v>28</v>
      </c>
      <c r="M7074" s="640">
        <v>5391.2</v>
      </c>
      <c r="N7074" s="644">
        <v>0.41666666666666669</v>
      </c>
      <c r="O7074" s="897" t="s">
        <v>2212</v>
      </c>
    </row>
    <row r="7075" spans="1:15" x14ac:dyDescent="0.25">
      <c r="A7075" s="959">
        <f>MAX(A6953:A7074)+1</f>
        <v>4378</v>
      </c>
      <c r="B7075" s="479" t="s">
        <v>2162</v>
      </c>
      <c r="C7075" s="480" t="s">
        <v>587</v>
      </c>
      <c r="D7075" s="481">
        <v>7.875</v>
      </c>
      <c r="E7075" s="482"/>
      <c r="F7075" s="483" t="s">
        <v>30</v>
      </c>
      <c r="G7075" s="549" t="s">
        <v>47</v>
      </c>
      <c r="H7075" s="483" t="s">
        <v>2208</v>
      </c>
      <c r="I7075" s="484"/>
      <c r="J7075" s="485"/>
      <c r="K7075" s="479"/>
      <c r="L7075" s="483" t="s">
        <v>28</v>
      </c>
      <c r="M7075" s="483">
        <v>7875</v>
      </c>
      <c r="N7075" s="486">
        <v>0.45833333333333331</v>
      </c>
      <c r="O7075" s="897" t="s">
        <v>2213</v>
      </c>
    </row>
    <row r="7076" spans="1:15" ht="19.5" thickBot="1" x14ac:dyDescent="0.3">
      <c r="A7076" s="960"/>
      <c r="B7076" s="645" t="s">
        <v>2162</v>
      </c>
      <c r="C7076" s="646" t="s">
        <v>47</v>
      </c>
      <c r="D7076" s="647">
        <v>5.5419999999999998</v>
      </c>
      <c r="E7076" s="648"/>
      <c r="F7076" s="649" t="s">
        <v>30</v>
      </c>
      <c r="G7076" s="650"/>
      <c r="H7076" s="649" t="s">
        <v>2208</v>
      </c>
      <c r="I7076" s="651"/>
      <c r="J7076" s="652"/>
      <c r="K7076" s="645"/>
      <c r="L7076" s="649" t="s">
        <v>28</v>
      </c>
      <c r="M7076" s="649">
        <v>5542.4</v>
      </c>
      <c r="N7076" s="653">
        <v>0.45833333333333331</v>
      </c>
      <c r="O7076" s="897" t="s">
        <v>2214</v>
      </c>
    </row>
    <row r="7077" spans="1:15" x14ac:dyDescent="0.25">
      <c r="A7077" s="676">
        <f>MAX(A6955:A7076)+1</f>
        <v>4379</v>
      </c>
      <c r="B7077" s="676"/>
      <c r="C7077" s="473"/>
      <c r="D7077" s="474"/>
      <c r="E7077" s="475"/>
      <c r="F7077" s="676"/>
      <c r="G7077" s="476"/>
      <c r="H7077" s="676"/>
      <c r="I7077" s="477"/>
      <c r="J7077" s="478"/>
      <c r="K7077" s="676"/>
      <c r="L7077" s="676"/>
      <c r="M7077" s="676"/>
      <c r="N7077" s="676"/>
    </row>
    <row r="7078" spans="1:15" x14ac:dyDescent="0.25">
      <c r="A7078" s="676">
        <f>MAX(A6956:A7077)+1</f>
        <v>4380</v>
      </c>
      <c r="B7078" s="676"/>
      <c r="C7078" s="473"/>
      <c r="D7078" s="474"/>
      <c r="E7078" s="475"/>
      <c r="F7078" s="676"/>
      <c r="G7078" s="476"/>
      <c r="H7078" s="676"/>
      <c r="I7078" s="477"/>
      <c r="J7078" s="478"/>
      <c r="K7078" s="676"/>
      <c r="L7078" s="676"/>
      <c r="M7078" s="676"/>
      <c r="N7078" s="676"/>
    </row>
    <row r="7079" spans="1:15" x14ac:dyDescent="0.25">
      <c r="A7079" s="676">
        <f>MAX(A6957:A7078)+1</f>
        <v>4381</v>
      </c>
      <c r="B7079" s="676"/>
      <c r="C7079" s="473"/>
      <c r="D7079" s="474"/>
      <c r="E7079" s="475"/>
      <c r="F7079" s="676"/>
      <c r="G7079" s="476"/>
      <c r="H7079" s="676"/>
      <c r="I7079" s="477"/>
      <c r="J7079" s="478"/>
      <c r="K7079" s="676"/>
      <c r="L7079" s="676"/>
      <c r="M7079" s="676"/>
      <c r="N7079" s="676"/>
    </row>
    <row r="7080" spans="1:15" x14ac:dyDescent="0.25">
      <c r="A7080" s="676">
        <f>MAX(A6958:A7079)+1</f>
        <v>4382</v>
      </c>
      <c r="B7080" s="676"/>
      <c r="C7080" s="473"/>
      <c r="D7080" s="474"/>
      <c r="E7080" s="475"/>
      <c r="F7080" s="676"/>
      <c r="G7080" s="476"/>
      <c r="H7080" s="676"/>
      <c r="I7080" s="477"/>
      <c r="J7080" s="478"/>
      <c r="K7080" s="676"/>
      <c r="L7080" s="676"/>
      <c r="M7080" s="676"/>
      <c r="N7080" s="676"/>
    </row>
    <row r="7081" spans="1:15" x14ac:dyDescent="0.25">
      <c r="A7081" s="676">
        <f>MAX(A6959:A7080)+1</f>
        <v>4383</v>
      </c>
      <c r="B7081" s="676"/>
      <c r="C7081" s="473"/>
      <c r="D7081" s="474"/>
      <c r="E7081" s="475"/>
      <c r="F7081" s="676"/>
      <c r="G7081" s="476"/>
      <c r="H7081" s="676"/>
      <c r="I7081" s="477"/>
      <c r="J7081" s="478"/>
      <c r="K7081" s="676"/>
      <c r="L7081" s="676"/>
      <c r="M7081" s="676"/>
      <c r="N7081" s="676"/>
    </row>
  </sheetData>
  <autoFilter ref="A2:R7081" xr:uid="{9E4C531E-AD50-422A-AC7C-8C5AF4C19268}">
    <filterColumn colId="10">
      <filters blank="1"/>
    </filterColumn>
  </autoFilter>
  <mergeCells count="1855">
    <mergeCell ref="A6970:A6974"/>
    <mergeCell ref="A6975:A6978"/>
    <mergeCell ref="A6941:A6942"/>
    <mergeCell ref="A5243:A5244"/>
    <mergeCell ref="A5262:A5263"/>
    <mergeCell ref="A5539:A5541"/>
    <mergeCell ref="A7056:A7058"/>
    <mergeCell ref="A5593:A5594"/>
    <mergeCell ref="A6581:A6583"/>
    <mergeCell ref="A6585:A6586"/>
    <mergeCell ref="A6754:A6755"/>
    <mergeCell ref="A6691:A6692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611:A6612"/>
    <mergeCell ref="A5282:A5283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588:A5589"/>
    <mergeCell ref="A5590:A5592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5290:A5292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515:A5516"/>
    <mergeCell ref="A5412:A5413"/>
    <mergeCell ref="A5534:A5538"/>
    <mergeCell ref="A5358:A5359"/>
    <mergeCell ref="A5265:A5266"/>
    <mergeCell ref="A5316:A5317"/>
    <mergeCell ref="A5363:A5364"/>
    <mergeCell ref="A5511:A5512"/>
    <mergeCell ref="A5370:A5373"/>
    <mergeCell ref="A5445:A5446"/>
    <mergeCell ref="A5441:A5442"/>
    <mergeCell ref="A5270:A5271"/>
    <mergeCell ref="A5443:A5444"/>
    <mergeCell ref="A5385:A5386"/>
    <mergeCell ref="A5387:A5388"/>
    <mergeCell ref="A5507:A5508"/>
    <mergeCell ref="A5338:A5341"/>
    <mergeCell ref="A5531:A5532"/>
    <mergeCell ref="A5436:A5437"/>
    <mergeCell ref="A5267:A5269"/>
    <mergeCell ref="A5311:A5312"/>
    <mergeCell ref="A5296:A5297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504:A550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89:A4890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606:A5607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G6560:G6561"/>
    <mergeCell ref="A6649:A6651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G6876:G6877"/>
    <mergeCell ref="A6785:A6786"/>
    <mergeCell ref="A6780:A6781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595:A6599"/>
    <mergeCell ref="A7060:A7061"/>
    <mergeCell ref="G7060:G7061"/>
    <mergeCell ref="A7063:A7066"/>
    <mergeCell ref="A7068:A7069"/>
    <mergeCell ref="A7073:A7074"/>
    <mergeCell ref="A7075:A7076"/>
    <mergeCell ref="A7042:A7046"/>
    <mergeCell ref="A7047:A7048"/>
    <mergeCell ref="A7049:A7052"/>
    <mergeCell ref="A7011:A7013"/>
    <mergeCell ref="A7017:A7019"/>
    <mergeCell ref="A6999:A7003"/>
    <mergeCell ref="G6999:G7003"/>
    <mergeCell ref="A7004:A7005"/>
    <mergeCell ref="A6985:A6986"/>
    <mergeCell ref="A6987:A6988"/>
    <mergeCell ref="A6989:A6991"/>
    <mergeCell ref="A7032:A7034"/>
    <mergeCell ref="A7035:A7036"/>
    <mergeCell ref="A7037:A7038"/>
    <mergeCell ref="A7039:A7040"/>
    <mergeCell ref="A7053:A705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2026-08-22T15:46:08Z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