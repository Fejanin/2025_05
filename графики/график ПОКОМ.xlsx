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Father\Work\2025_05\графики\"/>
    </mc:Choice>
  </mc:AlternateContent>
  <xr:revisionPtr revIDLastSave="0" documentId="13_ncr:1_{C78D4090-9125-4282-8962-57F4E7C01142}" xr6:coauthVersionLast="47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Лист1!$A$2:$R$7034</definedName>
    <definedName name="_xlnm.Print_Area" localSheetId="0">Лист1!$A$1:$J$5690</definedName>
  </definedNames>
  <calcPr calcId="191029"/>
</workbook>
</file>

<file path=xl/calcChain.xml><?xml version="1.0" encoding="utf-8"?>
<calcChain xmlns="http://schemas.openxmlformats.org/spreadsheetml/2006/main">
  <c r="A7035" i="1" l="1"/>
  <c r="A7036" i="1"/>
  <c r="A7037" i="1"/>
  <c r="A7038" i="1" l="1"/>
  <c r="K6962" i="1"/>
  <c r="K6961" i="1"/>
  <c r="K6960" i="1"/>
  <c r="K6959" i="1"/>
  <c r="K6958" i="1"/>
  <c r="K6957" i="1"/>
  <c r="K6956" i="1"/>
  <c r="K6955" i="1"/>
  <c r="K6954" i="1"/>
  <c r="K6953" i="1"/>
  <c r="K6952" i="1"/>
  <c r="K6951" i="1"/>
  <c r="K6950" i="1"/>
  <c r="K6949" i="1"/>
  <c r="K6948" i="1"/>
  <c r="K6947" i="1"/>
  <c r="K6946" i="1"/>
  <c r="K6945" i="1"/>
  <c r="K6944" i="1"/>
  <c r="K6943" i="1"/>
  <c r="K6942" i="1"/>
  <c r="K6941" i="1"/>
  <c r="K6940" i="1"/>
  <c r="K6939" i="1"/>
  <c r="K6938" i="1"/>
  <c r="K6907" i="1"/>
  <c r="A7039" i="1" l="1"/>
  <c r="A7040" i="1" s="1"/>
  <c r="K6937" i="1"/>
  <c r="K6936" i="1"/>
  <c r="K6935" i="1"/>
  <c r="K6934" i="1"/>
  <c r="K6933" i="1"/>
  <c r="K6932" i="1"/>
  <c r="K6931" i="1"/>
  <c r="K6930" i="1"/>
  <c r="K6929" i="1"/>
  <c r="K6928" i="1"/>
  <c r="K6927" i="1"/>
  <c r="K6926" i="1"/>
  <c r="K6925" i="1"/>
  <c r="K6924" i="1"/>
  <c r="K6923" i="1"/>
  <c r="A7041" i="1" l="1"/>
  <c r="A7042" i="1" s="1"/>
  <c r="K6908" i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A7043" i="1" l="1"/>
  <c r="K6897" i="1"/>
  <c r="K6898" i="1"/>
  <c r="K6899" i="1"/>
  <c r="K6900" i="1"/>
  <c r="K6901" i="1"/>
  <c r="K6902" i="1"/>
  <c r="K6903" i="1"/>
  <c r="K6904" i="1"/>
  <c r="K6905" i="1"/>
  <c r="K6906" i="1"/>
  <c r="K6896" i="1"/>
  <c r="A7044" i="1" l="1"/>
  <c r="A7045" i="1" s="1"/>
  <c r="K6867" i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66" i="1"/>
  <c r="E6899" i="1" l="1"/>
  <c r="E6896" i="1"/>
  <c r="E6870" i="1" l="1"/>
  <c r="E6876" i="1" l="1"/>
  <c r="E6878" i="1"/>
  <c r="E6873" i="1"/>
  <c r="K6840" i="1" l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39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16" i="1"/>
  <c r="E6880" i="1"/>
  <c r="E6881" i="1"/>
  <c r="E6862" i="1" l="1"/>
  <c r="E6854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03" i="1"/>
  <c r="Q6853" i="1" l="1"/>
  <c r="Q6852" i="1"/>
  <c r="E6856" i="1" l="1"/>
  <c r="K6792" i="1" l="1"/>
  <c r="K6793" i="1"/>
  <c r="K6794" i="1"/>
  <c r="K6795" i="1"/>
  <c r="K6796" i="1"/>
  <c r="K6797" i="1"/>
  <c r="K6798" i="1"/>
  <c r="K6799" i="1"/>
  <c r="K6800" i="1"/>
  <c r="K6801" i="1"/>
  <c r="K6802" i="1"/>
  <c r="K6791" i="1"/>
  <c r="K6772" i="1" l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71" i="1"/>
  <c r="K6717" i="1" l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16" i="1"/>
  <c r="E6741" i="1" l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03" i="1"/>
  <c r="E6747" i="1" l="1"/>
  <c r="E6744" i="1" l="1"/>
  <c r="K6694" i="1" l="1"/>
  <c r="K6695" i="1"/>
  <c r="K6696" i="1"/>
  <c r="K6697" i="1"/>
  <c r="K6698" i="1"/>
  <c r="K6699" i="1"/>
  <c r="K6700" i="1"/>
  <c r="K6701" i="1"/>
  <c r="K6702" i="1"/>
  <c r="K669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73" i="1"/>
  <c r="E6709" i="1"/>
  <c r="E6682" i="1" l="1"/>
  <c r="E6680" i="1"/>
  <c r="K6666" i="1" l="1"/>
  <c r="K6667" i="1"/>
  <c r="K6668" i="1"/>
  <c r="K6669" i="1"/>
  <c r="K6670" i="1"/>
  <c r="K6671" i="1"/>
  <c r="K6672" i="1"/>
  <c r="K6665" i="1"/>
  <c r="K6645" i="1" l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44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26" i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5" i="1" l="1"/>
  <c r="A6677" i="1" s="1"/>
  <c r="A6678" i="1" l="1"/>
  <c r="A6680" i="1" l="1"/>
  <c r="A6682" i="1" l="1"/>
  <c r="A6684" i="1" s="1"/>
  <c r="A6688" i="1" l="1"/>
  <c r="A6691" i="1" l="1"/>
  <c r="A6693" i="1" l="1"/>
  <c r="A6695" i="1" l="1"/>
  <c r="A6698" i="1" l="1"/>
  <c r="A6700" i="1" l="1"/>
  <c r="A6703" i="1" s="1"/>
  <c r="A6707" i="1" l="1"/>
  <c r="A6708" i="1" l="1"/>
  <c r="A6709" i="1" l="1"/>
  <c r="A6713" i="1" s="1"/>
  <c r="A6715" i="1" l="1"/>
  <c r="A6716" i="1" l="1"/>
  <c r="A6717" i="1" s="1"/>
  <c r="A6718" i="1" l="1"/>
  <c r="A6721" i="1" l="1"/>
  <c r="A6723" i="1" l="1"/>
  <c r="A6725" i="1" l="1"/>
  <c r="A6727" i="1" l="1"/>
  <c r="A6729" i="1" l="1"/>
  <c r="A6731" i="1" l="1"/>
  <c r="A6733" i="1" l="1"/>
  <c r="A6735" i="1" l="1"/>
  <c r="A6737" i="1" l="1"/>
  <c r="A6738" i="1" s="1"/>
  <c r="A6740" i="1" l="1"/>
  <c r="A6741" i="1" s="1"/>
  <c r="A6744" i="1" s="1"/>
  <c r="A6747" i="1" s="1"/>
  <c r="A6750" i="1" l="1"/>
  <c r="A6753" i="1" s="1"/>
  <c r="A6754" i="1" s="1"/>
  <c r="A6756" i="1" l="1"/>
  <c r="A6759" i="1" l="1"/>
  <c r="A6763" i="1" s="1"/>
  <c r="A6766" i="1" l="1"/>
  <c r="A6768" i="1" l="1"/>
  <c r="A6769" i="1" s="1"/>
  <c r="A6771" i="1" s="1"/>
  <c r="A6775" i="1" l="1"/>
  <c r="A6778" i="1" l="1"/>
  <c r="A6779" i="1" s="1"/>
  <c r="A6780" i="1" s="1"/>
  <c r="A6782" i="1" s="1"/>
  <c r="A6785" i="1" l="1"/>
  <c r="A6787" i="1" l="1"/>
  <c r="A6789" i="1" l="1"/>
  <c r="A6791" i="1" l="1"/>
  <c r="A6794" i="1" l="1"/>
  <c r="A6795" i="1" l="1"/>
  <c r="A6796" i="1" s="1"/>
  <c r="A6797" i="1" s="1"/>
  <c r="A6801" i="1" l="1"/>
  <c r="A6803" i="1" l="1"/>
  <c r="A6804" i="1" l="1"/>
  <c r="A6805" i="1" s="1"/>
  <c r="A6806" i="1" s="1"/>
  <c r="A6807" i="1" l="1"/>
  <c r="A6808" i="1" l="1"/>
  <c r="A6812" i="1" s="1"/>
  <c r="A6816" i="1" s="1"/>
  <c r="A6817" i="1" l="1"/>
  <c r="A6822" i="1" l="1"/>
  <c r="A6829" i="1" l="1"/>
  <c r="A6833" i="1" l="1"/>
  <c r="A6836" i="1" l="1"/>
  <c r="A6839" i="1" l="1"/>
  <c r="A6840" i="1" l="1"/>
  <c r="A6844" i="1" l="1"/>
  <c r="A6847" i="1" l="1"/>
  <c r="A6852" i="1" l="1"/>
  <c r="A6854" i="1" l="1"/>
  <c r="A6856" i="1" l="1"/>
  <c r="A6860" i="1" l="1"/>
  <c r="A6861" i="1" l="1"/>
  <c r="A6864" i="1" s="1"/>
  <c r="A6866" i="1" l="1"/>
  <c r="A6868" i="1" s="1"/>
  <c r="A6869" i="1" l="1"/>
  <c r="A6870" i="1" l="1"/>
  <c r="A6873" i="1" l="1"/>
  <c r="A6876" i="1" l="1"/>
  <c r="A6878" i="1" s="1"/>
  <c r="A6880" i="1" l="1"/>
  <c r="A6881" i="1" l="1"/>
  <c r="A6883" i="1" l="1"/>
  <c r="A6884" i="1" l="1"/>
  <c r="A6885" i="1" l="1"/>
  <c r="A6886" i="1" l="1"/>
  <c r="A6887" i="1" l="1"/>
  <c r="A6889" i="1" l="1"/>
  <c r="A6891" i="1" l="1"/>
  <c r="A6893" i="1" l="1"/>
  <c r="A6896" i="1" s="1"/>
  <c r="A6899" i="1" s="1"/>
  <c r="A6902" i="1" l="1"/>
  <c r="A6906" i="1" l="1"/>
  <c r="A6907" i="1" l="1"/>
  <c r="A6908" i="1" l="1"/>
  <c r="A6912" i="1" s="1"/>
  <c r="A6914" i="1" s="1"/>
  <c r="A6915" i="1" l="1"/>
  <c r="A6920" i="1" l="1"/>
  <c r="A6923" i="1" l="1"/>
  <c r="A6924" i="1" l="1"/>
  <c r="A6926" i="1" s="1"/>
  <c r="A6928" i="1" s="1"/>
  <c r="A6932" i="1" s="1"/>
  <c r="A6936" i="1" s="1"/>
  <c r="A6938" i="1" l="1"/>
  <c r="A6939" i="1" s="1"/>
  <c r="A6941" i="1" s="1"/>
  <c r="A6943" i="1" s="1"/>
  <c r="A6948" i="1" s="1"/>
  <c r="A6951" i="1" s="1"/>
  <c r="A6953" i="1" s="1"/>
  <c r="A6954" i="1" l="1"/>
  <c r="A6955" i="1" s="1"/>
  <c r="A6956" i="1" s="1"/>
  <c r="A6957" i="1" s="1"/>
  <c r="A6958" i="1" s="1"/>
  <c r="A6961" i="1" s="1"/>
  <c r="A6963" i="1" l="1"/>
  <c r="A6968" i="1" s="1"/>
  <c r="A6970" i="1" s="1"/>
  <c r="A6975" i="1" l="1"/>
  <c r="A6979" i="1" s="1"/>
  <c r="A6980" i="1" s="1"/>
  <c r="A6981" i="1" s="1"/>
  <c r="A6985" i="1" s="1"/>
  <c r="A6987" i="1" l="1"/>
  <c r="A6989" i="1" s="1"/>
  <c r="A6992" i="1" s="1"/>
  <c r="A6996" i="1" s="1"/>
  <c r="A6999" i="1" s="1"/>
  <c r="A7004" i="1" s="1"/>
  <c r="A7006" i="1" s="1"/>
  <c r="A7008" i="1" l="1"/>
  <c r="A7009" i="1" s="1"/>
  <c r="A7010" i="1" s="1"/>
  <c r="A7011" i="1" s="1"/>
  <c r="A7014" i="1" s="1"/>
  <c r="A7016" i="1" s="1"/>
  <c r="A7017" i="1" l="1"/>
  <c r="A7020" i="1" l="1"/>
  <c r="A7021" i="1" l="1"/>
  <c r="A7022" i="1" s="1"/>
  <c r="A7023" i="1" s="1"/>
  <c r="A7024" i="1" s="1"/>
  <c r="A7025" i="1" l="1"/>
  <c r="A7026" i="1" s="1"/>
  <c r="A7027" i="1" s="1"/>
  <c r="A7028" i="1" s="1"/>
  <c r="A7029" i="1" l="1"/>
  <c r="A7030" i="1" s="1"/>
  <c r="A7031" i="1" s="1"/>
  <c r="A7032" i="1" l="1"/>
  <c r="A7033" i="1" l="1"/>
  <c r="A7034" i="1" s="1"/>
</calcChain>
</file>

<file path=xl/sharedStrings.xml><?xml version="1.0" encoding="utf-8"?>
<sst xmlns="http://schemas.openxmlformats.org/spreadsheetml/2006/main" count="44845" uniqueCount="2171">
  <si>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</si>
  <si>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</si>
  <si>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</si>
  <si>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</si>
  <si>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</si>
  <si>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</si>
  <si>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</si>
  <si>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</si>
  <si>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</si>
  <si>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</si>
  <si>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</si>
  <si>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</si>
  <si>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</si>
  <si>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</si>
  <si>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</si>
  <si>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</si>
  <si>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</si>
  <si>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</si>
  <si>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</si>
  <si>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</si>
  <si>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</si>
  <si>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</si>
  <si>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</si>
  <si>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</si>
  <si>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</si>
  <si>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</si>
  <si>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</si>
  <si>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</si>
  <si>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</si>
  <si>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</si>
  <si>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</si>
  <si>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</si>
  <si>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</si>
  <si>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</si>
  <si>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</si>
  <si>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</si>
  <si>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</si>
  <si>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</si>
  <si>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</si>
  <si>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</si>
  <si>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</si>
  <si>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</si>
  <si>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</si>
  <si>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</si>
  <si>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</si>
  <si>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</si>
  <si>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</si>
  <si>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</si>
  <si>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</si>
  <si>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</si>
  <si>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</si>
  <si>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</si>
  <si>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</si>
  <si>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</si>
  <si>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</si>
  <si>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</si>
  <si>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</si>
  <si>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</si>
  <si>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</si>
  <si>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</si>
  <si>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</si>
  <si>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</si>
  <si>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</si>
  <si>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</si>
  <si>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</si>
  <si>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</si>
  <si>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</si>
  <si>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</si>
  <si>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</si>
  <si>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</si>
  <si>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</si>
  <si>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</si>
  <si>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</si>
  <si>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</si>
  <si>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</si>
  <si>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</si>
  <si>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</si>
  <si>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</si>
  <si>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</si>
  <si>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</si>
  <si>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</si>
  <si>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</si>
  <si>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</si>
  <si>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</si>
  <si>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</si>
  <si>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</si>
  <si>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</si>
  <si>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</si>
  <si>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</si>
  <si>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</si>
  <si>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</si>
  <si>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</si>
  <si>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</si>
  <si>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</si>
  <si>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</si>
  <si>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</si>
  <si>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</si>
  <si>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</si>
  <si>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</si>
  <si>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</si>
  <si>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</si>
  <si>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</si>
  <si>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</si>
  <si>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</si>
  <si>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</si>
  <si>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</si>
  <si>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</si>
  <si>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</si>
  <si>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</si>
  <si>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</si>
  <si>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</si>
  <si>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</si>
  <si>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</si>
  <si>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</si>
  <si>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</si>
  <si>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</si>
  <si>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</si>
  <si>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</si>
  <si>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</si>
  <si>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</si>
  <si>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</si>
  <si>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</si>
  <si>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</si>
  <si>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</si>
  <si>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</si>
  <si>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</si>
  <si>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</si>
  <si>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</si>
  <si>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</si>
  <si>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</si>
  <si>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</si>
  <si>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</si>
  <si>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</si>
  <si>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</si>
  <si>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</si>
  <si>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</si>
  <si>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</si>
  <si>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</si>
  <si>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</si>
  <si>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</si>
  <si>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</si>
  <si>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</si>
  <si>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</si>
  <si>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</si>
  <si>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</si>
  <si>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</si>
  <si>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</si>
  <si>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</si>
  <si>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</si>
  <si>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</si>
  <si>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</si>
  <si>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</si>
  <si>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</si>
  <si>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</si>
  <si>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</si>
  <si>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</si>
  <si>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</si>
  <si>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</si>
  <si>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</si>
  <si>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</si>
  <si>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</si>
  <si>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</si>
  <si>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</si>
  <si>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</si>
  <si>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</si>
  <si>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</si>
  <si>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</si>
  <si>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</si>
  <si>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</si>
  <si>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</si>
  <si>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</si>
  <si>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</si>
  <si>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</si>
  <si>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</si>
  <si>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</si>
  <si>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</si>
  <si>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</si>
  <si>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</si>
  <si>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</si>
  <si>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</si>
  <si>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</si>
  <si>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</si>
  <si>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</si>
  <si>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</si>
  <si>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</si>
  <si>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</si>
  <si>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</si>
  <si>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</si>
  <si>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</si>
  <si>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</si>
  <si>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</si>
  <si>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</si>
  <si>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</si>
  <si>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</si>
  <si>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</si>
  <si>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</si>
  <si>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</si>
  <si>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</si>
  <si>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</si>
  <si>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</si>
  <si>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</si>
  <si>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</si>
  <si>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</si>
  <si>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</si>
  <si>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</si>
  <si>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</si>
  <si>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</si>
  <si>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</si>
  <si>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</si>
  <si>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</si>
  <si>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</si>
  <si>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</si>
  <si>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</si>
  <si>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</si>
  <si>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</si>
  <si>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</si>
  <si>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</si>
  <si>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</si>
  <si>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</si>
  <si>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</si>
  <si>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</si>
  <si>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</si>
  <si>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</si>
  <si>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</si>
  <si>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</si>
  <si>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</si>
  <si>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</si>
  <si>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</si>
  <si>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</si>
  <si>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</si>
  <si>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</si>
  <si>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</si>
  <si>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</si>
  <si>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</si>
  <si>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</si>
  <si>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</si>
  <si>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</si>
  <si>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</si>
  <si>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</si>
  <si>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</si>
  <si>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</si>
  <si>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</si>
  <si>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</si>
  <si>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</si>
  <si>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</si>
  <si>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</si>
  <si>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</si>
  <si>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</si>
  <si>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</si>
  <si>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</si>
  <si>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</si>
  <si>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</si>
  <si>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</si>
  <si>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</si>
  <si>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</si>
  <si>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</si>
  <si>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</si>
  <si>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</si>
  <si>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</si>
  <si>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</si>
  <si>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</si>
  <si>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</si>
  <si>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</si>
  <si>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</si>
  <si>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</si>
  <si>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</si>
  <si>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</si>
  <si>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</si>
  <si>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</si>
  <si>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</si>
  <si>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</si>
  <si>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</si>
  <si>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</si>
  <si>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</si>
  <si>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</si>
  <si>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</si>
  <si>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</si>
  <si>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</si>
  <si>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</si>
  <si>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</si>
  <si>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</si>
  <si>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</si>
  <si>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</si>
  <si>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</si>
  <si>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</si>
  <si>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</si>
  <si>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</si>
  <si>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</si>
  <si>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</si>
  <si>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</si>
  <si>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</si>
  <si>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</si>
  <si>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</si>
  <si>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</si>
  <si>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</si>
  <si>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</si>
  <si>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</si>
  <si>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</si>
  <si>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</si>
  <si>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</si>
  <si>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</si>
  <si>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</si>
  <si>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</si>
  <si>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</si>
  <si>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</si>
  <si>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</si>
  <si>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</si>
  <si>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</si>
  <si>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</si>
  <si>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</si>
  <si>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</si>
  <si>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</si>
  <si>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</si>
  <si>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</si>
  <si>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</si>
  <si>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</si>
  <si>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</si>
  <si>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</si>
  <si>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</si>
  <si>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</si>
  <si>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</si>
  <si>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</si>
  <si>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</si>
  <si>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</si>
  <si>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</si>
  <si>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</si>
  <si>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</si>
  <si>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</si>
  <si>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</si>
  <si>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</si>
  <si>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</si>
  <si>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</si>
  <si>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</si>
  <si>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</si>
  <si>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</si>
  <si>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</si>
  <si>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</si>
  <si>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</si>
  <si>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</si>
  <si>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</si>
  <si>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</si>
  <si>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</si>
  <si>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</si>
  <si>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</si>
  <si>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</si>
  <si>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</si>
  <si>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</si>
  <si>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</si>
  <si>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</si>
  <si>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</si>
  <si>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</si>
  <si>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</si>
  <si>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</si>
  <si>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</si>
  <si>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</si>
  <si>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</si>
  <si>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</si>
  <si>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</si>
  <si>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</si>
  <si>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</si>
  <si>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</si>
  <si>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</si>
  <si>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</si>
  <si>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</si>
  <si>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</si>
  <si>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</si>
  <si>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</si>
  <si>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</si>
  <si>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</si>
  <si>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</si>
  <si>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</si>
  <si>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</si>
  <si>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</si>
  <si>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</si>
  <si>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</si>
  <si>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</si>
  <si>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</si>
  <si>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</si>
  <si>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</si>
  <si>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</si>
  <si>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</si>
  <si>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</si>
  <si>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</si>
  <si>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</si>
  <si>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</si>
  <si>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</si>
  <si>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</si>
  <si>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</si>
  <si>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</si>
  <si>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</si>
  <si>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</si>
  <si>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</si>
  <si>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</si>
  <si>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</si>
  <si>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</si>
  <si>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</si>
  <si>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</si>
  <si>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</si>
  <si>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</si>
  <si>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</si>
  <si>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</si>
  <si>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</si>
  <si>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</si>
  <si>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</si>
  <si>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</si>
  <si>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</si>
  <si>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</si>
  <si>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</si>
  <si>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</si>
  <si>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</si>
  <si>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</si>
  <si>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</si>
  <si>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</si>
  <si>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</si>
  <si>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</si>
  <si>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</si>
  <si>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</si>
  <si>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</si>
  <si>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</si>
  <si>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</si>
  <si>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</si>
  <si>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</si>
  <si>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</si>
  <si>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</si>
  <si>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</si>
  <si>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</si>
  <si>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</si>
  <si>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</si>
  <si>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</si>
  <si>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</si>
  <si>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</si>
  <si>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</si>
  <si>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</si>
  <si>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</si>
  <si>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</si>
  <si>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</si>
  <si>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</si>
  <si>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</si>
  <si>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</si>
  <si>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</si>
  <si>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</si>
  <si>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</si>
  <si>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</si>
  <si>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</si>
  <si>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</si>
  <si>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</si>
  <si>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</si>
  <si>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</si>
  <si>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</si>
  <si>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</si>
  <si>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</si>
  <si>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</si>
  <si>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</si>
  <si>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</si>
  <si>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</si>
  <si>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</si>
  <si>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</si>
  <si>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</si>
  <si>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</si>
  <si>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</si>
  <si>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</si>
  <si>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</si>
  <si>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</si>
  <si>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</si>
  <si>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</si>
  <si>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</si>
  <si>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</si>
  <si>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</si>
  <si>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</si>
  <si>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</si>
  <si>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</si>
  <si>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</si>
  <si>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</si>
  <si>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</si>
  <si>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</si>
  <si>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</si>
  <si>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</si>
  <si>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</si>
  <si>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</si>
  <si>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</si>
  <si>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</si>
  <si>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</si>
  <si>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</si>
  <si>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</si>
  <si>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</si>
  <si>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</si>
  <si>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</si>
  <si>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</si>
  <si>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</si>
  <si>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</si>
  <si>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</si>
  <si>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</si>
  <si>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</si>
  <si>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</si>
  <si>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</si>
  <si>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</si>
  <si>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</si>
  <si>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</si>
  <si>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</si>
  <si>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</si>
  <si>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</si>
  <si>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</si>
  <si>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</si>
  <si>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</si>
  <si>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</si>
  <si>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</si>
  <si>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</si>
  <si>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</si>
  <si>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</si>
  <si>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</si>
  <si>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</si>
  <si>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</si>
  <si>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</si>
  <si>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</si>
  <si>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</si>
  <si>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</si>
  <si>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</si>
  <si>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</si>
  <si>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</si>
  <si>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</si>
  <si>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</si>
  <si>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</si>
  <si>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</si>
  <si>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</si>
  <si>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</si>
  <si>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</si>
  <si>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</si>
  <si>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</si>
  <si>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</si>
  <si>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</si>
  <si>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</si>
  <si>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</si>
  <si>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</si>
  <si>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</si>
  <si>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</si>
  <si>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</si>
  <si>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</si>
  <si>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</si>
  <si>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</si>
  <si>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</si>
  <si>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</si>
  <si>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</si>
  <si>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</si>
  <si>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</si>
  <si>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</si>
  <si>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</si>
  <si>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</si>
  <si>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</si>
  <si>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</si>
  <si>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</si>
  <si>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</si>
  <si>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</si>
  <si>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</si>
  <si>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</si>
  <si>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</si>
  <si>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</si>
  <si>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</si>
  <si>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</si>
  <si>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</si>
  <si>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</si>
  <si>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</si>
  <si>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</si>
  <si>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</si>
  <si>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</si>
  <si>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</si>
  <si>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</si>
  <si>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</si>
  <si>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</si>
  <si>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</si>
  <si>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</si>
  <si>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</si>
  <si>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</si>
  <si>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</si>
  <si>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</si>
  <si>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</si>
  <si>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</si>
  <si>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</si>
  <si>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</si>
  <si>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</si>
  <si>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</si>
  <si>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</si>
  <si>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</si>
  <si>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</si>
  <si>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</si>
  <si>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</si>
  <si>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</si>
  <si>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</si>
  <si>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</si>
  <si>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</si>
  <si>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</si>
  <si>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</si>
  <si>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</si>
  <si>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</si>
  <si>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</si>
  <si>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</si>
  <si>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</si>
  <si>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</si>
  <si>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</si>
  <si>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</si>
  <si>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</si>
  <si>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</si>
  <si>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</si>
  <si>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</si>
  <si>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</si>
  <si>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</si>
  <si>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</si>
  <si>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</si>
  <si>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</si>
  <si>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</si>
  <si>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</si>
  <si>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</si>
  <si>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</si>
  <si>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</si>
  <si>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</si>
  <si>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</si>
  <si>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</si>
  <si>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</si>
  <si>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</si>
  <si>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</si>
  <si>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</si>
  <si>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</si>
  <si>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</si>
  <si>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</si>
  <si>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</si>
  <si>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</si>
  <si>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</si>
  <si>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</si>
  <si>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</si>
  <si>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</si>
  <si>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</si>
  <si>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</si>
  <si>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</si>
  <si>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</si>
  <si>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</si>
  <si>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</si>
  <si>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</si>
  <si>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</si>
  <si>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</si>
  <si>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</si>
  <si>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</si>
  <si>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</si>
  <si>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</si>
  <si>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</si>
  <si>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</si>
  <si>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</si>
  <si>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</si>
  <si>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</si>
  <si>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</si>
  <si>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</si>
  <si>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</si>
  <si>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</si>
  <si>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</si>
  <si>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</si>
  <si>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</si>
  <si>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</si>
  <si>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</si>
  <si>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</si>
  <si>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</si>
  <si>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</si>
  <si>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</si>
  <si>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</si>
  <si>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</si>
  <si>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</si>
  <si>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</si>
  <si>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</si>
  <si>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</si>
  <si>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</si>
  <si>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</si>
  <si>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</si>
  <si>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</si>
  <si>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</si>
  <si>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</si>
  <si>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</si>
  <si>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</si>
  <si>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</si>
  <si>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</si>
  <si>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</si>
  <si>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</si>
  <si>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</si>
  <si>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</si>
  <si>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</si>
  <si>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</si>
  <si>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</si>
  <si>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</si>
  <si>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</si>
  <si>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</si>
  <si>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</si>
  <si>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</si>
  <si>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</si>
  <si>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</si>
  <si>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</si>
  <si>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</si>
  <si>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</si>
  <si>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</si>
  <si>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</si>
  <si>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</si>
  <si>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</si>
  <si>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</si>
  <si>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</si>
  <si>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</si>
  <si>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</si>
  <si>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</si>
  <si>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</si>
  <si>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</si>
  <si>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</si>
  <si>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</si>
  <si>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</si>
  <si>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</si>
  <si>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</si>
  <si>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</si>
  <si>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</si>
  <si>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</si>
  <si>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</si>
  <si>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</si>
  <si>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</si>
  <si>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</si>
  <si>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</si>
  <si>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</si>
  <si>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</si>
  <si>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</si>
  <si>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</si>
  <si>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</si>
  <si>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</si>
  <si>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</si>
  <si>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</si>
  <si>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</si>
  <si>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</si>
  <si>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</si>
  <si>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</si>
  <si>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</si>
  <si>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</si>
  <si>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</si>
  <si>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</si>
  <si>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</si>
  <si>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</si>
  <si>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</si>
  <si>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</si>
  <si>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</si>
  <si>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</si>
  <si>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</si>
  <si>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</si>
  <si>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</si>
  <si>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</si>
  <si>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</si>
  <si>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</si>
  <si>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</si>
  <si>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</si>
  <si>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</si>
  <si>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</si>
  <si>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</si>
  <si>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</si>
  <si>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</si>
  <si>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</si>
  <si>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</si>
  <si>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</si>
  <si>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</si>
  <si>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</si>
  <si>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</si>
  <si>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</si>
  <si>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</si>
  <si>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</si>
  <si>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</si>
  <si>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</si>
  <si>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</si>
  <si>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</si>
  <si>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</si>
  <si>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</si>
  <si>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</si>
  <si>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</si>
  <si>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</si>
  <si>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</si>
  <si>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</si>
  <si>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</si>
  <si>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</si>
  <si>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</si>
  <si>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</si>
  <si>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</si>
  <si>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</si>
  <si>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</si>
  <si>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</si>
  <si>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</si>
  <si>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</si>
  <si>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</si>
  <si>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</si>
  <si>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</si>
  <si>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</si>
  <si>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</si>
  <si>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</si>
  <si>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</si>
  <si>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</si>
  <si>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</si>
  <si>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</si>
  <si>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</si>
  <si>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</si>
  <si>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</si>
  <si>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</si>
  <si>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</si>
  <si>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</si>
  <si>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</si>
  <si>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</si>
  <si>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</si>
  <si>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</si>
  <si>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</si>
  <si>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</si>
  <si>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</si>
  <si>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</si>
  <si>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</si>
  <si>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</si>
  <si>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</si>
  <si>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</si>
  <si>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</si>
  <si>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</si>
  <si>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</si>
  <si>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</si>
  <si>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</si>
  <si>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</si>
  <si>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</si>
  <si>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</si>
  <si>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</si>
  <si>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</si>
  <si>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</si>
  <si>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</si>
  <si>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</si>
  <si>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</si>
  <si>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</si>
  <si>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</si>
  <si>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</si>
  <si>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</si>
  <si>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</si>
  <si>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</si>
  <si>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</si>
  <si>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</si>
  <si>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</si>
  <si>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</si>
  <si>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</si>
  <si>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</si>
  <si>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</si>
  <si>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</si>
  <si>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</si>
  <si>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</si>
  <si>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</si>
  <si>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</si>
  <si>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</si>
  <si>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</si>
  <si>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</si>
  <si>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</si>
  <si>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</si>
  <si>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</si>
  <si>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</si>
  <si>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</si>
  <si>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</si>
  <si>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</si>
  <si>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</si>
  <si>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</si>
  <si>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</si>
  <si>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</si>
  <si>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</si>
  <si>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</si>
  <si>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</si>
  <si>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</si>
  <si>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</si>
  <si>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</si>
  <si>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</si>
  <si>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</si>
  <si>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</si>
  <si>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</si>
  <si>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</si>
  <si>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</si>
  <si>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</si>
  <si>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</si>
  <si>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</si>
  <si>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</si>
  <si>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</si>
  <si>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</si>
  <si>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</si>
  <si>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</si>
  <si>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</si>
  <si>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</si>
  <si>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</si>
  <si>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</si>
  <si>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</si>
  <si>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</si>
  <si>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</si>
  <si>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</si>
  <si>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</si>
  <si>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</si>
  <si>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</si>
  <si>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</si>
  <si>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</si>
  <si>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</si>
  <si>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</si>
  <si>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</si>
  <si>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</si>
  <si>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</si>
  <si>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</si>
  <si>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</si>
  <si>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</si>
  <si>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</si>
  <si>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</si>
  <si>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</si>
  <si>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</si>
  <si>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</si>
  <si>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</si>
  <si>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</si>
  <si>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</si>
  <si>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</si>
  <si>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</si>
  <si>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</si>
  <si>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</si>
  <si>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</si>
  <si>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</si>
  <si>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</si>
  <si>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</si>
  <si>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</si>
  <si>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</si>
  <si>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</si>
  <si>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</si>
  <si>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</si>
  <si>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</si>
  <si>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</si>
  <si>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</si>
  <si>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</si>
  <si>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</si>
  <si>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</si>
  <si>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</si>
  <si>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</si>
  <si>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</si>
  <si>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</si>
  <si>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</si>
  <si>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</si>
  <si>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</si>
  <si>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</si>
  <si>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</si>
  <si>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</si>
  <si>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</si>
  <si>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</si>
  <si>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</si>
  <si>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</si>
  <si>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</si>
  <si>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</si>
  <si>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</si>
  <si>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</si>
  <si>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</si>
  <si>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</si>
  <si>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</si>
  <si>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</si>
  <si>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</si>
  <si>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</si>
  <si>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</si>
  <si>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</si>
  <si>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</si>
  <si>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</si>
  <si>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</si>
  <si>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</si>
  <si>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</si>
  <si>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</si>
  <si>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</si>
  <si>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</si>
  <si>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</si>
  <si>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</si>
  <si>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</si>
  <si>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</si>
  <si>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</si>
  <si>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</si>
  <si>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</si>
  <si>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</si>
  <si>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</si>
  <si>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</si>
  <si>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</si>
  <si>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</si>
  <si>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</si>
  <si>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</si>
  <si>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</si>
  <si>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</si>
  <si>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</si>
  <si>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</si>
  <si>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</si>
  <si>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</si>
  <si>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</si>
  <si>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</si>
  <si>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</si>
  <si>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</si>
  <si>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</si>
  <si>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</si>
  <si>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</si>
  <si>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</si>
  <si>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</si>
  <si>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</si>
  <si>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</si>
  <si>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</si>
  <si>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</si>
  <si>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</si>
  <si>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</si>
  <si>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</si>
  <si>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</si>
  <si>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</si>
  <si>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</si>
  <si>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</si>
  <si>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</si>
  <si>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</si>
  <si>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</si>
  <si>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</si>
  <si>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</si>
  <si>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</si>
  <si>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</si>
  <si>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</si>
  <si>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</si>
  <si>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</si>
  <si>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</si>
  <si>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</si>
  <si>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</si>
  <si>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</si>
  <si>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</si>
  <si>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</si>
  <si>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</si>
  <si>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</si>
  <si>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</si>
  <si>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</si>
  <si>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</si>
  <si>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</si>
  <si>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</si>
  <si>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</si>
  <si>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</si>
  <si>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</si>
  <si>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</si>
  <si>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</si>
  <si>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</si>
  <si>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</si>
  <si>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</si>
  <si>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</si>
  <si>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</si>
  <si>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</si>
  <si>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</si>
  <si>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</si>
  <si>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</si>
  <si>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</si>
  <si>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</si>
  <si>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</si>
  <si>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</si>
  <si>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</si>
  <si>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</si>
  <si>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</si>
  <si>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</si>
  <si>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</si>
  <si>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</si>
  <si>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</si>
  <si>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</si>
  <si>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</si>
  <si>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</si>
  <si>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</si>
  <si>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</si>
  <si>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</si>
  <si>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</si>
  <si>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</si>
  <si>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</si>
  <si>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</si>
  <si>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</si>
  <si>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</si>
  <si>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</si>
  <si>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</si>
  <si>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</si>
  <si>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</si>
  <si>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</si>
  <si>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</si>
  <si>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</si>
  <si>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</si>
  <si>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</si>
  <si>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</si>
  <si>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</si>
  <si>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</si>
  <si>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</si>
  <si>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</si>
  <si>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</si>
  <si>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</si>
  <si>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</si>
  <si>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</si>
  <si>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</si>
  <si>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</si>
  <si>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</si>
  <si>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</si>
  <si>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</si>
  <si>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</si>
  <si>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</si>
  <si>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</si>
  <si>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</si>
  <si>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</si>
  <si>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</si>
  <si>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</si>
  <si>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</si>
  <si>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</si>
  <si>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</si>
  <si>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</si>
  <si>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</si>
  <si>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</si>
  <si>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</si>
  <si>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</si>
  <si>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</si>
  <si>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</si>
  <si>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</si>
  <si>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</si>
  <si>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</si>
  <si>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</si>
  <si>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</si>
  <si>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</si>
  <si>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</si>
  <si>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</si>
  <si>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</si>
  <si>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</si>
  <si>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</si>
  <si>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</si>
  <si>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</si>
  <si>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</si>
  <si>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</si>
  <si>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</si>
  <si>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</si>
  <si>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</si>
  <si>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</si>
  <si>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</si>
  <si>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</si>
  <si>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</si>
  <si>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</si>
  <si>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</si>
  <si>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</si>
  <si>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</si>
  <si>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</si>
  <si>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</si>
  <si>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</si>
  <si>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</si>
  <si>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</si>
  <si>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</si>
  <si>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</si>
  <si>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</si>
  <si>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</si>
  <si>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</si>
  <si>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</si>
  <si>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</si>
  <si>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</si>
  <si>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</si>
  <si>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</si>
  <si>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</si>
  <si>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</si>
  <si>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</si>
  <si>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</si>
  <si>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</si>
  <si>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</si>
  <si>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</si>
  <si>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</si>
  <si>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</si>
  <si>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</si>
  <si>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</si>
  <si>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</si>
  <si>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</si>
  <si>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</si>
  <si>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</si>
  <si>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</si>
  <si>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</si>
  <si>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</si>
  <si>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</si>
  <si>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</si>
  <si>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</si>
  <si>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</si>
  <si>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</si>
  <si>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</si>
  <si>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</si>
  <si>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</si>
  <si>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</si>
  <si>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</si>
  <si>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</si>
  <si>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</si>
  <si>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</si>
  <si>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</si>
  <si>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</si>
  <si>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</si>
  <si>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</si>
  <si>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</si>
  <si>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</si>
  <si>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</si>
  <si>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</si>
  <si>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</si>
  <si>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</si>
  <si>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</si>
  <si>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</si>
  <si>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</si>
  <si>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</si>
  <si>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</si>
  <si>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</si>
  <si>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</si>
  <si>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</si>
  <si>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</si>
  <si>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</si>
  <si>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</si>
  <si>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</si>
  <si>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</si>
  <si>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</si>
  <si>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</si>
  <si>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</si>
  <si>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</si>
  <si>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</si>
  <si>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</si>
  <si>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</si>
  <si>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</si>
  <si>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</si>
  <si>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</si>
  <si>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</si>
  <si>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</si>
  <si>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</si>
  <si>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</si>
  <si>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</si>
  <si>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</si>
  <si>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</si>
  <si>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</si>
  <si>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</si>
  <si>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</si>
  <si>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</si>
  <si>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</si>
  <si>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</si>
  <si>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</si>
  <si>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</si>
  <si>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</si>
  <si>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</si>
  <si>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</si>
  <si>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</si>
  <si>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</si>
  <si>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</si>
  <si>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</si>
  <si>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</si>
  <si>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</si>
  <si>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</si>
  <si>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</si>
  <si>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</si>
  <si>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</si>
  <si>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</si>
  <si>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</si>
  <si>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</si>
  <si>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</si>
  <si>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</si>
  <si>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</si>
  <si>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</si>
  <si>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</si>
  <si>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</si>
  <si>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</si>
  <si>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</si>
  <si>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</si>
  <si>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</si>
  <si>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</si>
  <si>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</si>
  <si>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</si>
  <si>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</si>
  <si>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</si>
  <si>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</si>
  <si>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</si>
  <si>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</si>
  <si>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</si>
  <si>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</si>
  <si>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</si>
  <si>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</si>
  <si>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</si>
  <si>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</si>
  <si>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</si>
  <si>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</si>
  <si>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</si>
  <si>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</si>
  <si>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</si>
  <si>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</si>
  <si>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</si>
  <si>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</si>
  <si>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</si>
  <si>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</si>
  <si>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</si>
  <si>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</si>
  <si>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</si>
  <si>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</si>
  <si>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</si>
  <si>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</si>
  <si>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</si>
  <si>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</si>
  <si>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</si>
  <si>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</si>
  <si>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</si>
  <si>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</si>
  <si>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</si>
  <si>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</si>
  <si>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</si>
  <si>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</si>
  <si>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</si>
  <si>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</si>
  <si>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</si>
  <si>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</si>
  <si>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</si>
  <si>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</si>
  <si>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</si>
  <si>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</si>
  <si>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</si>
  <si>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</si>
  <si>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</si>
  <si>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</si>
  <si>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</si>
  <si>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</si>
  <si>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</si>
  <si>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</si>
  <si>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</si>
  <si>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</si>
  <si>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</si>
  <si>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</si>
  <si>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</si>
  <si>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</si>
  <si>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</si>
  <si>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</si>
  <si>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</si>
  <si>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</si>
  <si>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</si>
  <si>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</si>
  <si>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</si>
  <si>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</si>
  <si>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</si>
  <si>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</si>
  <si>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</si>
  <si>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</si>
  <si>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</si>
  <si>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</si>
  <si>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</si>
  <si>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</si>
  <si>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</si>
  <si>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</si>
  <si>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</si>
  <si>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</si>
  <si>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</si>
  <si>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</si>
  <si>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</si>
  <si>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</si>
  <si>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</si>
  <si>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</si>
  <si>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</si>
  <si>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</si>
  <si>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</si>
  <si>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</si>
  <si>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</si>
  <si>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</si>
  <si>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</si>
  <si>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</si>
  <si>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</si>
  <si>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</si>
  <si>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</si>
  <si>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</si>
  <si>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</si>
  <si>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</si>
  <si>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</si>
  <si>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</si>
  <si>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</si>
  <si>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</si>
  <si>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</si>
  <si>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</si>
  <si>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</si>
  <si>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</si>
  <si>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</si>
  <si>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</si>
  <si>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</si>
  <si>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</si>
  <si>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</si>
  <si>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</si>
  <si>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</si>
  <si>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</si>
  <si>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</si>
  <si>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</si>
  <si>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</si>
  <si>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</si>
  <si>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</si>
  <si>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</si>
  <si>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</si>
  <si>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</si>
  <si>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</si>
  <si>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</si>
  <si>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</si>
  <si>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</si>
  <si>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</si>
  <si>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</si>
  <si>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</si>
  <si>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</si>
  <si>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</si>
  <si>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</si>
  <si>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</si>
  <si>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</si>
  <si>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</si>
  <si>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</si>
  <si>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</si>
  <si>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</si>
  <si>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</si>
  <si>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</si>
  <si>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</si>
  <si>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</si>
  <si>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</si>
  <si>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</si>
  <si>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</si>
  <si>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</si>
  <si>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</si>
  <si>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</si>
  <si>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</si>
  <si>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</si>
  <si>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</si>
  <si>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</si>
  <si>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</si>
  <si>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</si>
  <si>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</si>
  <si>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</si>
  <si>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</si>
  <si>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</si>
  <si>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</si>
  <si>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</si>
  <si>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</si>
  <si>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</si>
  <si>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</si>
  <si>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</si>
  <si>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</si>
  <si>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</si>
  <si>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</si>
  <si>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</si>
  <si>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</si>
  <si>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</si>
  <si>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</si>
  <si>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</si>
  <si>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</si>
  <si>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</si>
  <si>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</si>
  <si>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</si>
  <si>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</si>
  <si>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</si>
  <si>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</si>
  <si>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</si>
  <si>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</si>
  <si>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</si>
  <si>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</si>
  <si>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</si>
  <si>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</si>
  <si>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</si>
  <si>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</si>
  <si>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</si>
  <si>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</si>
  <si>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</si>
  <si>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</si>
  <si>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</si>
  <si>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</si>
  <si>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</si>
  <si>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</si>
  <si>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</si>
  <si>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</si>
  <si>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</si>
  <si>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</si>
  <si>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</si>
  <si>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</si>
  <si>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</si>
  <si>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</si>
  <si>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</si>
  <si>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</si>
  <si>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</si>
  <si>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</si>
  <si>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</si>
  <si>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</si>
  <si>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</si>
  <si>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</si>
  <si>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</si>
  <si>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</si>
  <si>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</si>
  <si>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</si>
  <si>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</si>
  <si>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</si>
  <si>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</si>
  <si>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</si>
  <si>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</si>
  <si>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</si>
  <si>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</si>
  <si>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</si>
  <si>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</si>
  <si>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</si>
  <si>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</si>
  <si>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</si>
  <si>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</si>
  <si>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</si>
  <si>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</si>
  <si>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</si>
  <si>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</si>
  <si>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</si>
  <si>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</si>
  <si>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</si>
  <si>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</si>
  <si>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</si>
  <si>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</si>
  <si>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</si>
  <si>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</si>
  <si>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</si>
  <si>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</si>
  <si>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</si>
  <si>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</si>
  <si>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</si>
  <si>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</si>
  <si>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</si>
  <si>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</si>
  <si>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</si>
  <si>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</si>
  <si>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</si>
  <si>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</si>
  <si>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</si>
  <si>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</si>
  <si>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</si>
  <si>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</si>
  <si>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</si>
  <si>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</si>
  <si>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</si>
  <si>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</si>
  <si>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</si>
  <si>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</si>
  <si>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</si>
  <si>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</si>
  <si>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</si>
  <si>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</si>
  <si>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</si>
  <si>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</si>
  <si>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</si>
  <si>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</si>
  <si>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</si>
  <si>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</si>
  <si>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</si>
  <si>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</si>
  <si>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</si>
  <si>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</si>
  <si>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</si>
  <si>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</si>
  <si>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</si>
  <si>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</si>
  <si>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</si>
  <si>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</si>
  <si>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</si>
  <si>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</si>
  <si>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</si>
  <si>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</si>
  <si>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</si>
  <si>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</si>
  <si>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</si>
  <si>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</si>
  <si>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</si>
  <si>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</si>
  <si>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</si>
  <si>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</si>
  <si>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</si>
  <si>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</si>
  <si>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</si>
  <si>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</si>
  <si>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</si>
  <si>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</si>
  <si>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</si>
  <si>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</si>
  <si>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</si>
  <si>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</si>
  <si>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</si>
  <si>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</si>
  <si>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</si>
  <si>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</si>
  <si>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</si>
  <si>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</si>
  <si>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</si>
  <si>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</si>
  <si>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</si>
  <si>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</si>
  <si>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</si>
  <si>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</si>
  <si>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</si>
  <si>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</si>
  <si>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</si>
  <si>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</si>
  <si>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</si>
  <si>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</si>
  <si>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</si>
  <si>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</si>
  <si>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</si>
  <si>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</si>
  <si>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</si>
  <si>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</si>
  <si>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</si>
  <si>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</si>
  <si>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</si>
  <si>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</si>
  <si>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</si>
  <si>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</si>
  <si>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</si>
  <si>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</si>
  <si>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</si>
  <si>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</si>
  <si>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</si>
  <si>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</si>
  <si>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</si>
  <si>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</si>
  <si>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</si>
  <si>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</si>
  <si>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</si>
  <si>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</si>
  <si>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</si>
  <si>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</si>
  <si>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</si>
  <si>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</si>
  <si>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</si>
  <si>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</si>
  <si>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</si>
  <si>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</si>
  <si>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</si>
  <si>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</si>
  <si>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</si>
  <si>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</si>
  <si>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</si>
  <si>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</si>
  <si>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</si>
  <si>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</si>
  <si>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</si>
  <si>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</si>
  <si>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</si>
  <si>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</si>
  <si>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</si>
  <si>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</si>
  <si>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</si>
  <si>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</si>
  <si>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</si>
  <si>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</si>
  <si>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</si>
  <si>
    <t>ООО ЛП Тс148394-26 16.07.2026 Пушкарный 16906кг (Ступак)</t>
  </si>
  <si>
    <t>ООО КСК ТРЕЙД Тс149161-26 17.07.2026 Крым 11907кг (Монаков)</t>
  </si>
  <si>
    <t>ООО ЛП Тс148444-26 17.07.2026 Пушкарный 18001кг (Хохлов)</t>
  </si>
  <si>
    <t>ООО КСК ТРЕЙД Тс149088-26 17.07.2026 Крым 14662кг (Гулаков)</t>
  </si>
  <si>
    <t>ООО КСК ТРЕЙД Тс149087-26 17.07.2026 ПУД 1818кг (Гулаков)</t>
  </si>
  <si>
    <t>ООО КСК ТРЕЙД Тс149920-26 17.07.2026 Крым(2) 1906кг (Гулаков)</t>
  </si>
  <si>
    <t>ООО КСК ТРЕЙД Тс149089-26 17.07.2026 Крым 16323кг (Дворядкин)</t>
  </si>
  <si>
    <t>ООО КСК ТРЕЙД Тс149921-26 17.07.2026 Крым(2) 1906кг (Дворядкин)</t>
  </si>
  <si>
    <t>ООО ЛП Тс148492-26 17.07.2026 Пенза 15804кг (Хинько)</t>
  </si>
  <si>
    <t>ООО ЛП Тс149607-26 17.07.2026 Пенза(2) 2110кг (Хинько)</t>
  </si>
  <si>
    <t>20,07,26</t>
  </si>
  <si>
    <t>Донецк / доставка на 23,07</t>
  </si>
  <si>
    <t>КИ - 30 паллет + СЫРЫ</t>
  </si>
  <si>
    <t>КИ - 31 паллет + СЫРЫ</t>
  </si>
  <si>
    <t>21,07,26</t>
  </si>
  <si>
    <t>ООО ЛП Тс149734-26 19.07.2026 ПРС 2680кг (Жабкин)</t>
  </si>
  <si>
    <t>ООО НВ Тс150644-26 19.07.2026 Донецк 9443кг (Жабкин)</t>
  </si>
  <si>
    <t>ООО НВ Тс150981-26 19.07.2026 Донецк(2) 4044кг (Жабкин)</t>
  </si>
  <si>
    <t>ООО НВ Тс151104-26 19.07.2026 Донецк(2) 4021кг (Медведь)</t>
  </si>
  <si>
    <t>ООО НВ Тс149444-26 19.07.2026 Донецк 12947кг (Медведь)</t>
  </si>
  <si>
    <t>ООО НВ Тс149446-26 18.07.2026 Луганск 14010кг (Решетников)</t>
  </si>
  <si>
    <t>ООО НВ Тс151102-26 18.07.2026 Луганск(2) 2832кг (Решетников)</t>
  </si>
  <si>
    <t>ООО НВ Тс149189-26 19.07.2026 Мелитополь 1536кг (Пыдык)</t>
  </si>
  <si>
    <t>ООО НВ Тс149238-26 19.07.2026 Бердянск 10987кг (Пыдык)</t>
  </si>
  <si>
    <t>ООО КСК ТРЕЙД Тс150958-26 18.07.2026 Крым(2) 1813кг (Акшонин)</t>
  </si>
  <si>
    <t>ООО КСК ТРЕЙД Тс149090-26 18.07.2026 Крым 13651кг (Акшонин)</t>
  </si>
  <si>
    <t>ООО КСК ТРЕЙД Тс151108-26 18.07.2026 Крым(3) 302кг (Акшонин)</t>
  </si>
  <si>
    <t>ООО КСК ТРЕЙД Тс151150-26 18.07.2026 Крым(4) 1502кг (Акшонин)</t>
  </si>
  <si>
    <t>ООО КСК ТРЕЙД Тс150959-26 18.07.2026 Крым(2) 1807кг (Ислюков)</t>
  </si>
  <si>
    <t>ООО КСК ТРЕЙД Тс149239-26 18.07.2026 Крым 13731кг (Ислюков)</t>
  </si>
  <si>
    <t>ООО КСК ТРЕЙД Тс151103-26 18.07.2026 Крым(3) 298кг (Ислюков)</t>
  </si>
  <si>
    <t>ООО КСК ТРЕЙД Тс151151-26 18.07.2026 Крым(4) 1304кг (Ислюков)</t>
  </si>
  <si>
    <t>ООО КСК ТРЕЙД Тс149733-26 19.07.2026 Николаенко 1061кг (Стадниченко)</t>
  </si>
  <si>
    <t>ООО КСК ТРЕЙД Тс149740-26 19.07.2026 Крым 14638кг (Стадниченко)</t>
  </si>
  <si>
    <t>ООО КСК ТРЕЙД Тс150949-26 19.07.2026 Крым(2) 1801кг (Стадниченко)</t>
  </si>
  <si>
    <t>ООО ЛП Тс150348-26 19.07.2026 Пушкарный 16515кг (Абдрахимов)</t>
  </si>
  <si>
    <t>ООО ЛП Тс149159-26 19.07.2026 Пушкарный 7227кг (Латий)</t>
  </si>
  <si>
    <t>ООО ЛП Тс149173-26 19.07.2026 Обрыньба 7785кг (Латий)</t>
  </si>
  <si>
    <t>ООО КСК ТРЕЙД Тс150499-26 19.07.2026 Крым 12033кг (Некрасов)</t>
  </si>
  <si>
    <t>ООО НВ Тс150849-26 20.07.2026 Донецк 11225кг (Рева)</t>
  </si>
  <si>
    <t>ООО ЛП Тс149273-26 20.07.2026 Коныгин 4530кг (Грушецкий)</t>
  </si>
  <si>
    <t>ООО НВ Тс149436-26 20.07.2026 Луганск 9706кг (Грушецкий)</t>
  </si>
  <si>
    <t>ООО НВ Тс151105-26 20.07.2026 Луганск(2) 2545кг (Грушецкий)</t>
  </si>
  <si>
    <t>ООО НВ ЮТс-03453-26 20.07.2026 Луганск 11465кг (Ивасенко)</t>
  </si>
  <si>
    <t>ООО НВ ЮТс-03457-26 20.07.2026 Луганск(2) 15кг (Ивасенко)</t>
  </si>
  <si>
    <t>ООО НВ Тс149741-26 20.07.2026 Горняк-Горловка 213кг (Голубев)</t>
  </si>
  <si>
    <t>ООО НВ Тс149838-26 20.07.2026 Горняк-Луганск 7118кг (Голубев)</t>
  </si>
  <si>
    <t>ООО НВ Тс149730-26 20.07.2026 Луганск 5435кг (Голубев)</t>
  </si>
  <si>
    <t>ООО НВ Тс150915-26 21.07.2026 Донецк 14119кг (Васильченко)</t>
  </si>
  <si>
    <t>ООО НВ Тс151984-26 21.07.2026 Донецк(2) 1722кг (Васильченко)</t>
  </si>
  <si>
    <t>ООО КСК ТРЕЙД Тс150948-26 21.07.2026 Вердиева 2703кг (Журавлев)</t>
  </si>
  <si>
    <t>ООО КСК ТРЕЙД Тс150995-26 20.07.2026 Вердиева(2) 1656кг (Журавлев)</t>
  </si>
  <si>
    <t>ООО КСК ТРЕЙД Тс150992-26 21.07.2026 Крым 10610кг (Журавлев)</t>
  </si>
  <si>
    <t>ООО КСК ТРЕЙД Тс151153-26 21.07.2026 Крым(2) 2018кг (Журавлев)</t>
  </si>
  <si>
    <t>ООО КСК ТРЕЙД Тс151680-26 21.07.2026 Крым(3) 300кг (Журавлев)</t>
  </si>
  <si>
    <t>ООО КСК ТРЕЙД Тс149743-26 20.07.2026 Крым 15852кг (Максимов)</t>
  </si>
  <si>
    <t>ООО КСК ТРЕЙД Тс150993-26 20.07.2026 Крым(2) 1705кг (Максимов)</t>
  </si>
  <si>
    <t>ООО НВ Тс149432-26 21.07.2026 Бердянск 5228кг (Смолев)</t>
  </si>
  <si>
    <t>ООО НВ Тс149445-26 21.07.2026 Мелитополь 10012кг (Смолев)</t>
  </si>
  <si>
    <t>ООО НВ Тс151106-26 21.07.2026 Бердянск(2) 713кг (Смолев)</t>
  </si>
  <si>
    <t>ООО НВ Тс151107-26 21.07.2026 Мелитополь(2) 1011кг (Смолев)</t>
  </si>
  <si>
    <t>ООО НВ Тс150933-26 21.07.2026 Луганск 14770кг (Толстоусов)</t>
  </si>
  <si>
    <t>ООО НВ Тс151979-26 21.07.2026 Луганск(2) 924кг (Толстоусов)</t>
  </si>
  <si>
    <t>23,07,26</t>
  </si>
  <si>
    <t>ООО КСК ТРЕЙД Тс150977-26 21.07.2026 Крым 15966кг (Галкин)</t>
  </si>
  <si>
    <t>ООО КСК ТРЕЙД Тс152547-26 21.07.2026 Крым(2) 1307кг (Галкин)</t>
  </si>
  <si>
    <t>ООО НВ Тс150917-26 21.07.2026 Луганск 3586кг (Надеин)</t>
  </si>
  <si>
    <t>ООО НВ Тс150922-26 21.07.2026 Горняк-Луганск 6921кг (Надеин)</t>
  </si>
  <si>
    <t>ООО НВ Тс150854-26 21.07.2026 Бердянск 8162кг (Павленко)</t>
  </si>
  <si>
    <t>ООО НВ Тс150873-26 21.07.2026 Мелитополь 6391кг (Павленко)</t>
  </si>
  <si>
    <t>ООО НВ Тс151981-26 21.07.2026 Мелитополь(2) 1525кг (Павленко)</t>
  </si>
  <si>
    <t>ООО КСК ТРЕЙД Тс150994-26 21.07.2026 Крым 16622кг (Ступак)</t>
  </si>
  <si>
    <t>ООО КСК ТРЕЙД Тс152548-26 21.07.2026 Крым 825кг (Ступак)</t>
  </si>
  <si>
    <t>ООО НВ Тс150906-26 21.07.2026 Донецк 3409кг (Фролов)</t>
  </si>
  <si>
    <t>ООО ЛП Тс150836-26 21.07.2026 Малахутин 13617кг (Фролов)</t>
  </si>
  <si>
    <t>ООО НВ Тс153204-26 21.07.2026 Донецк 3742кг (Хохлов)</t>
  </si>
  <si>
    <t>ООО ЛП Тс150862-26 21.07.2026 НПК 12404кг (Хохлов)</t>
  </si>
  <si>
    <t>ООО КСК ТРЕЙД Тс150947-26 21.07.2026 Крым 15074кг (Юдин)</t>
  </si>
  <si>
    <t>ООО КСК ТРЕЙД Тс151165-26 21.07.2026 Крым(2) 2231кг (Юдин)</t>
  </si>
  <si>
    <t>22,07,26</t>
  </si>
  <si>
    <t>24,07,26</t>
  </si>
  <si>
    <t>ВВ</t>
  </si>
  <si>
    <t>25,07,26</t>
  </si>
  <si>
    <t>26,07,26</t>
  </si>
  <si>
    <t>Ибрагимова</t>
  </si>
  <si>
    <t>ООО ЛП Тс153719-26 23.07.2026 Пушкарный 17560кг (Абдрахимов)</t>
  </si>
  <si>
    <t>ООО ЛП Тс153721-26 23.07.2026 Пушкарный 14471кг (Латий)</t>
  </si>
  <si>
    <t>ООО ЛП Тс155102-26 23.07.2026 Пушкарный(2) 3520кг (Латий)</t>
  </si>
  <si>
    <t>ООО ЛП Тс153708-26 23.07.2026 Пушкарный 15075кг (Маятников)</t>
  </si>
  <si>
    <t>ООО ЛП Тс155103-26 23.07.2026 Пушкарный(2) 2319кг (Маятников)</t>
  </si>
  <si>
    <t>ООО КСК ТРЕЙД Тс154372-26 24.07.2026 Крым 13055кг (Некрасов)</t>
  </si>
  <si>
    <t>ООО КСК ТРЕЙД Тс154336-26 24.07.2026 Крым 15100кг (Клетченко)</t>
  </si>
  <si>
    <t>ООО КСК ТРЕЙД Тс155332-26 24.07.2026 Крым 1507кг (Клетченко)</t>
  </si>
  <si>
    <t>ООО КСК ТРЕЙД Тс155508-26 24.07.2026 Крым 507кг (Клетченко)</t>
  </si>
  <si>
    <t>ООО КСК ТРЕЙД Тс155804-26 24.07.2026 Крым 520кг (Клетченко)</t>
  </si>
  <si>
    <t>ООО ЛП Тс153723-26 24.07.2026 Пенза 17089кг (Хинько)</t>
  </si>
  <si>
    <t>ООО КСК ТРЕЙД Тс154335-26 24.07.2026 Крым 14537кг (Костев)</t>
  </si>
  <si>
    <t>ООО КСК ТРЕЙД Тс155331-26 24.07.2026 Крым(2) 1507кг (Костев)</t>
  </si>
  <si>
    <t>ООО КСК ТРЕЙД Тс155506-26 24.07.2026 Крым(3) 767кг (Костев)</t>
  </si>
  <si>
    <t>ООО КСК ТРЕЙД Тс155877-26 24.07.2026 Крым(4) 542кг (Костев)</t>
  </si>
  <si>
    <t>27,07,26</t>
  </si>
  <si>
    <t>КИ - 27 паллет + Мясной выбор (444кг/2п) + СЫРЫ</t>
  </si>
  <si>
    <t>28,07,26</t>
  </si>
  <si>
    <t>КИ - 29 паллет + СЫРЫ</t>
  </si>
  <si>
    <t>ООО НВ Тс154608-26 25.07.2026 Мелитополь 2904кг (Дворядкин)</t>
  </si>
  <si>
    <t>ООО НВ Тс154583-26 25.07.2026 Павленко 8176кг (Дворядкин)</t>
  </si>
  <si>
    <t>ООО НВ Тс155206-26 25.07.2026 Павленко(2) 6232кг (Дворядкин)</t>
  </si>
  <si>
    <t>ООО КСК ТРЕЙД Тс154337-26 24.07.2026 Крым 15887кг (Елисеев)</t>
  </si>
  <si>
    <t>ООО КСК ТРЕЙД Тс155311-26 24.07.2026 Крым(2) 1222кг (Елисеев)</t>
  </si>
  <si>
    <t>ООО КСК ТРЕЙД Тс155507-26 24.07.2026 Крым(3) 209кг (Елисеев)</t>
  </si>
  <si>
    <t>ООО КСК ТРЕЙД Тс155873-26 24.07.2026 Крым(4) 324кг (Елисеев)</t>
  </si>
  <si>
    <t>ООО НВ Тс154597-26 25.07.2026 Бердянск 8147кг (Журавлев)</t>
  </si>
  <si>
    <t>ООО НВ Тс154619-26 25.07.2026 Мелитополь 4037кг (Журавлев)</t>
  </si>
  <si>
    <t>ООО НВ Тс155202-26 25.07.2026 Бердянск 2031кг (Журавлев)</t>
  </si>
  <si>
    <t>ООО НВ Тс155203-26 25.07.2026 Мелитополь 3535кг (Журавлев)</t>
  </si>
  <si>
    <t>ООО КСК ТРЕЙД Тс154338-26 25.07.2026 Крым 13136кг (Крамаренко)</t>
  </si>
  <si>
    <t>ООО КСК ТРЕЙД Тс156366-26 25.07.2026 Крым 4422кг (Крамаренко)</t>
  </si>
  <si>
    <t>ООО КСК ТРЕЙД Тс154334-26 25.07.2026 Крым 13191кг (Саяпин)</t>
  </si>
  <si>
    <t>ООО КСК ТРЕЙД Тс156379-26 25.07.2026 Крым 4033кг (Саяпин)</t>
  </si>
  <si>
    <t>ООО КСК ТРЕЙД Тс156577-26 25.07.2026 Крым 299кг (Саяпин)</t>
  </si>
  <si>
    <t>ООО НВ Тс154615-26 25.07.2026 Луганск 14234кг (Толстоусов)</t>
  </si>
  <si>
    <t>ООО НВ Тс155208-26 25.07.2026 Луганск 2915кг (Толстоусов)</t>
  </si>
  <si>
    <t>ООО КСК ТРЕЙД Тс155144-26 26.07.2026 Крым 12041кг (Чиндин)</t>
  </si>
  <si>
    <t>ООО КСК ТРЕЙД Тс155147-26 26.07.2026 Крым 1617кг (Чиндин)</t>
  </si>
  <si>
    <t>ООО КСК ТРЕЙД Тс155148-26 26.07.2026 Крым 804кг (Чиндин)</t>
  </si>
  <si>
    <t>ООО КСК ТРЕЙД Тс156681-26 26.07.2026 Крым 2913кг (Чиндин)</t>
  </si>
  <si>
    <t>ООО ЛП Тс154344-26 26.07.2026 Сочи 9124кг (Агафонов)</t>
  </si>
  <si>
    <t>ООО ЛП Тс154345-26 26.07.2026 Сочи 4048кг (Агафонов)</t>
  </si>
  <si>
    <t>ООО ЛП Тс155972-26 26.07.2026 Сочи 1496кг (Агафонов)</t>
  </si>
  <si>
    <t>вместе с 4233</t>
  </si>
  <si>
    <t>ООО КСК ТРЕЙД Тс155935-26 26.07.2026 Крым 12856кг (Дьяченков)</t>
  </si>
  <si>
    <t>ООО НВ Тс155154-26 27.07.2026 Мелитополь 5020кг (Павленко)</t>
  </si>
  <si>
    <t>ООО НВ Тс155155-26 27.07.2026 Бердянск 8116кг (Павленко)</t>
  </si>
  <si>
    <t>ООО ЛП Тс155140-26 26.07.2026 ПРС 2061кг (Сарва)</t>
  </si>
  <si>
    <t>ООО НВ Тс155199-26 26.07.2026 Донецк 9550кг (Сарва)</t>
  </si>
  <si>
    <t>ООО НВ Тс156671-26 26.07.2026 Донецк(2) 4709кг (Сарва).pdf</t>
  </si>
  <si>
    <t>ООО ЛП Тс155848-26 26.07.2026 СПБ 9376кг (Ступак)</t>
  </si>
  <si>
    <t>ООО НВ Тс150858-26 27.07.2026 Горняк-Донецк 11345кг (Рева)</t>
  </si>
  <si>
    <t>29,07,26</t>
  </si>
  <si>
    <t>ООО КСК ТРЕЙД Тс156049-26 27.07.2026 Крым 15742кг (Галкин)</t>
  </si>
  <si>
    <t>ООО КСК ТРЕЙД Тс156899-26 27.07.2026 Крым(2) 1843кг (Галкин)</t>
  </si>
  <si>
    <t>ООО ЛП Тс156251-26 27.07.2026 НПК 8794кг (Голубев)</t>
  </si>
  <si>
    <t>ООО НВ Тс156345-26 27.07.2026 Донецк 5520кг (Голубев)</t>
  </si>
  <si>
    <t>ООО НВ Тс157166-26 27.07.2026 Донецк(2) 2425кг (Голубев)</t>
  </si>
  <si>
    <t>ООО НВ ЮТс-03594-26 27.07.2026 Горняк-Донецк 5919кг (Латий)</t>
  </si>
  <si>
    <t>ООО НВ ЮТс-03601-26 27.07.2026 Луганск 5871кг (Латий)</t>
  </si>
  <si>
    <t>ООО НВ Тс156377-26 27.07.2026 Луганск 13309кг (Надеин)</t>
  </si>
  <si>
    <t>ООО НВ Тс157168-26 27.07.2026 Луганск 2538кг (Надеин)</t>
  </si>
  <si>
    <t>30,07,26</t>
  </si>
  <si>
    <t>01,08,26</t>
  </si>
  <si>
    <t>ООО НВ Тс156382-26 28.07.2026 Луганск 17136кг (Жабкин)</t>
  </si>
  <si>
    <t>ООО КСК ТРЕЙД Тс156061-26 28.07.2026 Крым 16215кг (Филиппов)</t>
  </si>
  <si>
    <t>ООО КСК ТРЕЙД Тс158190-26 28.07.2026 Крым(2) 1119кг (Филиппов)</t>
  </si>
  <si>
    <t>31,07,26</t>
  </si>
  <si>
    <t>резерв</t>
  </si>
  <si>
    <t>ООО КСК ТРЕЙД Тс156339-26 29.07.2026 Крым 14466кг (Лапшин)</t>
  </si>
  <si>
    <t>ООО КСК ТРЕЙД Тс157576-26 29.07.2026 Крым(1) 1197кг (Лапшин)</t>
  </si>
  <si>
    <t>ООО КСК ТРЕЙД Тс158188-26 29.07.2026 Крым(2) 1636кг (Лапшин)</t>
  </si>
  <si>
    <t>ООО КСК ТРЕЙД Тс160980-26 29.07.2026 Крым(3) 207кг (Лапшин)</t>
  </si>
  <si>
    <t>ООО НВ Тс156380-26 29.07.2026 Мелитополь 11621кг (Хохлов)</t>
  </si>
  <si>
    <t>ООО НВ Тс157167-26 29.07.2026 Мелитополь(2) 2112кг (Хохлов)</t>
  </si>
  <si>
    <t>ООО НВ Тс156381-26 29.07.2026 Бердянск 13256кг (Некрасов)</t>
  </si>
  <si>
    <t>02,08,26</t>
  </si>
  <si>
    <t>ООО НВ Тс161851-26 30.07.2026 Горняк-Горловка 776кг (Должков)</t>
  </si>
  <si>
    <t>ООО НВ Тс161853-26 30.07.2026 Горняк-Луганск 6176кг (Должков)</t>
  </si>
  <si>
    <t>ООО НВ Тс161866-26 30.07.2026 Луганск 5475кг (Должков)</t>
  </si>
  <si>
    <t>ООО НВ Тс161861-26 30.07.2026 Луганск(2) 5722кг (Должков)</t>
  </si>
  <si>
    <t>ООО ЛП Тс156266-26 30.07.2026 Кочевой 17997кг (Евсеев)</t>
  </si>
  <si>
    <t>ООО ЛП Тс157749-26 30.07.2026 Бычков 5819кг (Павленко)</t>
  </si>
  <si>
    <t>ООО ЛП Тс157969-26 30.07.2026 Бычков1 2013кг (Павленко)</t>
  </si>
  <si>
    <t>ООО ЛП Тс160151-26 30.07.2026 Пушкарный 17865кг (Пыдык)</t>
  </si>
  <si>
    <t>ВВ дозаказ</t>
  </si>
  <si>
    <t>резерв (минус 800кг)</t>
  </si>
  <si>
    <t>грузить если поместится</t>
  </si>
  <si>
    <t>03,08,26</t>
  </si>
  <si>
    <t>04,08,26</t>
  </si>
  <si>
    <t>ООО КСК ТРЕЙД Тс161759-26 31.07.2026 Крым 12020кг (Гусейнов)</t>
  </si>
  <si>
    <t>ООО КСК ТРЕЙД Тс161761-26 31.07.2026 Вердиева 2523кг (Гусейнов)</t>
  </si>
  <si>
    <t>ООО КСК ТРЕЙД Тс161760-26 31.07.2026 Вердиева(2) 1175кг (Гусейнов)</t>
  </si>
  <si>
    <t>ООО КСК ТРЕЙД Тс162872-26 31.07.2026 Крым(2) 1827кг (Гусейнов)</t>
  </si>
  <si>
    <t>ООО ЛП Тс160153-26 31.07.2026 Пенза 15542кг (Агафонов)</t>
  </si>
  <si>
    <t>ООО ЛП Тс160155-26 31.07.2026 Пенза 16604кг (Гаджиев)</t>
  </si>
  <si>
    <t>ООО НВ Тс162867-26 02.08.2026 Луганск 8377кг (Жабкин)</t>
  </si>
  <si>
    <t>ООО НВ ЮТс-03663-26 31.07.2026 Павленко 11136кг (Журавлев)</t>
  </si>
  <si>
    <t>ООО НВ Тс162891-26 02.08.2026 Горяк-Луганск 7572кг (Жабкин)</t>
  </si>
  <si>
    <t>ООО НВ Тс164560-26 02.08.2026 Луганск(2) 1172кг (Жабкин)</t>
  </si>
  <si>
    <t>ООО ЛП Тс162529-26 02.08.2026 Малахутин 9654кг (Елисеев)</t>
  </si>
  <si>
    <t>ООО ЛП Тс162534-26 02.08.2026 ПРС 1521кг (Елисеев)</t>
  </si>
  <si>
    <t>ООО ЛП Тс164267-26 02.08.2026 Пушкарный 6322кг (Елисеев)</t>
  </si>
  <si>
    <t>ООО КСК ТРЕЙД Тс162672-26 01.08.2026 Крым 15580кг (Исаков)</t>
  </si>
  <si>
    <t>ООО НВ Тс161864-26 01.08.2026 Бердянск 3102кг (Ислюков)</t>
  </si>
  <si>
    <t>ООО НВ Тс161856-26 01.08.2026 Бердянск(2) 2176кг (Ислюков)</t>
  </si>
  <si>
    <t>ООО НВ Тс161849-26 01.08.2026 Мелитополь 3824кг (Ислюков)</t>
  </si>
  <si>
    <t>ООО НВ Тс161862-26 01.08.2026 Мелитополь(2) 2784кг (Ислюков)</t>
  </si>
  <si>
    <t>ООО НВ Тс164186-26 01.08.2026 Мелитополь(3) 2173кг (Ислюков)</t>
  </si>
  <si>
    <t>ООО НВ Тс164562-26 01.08.2026 Бердянск(4) 2000кг (Ислюков)</t>
  </si>
  <si>
    <t>ООО НВ Тс164156-26 01.08.2026 Бердянск(3) 1382кг (Ислюков)</t>
  </si>
  <si>
    <t>ООО НВ Тс161852-26 02.08.2026 Кочевой 1318кг (Клетченко)</t>
  </si>
  <si>
    <t>ООО НВ Тс162892-26 02.08.2026 Донецк 15394кг (Клетченко)</t>
  </si>
  <si>
    <t>ООО НВ Тс162889-26 02.08.2026 Донецк 15649кг (Кокшин)</t>
  </si>
  <si>
    <t>ООО НВ Тс164561-26 02.08.2026 Донецк(2) 1553кг (Кокшин)</t>
  </si>
  <si>
    <t>ООО КСК ТРЕЙД Тс161758-26 01.08.2026 Крым 15560кг (Мазур)</t>
  </si>
  <si>
    <t>ООО КСК ТРЕЙД Тс164441-26 01.08.2026 Крым(2) 1473кг (Мазур)</t>
  </si>
  <si>
    <t>ООО КСК ТРЕЙД Тс164095-26 01.08.2026 Крым(3) 514кг (Мазур)</t>
  </si>
  <si>
    <t>ООО НВ Тс161863-26 02.08.2026 Луганск(2) 1777кг (Медведь)</t>
  </si>
  <si>
    <t>ООО НВ Тс164563-26 02.08.2026 Луганск(3) 2530кг (Медведь)</t>
  </si>
  <si>
    <t>ООО НВ Тс161859-26 02.08.2026 Луганск 8314кг (Медведь)</t>
  </si>
  <si>
    <t>ООО НВ Тс161850-26 02.08.2026 Донецк 4819кг (Медведь)</t>
  </si>
  <si>
    <t>ООО КСК ТРЕЙД Тс164685-26 02.08.2026 Крым(3) 1118кг (Чиндин)</t>
  </si>
  <si>
    <t>ООО КСК ТРЕЙД Тс164557-26 02.08.2026 Крым(2) 4925кг (Чиндин)</t>
  </si>
  <si>
    <t>ООО КСК ТРЕЙД Тс162600-26 02.08.2026 Николаенко 1562кг (Чиндин)</t>
  </si>
  <si>
    <t>ООО КСК ТРЕЙД Тс162603-26 02.08.2026 Крым 9972кг (Чиндин)</t>
  </si>
  <si>
    <t>ООО НВ Тс164564-26 02.08.2026 Донецк(2) 931кг (Клетченко)</t>
  </si>
  <si>
    <t>ООО ЛП Тс159340-26 30.07.2026 Пушкарный 16587кг (Зубко)</t>
  </si>
  <si>
    <t>05,08,26</t>
  </si>
  <si>
    <t>ООО КСК ТРЕЙД Тс164359-26 03.08.2026 Крым 8513кг (Воронов)</t>
  </si>
  <si>
    <t>ООО КСК ТРЕЙД Тс164942-26 03.08.2026 Крым 300кг (Воронов)</t>
  </si>
  <si>
    <t>ООО КСК ТРЕЙД Тс164319-26 03.08.2026 Вердиева(2) 1518кг (Воронов)</t>
  </si>
  <si>
    <t>ООО КСК ТРЕЙД Тс164292-26 03.08.2026 Вердиева 1284кг (Воронов)</t>
  </si>
  <si>
    <t>ООО КСК ТРЕЙД Тс164787-26 03.08.2026 Крым 5882кг (Воронов)</t>
  </si>
  <si>
    <t>ООО НВ ЮТс-03733-26 03.08.2026 Луганск 12325кг (Лола)</t>
  </si>
  <si>
    <t>ООО КСК ТРЕЙД ЮТс-03725-26 03.08.2026 Крым 14860кг (Попов)</t>
  </si>
  <si>
    <t>ООО НВ ЮТс-03732-26 03.08.2026 Горняк-Луганск 10672кг (Решетов)</t>
  </si>
  <si>
    <t>ООО КСК ТРЕЙД Тс164332-26 03.08.2026 Крым 11956кг (Акшонин)</t>
  </si>
  <si>
    <t>ООО КСК ТРЕЙД Тс164786-26 03.08.2026 Крым(2) 5121кг (Акшонин)</t>
  </si>
  <si>
    <t>ООО КСК ТРЕЙД Тс165181-26 03.08.2026 Крым(3) 513кг (Акшонин)</t>
  </si>
  <si>
    <t>ООО ЛП Тс163985-26 04.08.2026 НПК 2884кг (Пыдык)</t>
  </si>
  <si>
    <t>ООО НВ Тс162887-26 04.08.2026 Донецк 1614кг (Пыдык)</t>
  </si>
  <si>
    <t>ООО НВ Тс164099-26 04.08.2026 Донецк(2) 10241кг (Пыдык)</t>
  </si>
  <si>
    <t>ООО НВ Тс164782-26 04.08.2026 Донецк(3) 3516кг (Пыдык)</t>
  </si>
  <si>
    <t>ООО НВ Тс164098-26 03.08.2026 Бердянск 3686кг (Сарва)</t>
  </si>
  <si>
    <t>ООО НВ Тс164309-26 03.08.2026 Мелитополь 9613кг (Сарва)</t>
  </si>
  <si>
    <t>ООО НВ Тс165118-26 03.08.2026 Мелитополь(2) 3621кг (Сарва)</t>
  </si>
  <si>
    <t>ООО НВ Тс165413-26 03.08.2026 Мелитополь(3) 134кг (Сарва)</t>
  </si>
  <si>
    <t>ООО НВ Тс164559-26 03.08.2026 Донецк 4124кг (Уманский)</t>
  </si>
  <si>
    <t>ООО ЛП Тс160148-26 03.08.2026 Пушкарный 2985кг (Уманский)</t>
  </si>
  <si>
    <t>ООО ЛП Тс162097-26 03.08.2026 Пушкарный(ВВ) 713кг (Уманский)</t>
  </si>
  <si>
    <t>ООО ЛП Тс162099-26 03.08.2026 Коныгин 7519кг (Уманский)</t>
  </si>
  <si>
    <t>ООО ЛП Тс164266-26 03.08.2026 Коныгин(2) 1977кг (Уманский)</t>
  </si>
  <si>
    <t>ООО НВ ЮТс-03723-26 03.08.2026 Горняк-Донецк 7129кг (Хохлов)</t>
  </si>
  <si>
    <t>ООО НВ Тс163951-26 03.08.2026 Донецк 6414кг (Хохлов)</t>
  </si>
  <si>
    <t>накладные</t>
  </si>
  <si>
    <t>TS</t>
  </si>
  <si>
    <t>06,08,26</t>
  </si>
  <si>
    <t>ООО НВ Тс164301-26 04.08.2026 Бердянск 9226кг (Исмаилов)</t>
  </si>
  <si>
    <t>ООО НВ Тс164298-26 04.08.2026 Мелитополь 5568кг (Исмаилов)</t>
  </si>
  <si>
    <t>ООО НВ Тс164151-26 04.08.2026 Бердянск(2) 15кг (Исмаилов)</t>
  </si>
  <si>
    <t>ООО КСК ТРЕЙД Тс164304-26 04.08.2026 Крым 13709кг (Муждабаев)</t>
  </si>
  <si>
    <t>ООО КСК ТРЕЙД Тс165867-26 04.08.2026 Крым(4) 753кг (Муждабаев)</t>
  </si>
  <si>
    <t>ООО КСК ТРЕЙД Тс165428-26 04.08.2026 Крым(3) 2718кг (Муждабаев)</t>
  </si>
  <si>
    <t>ООО КСК ТРЕЙД Тс164742-26 04.08.2026 Крым(2) 225кг (Муждабаев)</t>
  </si>
  <si>
    <t>ООО НВ Тс164313-26 04.08.2026 Донецк 12555кг (Ступак)</t>
  </si>
  <si>
    <t>ООО НВ Тс164161-26 04.08.2026 Донецк(2) 15кг (Ступак)</t>
  </si>
  <si>
    <t>TSO001079561</t>
  </si>
  <si>
    <t>TSO001079587</t>
  </si>
  <si>
    <t>TSO001079592</t>
  </si>
  <si>
    <t>TSO001079598</t>
  </si>
  <si>
    <t>TSO001079599</t>
  </si>
  <si>
    <t>ООО КСК ТРЕЙД Тс164372-26 04.08.2026 Крым 13231кг (Гулаков)</t>
  </si>
  <si>
    <t>ООО КСК ТРЕЙД Тс165866-26 04.08.2026 Крым(3) 539кг (Гулаков)</t>
  </si>
  <si>
    <t>ООО КСК ТРЕЙД Тс165427-26 04.08.2026 Крым(2) 3107кг (Гулаков)</t>
  </si>
  <si>
    <t>ООО КСК ТРЕЙД Тс166323-26 04.08.2026 Крым(4) 685кг (Гулаков)</t>
  </si>
  <si>
    <t>ООО НВ Тс164295-26 04.08.2026 Луганск 14218кг (Должков)</t>
  </si>
  <si>
    <t>ООО НВ Тс165306-26 04.08.2026 Луганск(2) 2621кг (Должков)</t>
  </si>
  <si>
    <t>ООО НВ Тс166528-26 04.08.2026 Луганск(3) 235кг (Должков)</t>
  </si>
  <si>
    <t>ООО НВ Тс165114-26 04.08.2026 Донецк 16503кг (Павленко)</t>
  </si>
  <si>
    <t>ООО НВ Тс165310-26 04.08.2026 Донецк(2) 1012кг (Павленко)</t>
  </si>
  <si>
    <t>ООО НВ Тс166526-26 04.08.2026 Донецк(3) 139кг (Павленко)</t>
  </si>
  <si>
    <t>TSO001079829</t>
  </si>
  <si>
    <t>ООО КСК ТРЕЙД Тс166303-26 04.08.2026 Крым 135кг (Муждабаев)</t>
  </si>
  <si>
    <t>07,08,26</t>
  </si>
  <si>
    <t>08,08,26</t>
  </si>
  <si>
    <t>TSO001080316</t>
  </si>
  <si>
    <t>TSO001080407</t>
  </si>
  <si>
    <t>TSO001080408</t>
  </si>
  <si>
    <t>TSO001080421</t>
  </si>
  <si>
    <t>TSO001080422</t>
  </si>
  <si>
    <t>TSO001080423</t>
  </si>
  <si>
    <t>TSO001080620</t>
  </si>
  <si>
    <t>липа от Химича</t>
  </si>
  <si>
    <t>TSO001080787</t>
  </si>
  <si>
    <t>TSO001080777</t>
  </si>
  <si>
    <t>09,08,26</t>
  </si>
  <si>
    <t>TSO001080802</t>
  </si>
  <si>
    <t>TSO001080800</t>
  </si>
  <si>
    <t>TSO001080803</t>
  </si>
  <si>
    <t>TSO001080804</t>
  </si>
  <si>
    <t>TSO001080807</t>
  </si>
  <si>
    <t>TSO001080808</t>
  </si>
  <si>
    <t>TSO001080906</t>
  </si>
  <si>
    <t>TSO001080907</t>
  </si>
  <si>
    <t>TSO001080884</t>
  </si>
  <si>
    <t>TSO001080891</t>
  </si>
  <si>
    <t>TSO001080893</t>
  </si>
  <si>
    <t>TSO001080901</t>
  </si>
  <si>
    <t>TSO001080892</t>
  </si>
  <si>
    <t>ООО ЛП Тс166452-26 06.08.2026 Пушкарный 14137кг (Бугаев)</t>
  </si>
  <si>
    <t>ООО ЛП Тс166502-26 06.08.2026 Пушкарный 17205кг (Довгий)</t>
  </si>
  <si>
    <t>ООО КСК ТРЕЙД Тс167546-26 06.08.2026 Крым 16011кг (Журавлев)</t>
  </si>
  <si>
    <t>ООО КСК ТРЕЙД Тс167544-26 06.08.2026 Крым(2) 858кг (Журавлев)</t>
  </si>
  <si>
    <t>ООО ЛП Тс166505-26 06.08.2026 Пенза 15236кг (Писирханов)</t>
  </si>
  <si>
    <t>ООО ЛП Тс168017-26 06.08.2026 Пенза(2) 2515кг (Писирханов)</t>
  </si>
  <si>
    <t>ООО ЛП Тс166492-26 06.08.2026 Пушкарный 14186кг (Шостак)</t>
  </si>
  <si>
    <t>TSO001081146</t>
  </si>
  <si>
    <t>TSO001081611</t>
  </si>
  <si>
    <t>10,08,26</t>
  </si>
  <si>
    <t>TSO001081610</t>
  </si>
  <si>
    <t>11,08,26</t>
  </si>
  <si>
    <t>TSO001081752</t>
  </si>
  <si>
    <t>TSO001081842</t>
  </si>
  <si>
    <t>TSO001081845</t>
  </si>
  <si>
    <t>TSO001081762</t>
  </si>
  <si>
    <t>TSO001081763</t>
  </si>
  <si>
    <t>TSO001081767</t>
  </si>
  <si>
    <t>TSO001081779</t>
  </si>
  <si>
    <t>TSO001081780</t>
  </si>
  <si>
    <t>TSO001081782</t>
  </si>
  <si>
    <t>TSO001081814</t>
  </si>
  <si>
    <t>TSO001081817</t>
  </si>
  <si>
    <t>TSO001081823</t>
  </si>
  <si>
    <t>TSO001081832</t>
  </si>
  <si>
    <t>TSO001082063</t>
  </si>
  <si>
    <t>TSO001081966</t>
  </si>
  <si>
    <t>TSO001081973</t>
  </si>
  <si>
    <t>TSO001082097</t>
  </si>
  <si>
    <t>TSO001082103</t>
  </si>
  <si>
    <t>TSO001082104</t>
  </si>
  <si>
    <t>TSO001082114</t>
  </si>
  <si>
    <t>TSO001082124</t>
  </si>
  <si>
    <t>TSO001082131</t>
  </si>
  <si>
    <t>TSO001082166</t>
  </si>
  <si>
    <t>TSO001082167</t>
  </si>
  <si>
    <t>TSO001082158</t>
  </si>
  <si>
    <t>ООО ЛП Тс166524-26 08.08.2026 Пенза 15128кг (Агафонов)</t>
  </si>
  <si>
    <t>ООО ЛП Тс168016-26 08.08.2026 Пенза(2) 2513кг (Агафонов)</t>
  </si>
  <si>
    <t>ООО КСК ТРЕЙД Тс167945-26 09.08.2026 Крым 13753кг (Ачкалов)</t>
  </si>
  <si>
    <t>ООО КСК ТРЕЙД Тс167570-26 07.08.2026 Крым 13677кг (Воронов)</t>
  </si>
  <si>
    <t>ООО КСК ТРЕЙД Тс168190-26 07.08.2026 Крым(2) 3093кг (Воронов)</t>
  </si>
  <si>
    <t>ООО КСК ТРЕЙД Тс168691-26 07.08.2026 Крым(3) 449кг (Воронов)</t>
  </si>
  <si>
    <t>ООО КСК ТРЕЙД Тс168238-26 09.08.2026 Крым 11698кг (Евсеев)</t>
  </si>
  <si>
    <t>ООО КСК ТРЕЙД Тс169841-26 09.08.2026 Крым(2) 719кг (Евсеев)</t>
  </si>
  <si>
    <t>ООО КСК ТРЕЙД Тс169909-26 09.08.2026 Крым(3) 2779кг (Евсеев)</t>
  </si>
  <si>
    <t>ООО КСК ТРЕЙД Тс168263-26 09.08.2026 Николаенко 2318кг (Евсеев)</t>
  </si>
  <si>
    <t>ООО КСК ТРЕЙД Тс168244-26 09.08.2026 Николаенко(2) 58кг (Евсеев)</t>
  </si>
  <si>
    <t>ООО КСК ТРЕЙД Тс167598-26 08.08.2026 Крым 13910кг (Крамаренко)</t>
  </si>
  <si>
    <t>ООО КСК ТРЕЙД Тс169656-26 08.08.2026 Крым(3) 974кг (Крамаренко)</t>
  </si>
  <si>
    <t>ООО КСК ТРЕЙД Тс169490-26 08.08.2026 Крым(2) 2311кг (Крамаренко)</t>
  </si>
  <si>
    <t>ООО КСК ТРЕЙД Тс169739-26 08.08.2026 Крым(4) 239кг (Крамаренко)</t>
  </si>
  <si>
    <t>ООО КСК ТРЕЙД Тс169748-26 08.08.2026 Крым(5) 135кг (Крамаренко)</t>
  </si>
  <si>
    <t>ООО КСК ТРЕЙД Тс167505-26 08.08.2026 Крым 14103кг (Латышев)</t>
  </si>
  <si>
    <t>ООО КСК ТРЕЙД Тс169653-26 08.08.2026 Крым(3) 1113кг (Латышев)</t>
  </si>
  <si>
    <t>ООО КСК ТРЕЙД Тс169471-26 08.08.2026 Крым(2) 2231кг (Латышев)</t>
  </si>
  <si>
    <t>ООО КСК ТРЕЙД Тс169747-26 08.08.2026 Крым(4) 103кг (Латышев)</t>
  </si>
  <si>
    <t>ООО НВ Тс168157-26 09.08.2026 Горняк-Горловка 373кг (Решетников)</t>
  </si>
  <si>
    <t>ООО НВ Тс168179-26 09.08.2026 Горняк-Луганск 9270кг (Решетников)</t>
  </si>
  <si>
    <t>ООО НВ Тс168203-26 09.08.2026 Луганск 5101кг (Решетников)</t>
  </si>
  <si>
    <t>ООО НВ Тс169504-26 09.08.2026 Луганск(2) 3009кг (Решетников)</t>
  </si>
  <si>
    <t>ООО ЛП Тс167935-26 09.08.2026 Пушкарный(ВВ) 5004кг (Хохлов)</t>
  </si>
  <si>
    <t>ООО ЛП Тс167948-26 09.08.2026 Коныгин 6037кг (Хохлов)</t>
  </si>
  <si>
    <t>ООО ЛП Тс167993-26 09.08.2026 Обрыньба 5801кг (Хохлов)</t>
  </si>
  <si>
    <t>ООО НВ Тс168217-26 09.08.2026 Донецк 15727кг (Рева)</t>
  </si>
  <si>
    <t>ООО НВ Тс169988-26 09.08.2026 Донецк(3) 807кг (Рева)</t>
  </si>
  <si>
    <t>ООО НВ Тс169781-26 09.08.2026 Донецк(2) 1013кг (Рева)</t>
  </si>
  <si>
    <t>12,08,26</t>
  </si>
  <si>
    <t>TSO001082471</t>
  </si>
  <si>
    <t>TSO001082473</t>
  </si>
  <si>
    <t>TSO001082482</t>
  </si>
  <si>
    <t>TSO001082483</t>
  </si>
  <si>
    <t>TSO001082558</t>
  </si>
  <si>
    <t>TSO001082578</t>
  </si>
  <si>
    <t>TSO001082672</t>
  </si>
  <si>
    <t>TSO001082730</t>
  </si>
  <si>
    <t>TSO001082732</t>
  </si>
  <si>
    <t>ООО КСК ТРЕЙД Тс169320-26 10.08.2026 Крым 13517кг (Хинько)</t>
  </si>
  <si>
    <t>ООО КСК ТРЕЙД Тс170018-26 10.08.2026 Крым(2) 3893кг (Хинько)</t>
  </si>
  <si>
    <t>ООО НВ Тс169165-26 10.08.2026 Горняк-Донецк 3030кг (Голубев)</t>
  </si>
  <si>
    <t>ООО НВ Тс169163-26 10.08.2026 Донецк 8964кг (Голубев)</t>
  </si>
  <si>
    <t>ООО КСК ТРЕЙД Тс169392-26 10.08.2026 Крым 13783кг (Кокшин)</t>
  </si>
  <si>
    <t>ООО КСК ТРЕЙД Тс170019-26 10.08.2026 Крым(2) 3738кг (Кокшин)</t>
  </si>
  <si>
    <t>ООО ЛП Тс169229-26 10.08.2026 НПК 4989кг (Медведь)</t>
  </si>
  <si>
    <t>ООО ЛП Тс169333-26 10.08.2026 ПРС 2122кг (Медведь)</t>
  </si>
  <si>
    <t>ООО НВ Тс169124-26 10.08.2026 Донецк 7945кг (Медведь)</t>
  </si>
  <si>
    <t>ООО НВ Тс170412-26 10.08.2026 Донецк(2) 2506кг (Медведь)</t>
  </si>
  <si>
    <t>TSO001083266</t>
  </si>
  <si>
    <t>TSO001083270</t>
  </si>
  <si>
    <t>13,08,26</t>
  </si>
  <si>
    <t>TSO001083296</t>
  </si>
  <si>
    <t>TSO001083297</t>
  </si>
  <si>
    <t>TSO001083290</t>
  </si>
  <si>
    <t>TSO001083445</t>
  </si>
  <si>
    <t>TSO001083743</t>
  </si>
  <si>
    <t>TSO001083749</t>
  </si>
  <si>
    <t>TSO001083748</t>
  </si>
  <si>
    <t>ООО КСК ТРЕЙД Тс168858-26 11.08.2026 Крым 14951кг (Гусейнов)</t>
  </si>
  <si>
    <t>ООО НВ Тс169393-26 11.08.2026 Луганск 13561кг (Жабкин)</t>
  </si>
  <si>
    <t>ООО НВ Тс172101-26 11.08.2026 Луганск(2) 2099кг (Жабкин)</t>
  </si>
  <si>
    <t>ООО НВ Тс172296-26 11.08.2026 Луганск(3) 1052кг (Жабкин)</t>
  </si>
  <si>
    <t>ООО КСК ТРЕЙД Тс169374-26 11.08.2026 Крым 14146кг (Журавлев)</t>
  </si>
  <si>
    <t>ООО КСК ТРЕЙД Тс170757-26 11.08.2026 Крым(2) 3559кг (Журавлев)</t>
  </si>
  <si>
    <t>ООО КСК ТРЕЙД Тс169718-26 11.08.2026 Крым 14175кг (Кива)</t>
  </si>
  <si>
    <t>ООО КСК ТРЕЙД Тс170756-26 11.08.2026 Крым(2) 3585кг (Кива)</t>
  </si>
  <si>
    <t>ООО НВ Тс169381-26 12.08.2026 Бердянск 5583кг (Сарва)</t>
  </si>
  <si>
    <t>ООО НВ Тс169467-26 12.08.2026 Мелитополь 7308кг (Сарва)</t>
  </si>
  <si>
    <t>ООО НВ Тс172100-26 12.08.2026 Бердянск(2) 1512кг (Сарва)</t>
  </si>
  <si>
    <t>ООО НВ Тс172098-26 12.08.2026 Мелитополь(3) 1307кг (Сарва)</t>
  </si>
  <si>
    <t>ООО НВ Тс170627-26 12.08.2026 Мелитополь(2) 467кг (Сарва)</t>
  </si>
  <si>
    <t>ООО НВ Тс169367-26 11.08.2026 Донецк 14518кг (Чирков)</t>
  </si>
  <si>
    <t>ООО НВ Тс170413-26 11.08.2026 Донецк(2) 1097кг (Чирков)</t>
  </si>
  <si>
    <t>ООО НВ Тс171695-26 11.08.2026 Донецк(3) 568кг (Чирков)</t>
  </si>
  <si>
    <t>ООО НВ Тс171696-26 11.08.2026 Донецк(4) 1005кг (Чирков)</t>
  </si>
  <si>
    <t>14,08,26</t>
  </si>
  <si>
    <t>TSO001084140</t>
  </si>
  <si>
    <t>TSO001084144</t>
  </si>
  <si>
    <t>15,08,26</t>
  </si>
  <si>
    <t>TSO001084224</t>
  </si>
  <si>
    <t>TSO001084220</t>
  </si>
  <si>
    <t>TSO001084229</t>
  </si>
  <si>
    <t>TSO001084225</t>
  </si>
  <si>
    <t>TSO001084231</t>
  </si>
  <si>
    <t>TSO001084232</t>
  </si>
  <si>
    <t>TSO001084250</t>
  </si>
  <si>
    <t>TSO001084249</t>
  </si>
  <si>
    <t>TSO001084248</t>
  </si>
  <si>
    <t>TSO001084268</t>
  </si>
  <si>
    <t>TSO001084270</t>
  </si>
  <si>
    <t>TSO001084272</t>
  </si>
  <si>
    <t>ООО ЛП Тс170439-26 13.08.2026 Бычков 1940кг (Евсеев)</t>
  </si>
  <si>
    <t>ООО ЛП Тс170442-26 13.08.2026 Бычков2 6631кг (Евсеев)</t>
  </si>
  <si>
    <t>16,08,26</t>
  </si>
  <si>
    <t>TSO001084799</t>
  </si>
  <si>
    <t>TSO001084769</t>
  </si>
  <si>
    <t>TSO001084801</t>
  </si>
  <si>
    <t>TSO001084766</t>
  </si>
  <si>
    <t>TSO001084771</t>
  </si>
  <si>
    <t>TSO001085047</t>
  </si>
  <si>
    <t>ООО ЛП Тс171992-26 13.08.2026 Пушкарный 15691кг (Пыдык)</t>
  </si>
  <si>
    <t>ООО ЛП Тс171975-26 14.08.2026 Пенза 15822кг (Хинько)</t>
  </si>
  <si>
    <t>ООО ЛП Тс171752-26 14.08.2026 Пушкарный 17603кг (Хохлов)</t>
  </si>
  <si>
    <t>TSO001085126</t>
  </si>
  <si>
    <t>ООО КСК ТРЕЙД Тс172953-26 14.08.2026 Крым 12959кг (Мироненко)</t>
  </si>
  <si>
    <t>ООО КСК ТРЕЙД Тс173720-26 14.08.2026 Крым(2) 4637кг (Мироненко)</t>
  </si>
  <si>
    <t>TSO001085237</t>
  </si>
  <si>
    <t>TSO001085239</t>
  </si>
  <si>
    <t>TSO001085257</t>
  </si>
  <si>
    <t>TSO001085258</t>
  </si>
  <si>
    <t>TSO001085259</t>
  </si>
  <si>
    <t>17,08,26</t>
  </si>
  <si>
    <t>18,08,26</t>
  </si>
  <si>
    <t>TSO001085445</t>
  </si>
  <si>
    <t>TSO001085421</t>
  </si>
  <si>
    <t>TSO001085422</t>
  </si>
  <si>
    <t>TSO001085423</t>
  </si>
  <si>
    <t>TSO001085427</t>
  </si>
  <si>
    <t>TSO001085425</t>
  </si>
  <si>
    <t>TSO001085432</t>
  </si>
  <si>
    <t>TSO001085439</t>
  </si>
  <si>
    <t>TSO001085444</t>
  </si>
  <si>
    <t>TSO001085464</t>
  </si>
  <si>
    <t>TSO001085523</t>
  </si>
  <si>
    <t>TSO001085653</t>
  </si>
  <si>
    <t>TSO001085721</t>
  </si>
  <si>
    <t>TSO001085734</t>
  </si>
  <si>
    <t>TSO001085732</t>
  </si>
  <si>
    <t>TSO001085733</t>
  </si>
  <si>
    <t>TSO001085735</t>
  </si>
  <si>
    <t>TSO001085758</t>
  </si>
  <si>
    <t>TSO001085786</t>
  </si>
  <si>
    <t>TSO001085794</t>
  </si>
  <si>
    <t>ООО КСК ТРЕЙД Тс172902-26 14.08.2026 Крым 12427кг (Гончаренко)</t>
  </si>
  <si>
    <t>ООО КСК ТРЕЙД Тс174472-26 14.08.2026 Крым(3) 2386кг (Гончаренко)</t>
  </si>
  <si>
    <t>ООО КСК ТРЕЙД Тс173812-26 14.08.2026 Крым(2) 2406кг (Гончаренко)</t>
  </si>
  <si>
    <t>ООО ЛП Тс172769-26 16.08.2026 Обрыньба 4203кг (Грушецкий)</t>
  </si>
  <si>
    <t>ООО КСК ТРЕЙД Тс172972-26 15.08.2026 Крым 12761кг (Ислюков)</t>
  </si>
  <si>
    <t>ООО КСК ТРЕЙД Тс174950-26 15.08.2026 Крым(2) 4432кг (Ислюков)</t>
  </si>
  <si>
    <t>ООО КСК ТРЕЙД ЮТс-03951-26 15.08.2026 Крым 14669кг (Лапшин)</t>
  </si>
  <si>
    <t>ООО КСК ТРЕЙД Тс173379-26 16.08.2026 Николаенко 1464кг (Максимов)</t>
  </si>
  <si>
    <t>ООО КСК ТРЕЙД Тс173383-26 16.08.2026 Крым 10817кг (Максимов)</t>
  </si>
  <si>
    <t>ООО КСК ТРЕЙД Тс175228-26 16.08.2026 Крым(3) 1869кг (Максимов)</t>
  </si>
  <si>
    <t>ООО КСК ТРЕЙД Тс175095-26 16.08.2026 Крым(2) 3620кг (Максимов)</t>
  </si>
  <si>
    <t>ООО НВ Тс172782-26 15.08.2026 Горняк-Горловка 451кг (Медведь)</t>
  </si>
  <si>
    <t>ООО НВ Тс172784-26 15.08.2026 Горняк-Луганск 6992кг (Медведь)</t>
  </si>
  <si>
    <t>ООО НВ Тс172783-26 15.08.2026 Луганск 5643кг (Медведь)</t>
  </si>
  <si>
    <t>ООО НВ Тс174953-26 15.08.2026 Луганск(2) 2898кг (Медведь)</t>
  </si>
  <si>
    <t>ООО ЛП ЮТс-03879-26 16.08.2026 ПРС 10739кг (Пыдык)</t>
  </si>
  <si>
    <t>ООО НВ Тс172763-26 16.08.2026 Бердянск 2452кг (Уманский)</t>
  </si>
  <si>
    <t>ООО НВ Тс172766-26 16.08.2026 Мелитополь 2482кг (Уманский)</t>
  </si>
  <si>
    <t>ООО НВ Тс172768-26 16.08.2026 Павленко 8883кг (Уманский)</t>
  </si>
  <si>
    <t>ООО НВ Тс174952-26 15.08.2026 Бердянск(2) 1300кг (Уманский)</t>
  </si>
  <si>
    <t>ООО НВ Тс174956-26 16.08.2026 Мелитополь(2) 2369кг (Уманский)</t>
  </si>
  <si>
    <t>ООО НВ Тс173447-26 17.08.2026 Донецк 16302кг (Хинько)</t>
  </si>
  <si>
    <t>ООО НВ Тс175187-26 17.08.2026 Донецк(2) 1515кг (Хинько)</t>
  </si>
  <si>
    <t>ООО НВ Тс170800-26 16.08.2026 Луганск 13073кг (Шилкин)</t>
  </si>
  <si>
    <t>TSO001085487</t>
  </si>
  <si>
    <t>TSO001085867</t>
  </si>
  <si>
    <t>TSO001085915</t>
  </si>
  <si>
    <t>19,08,26</t>
  </si>
  <si>
    <t>TSO001086013</t>
  </si>
  <si>
    <t>ООО ЛП Тс172770-26 16.08.2026 Коныгин 4403кг (Грушецкий)</t>
  </si>
  <si>
    <t>ООО ЛП Тс172773-26 16.08.2026 Пушкарный(ВВ) 2385кг (Грушецкий)</t>
  </si>
  <si>
    <t>TSO001086087</t>
  </si>
  <si>
    <t>TSO001086075</t>
  </si>
  <si>
    <t>TSO001086080</t>
  </si>
  <si>
    <t>TSO001086099</t>
  </si>
  <si>
    <t>TSO001086101</t>
  </si>
  <si>
    <t>TSO001086086</t>
  </si>
  <si>
    <t>TSO001086104</t>
  </si>
  <si>
    <t>ООО КСК ТРЕЙД Тс174513-26 17.08.2026 Крым 14386кг (Митин)</t>
  </si>
  <si>
    <t>TSO001085800</t>
  </si>
  <si>
    <t>TSO001086297</t>
  </si>
  <si>
    <t>TSO001086405</t>
  </si>
  <si>
    <t>ООО НВ Тс174252-26 17.08.2026 Аист 3276кг (Воронов)</t>
  </si>
  <si>
    <t>ООО НВ Тс174049-26 17.08.2026 Павленко 6963кг (Воронов)</t>
  </si>
  <si>
    <t>ООО НВ Тс174794-26 17.08.2026 Донецк 16478кг (Голубев)</t>
  </si>
  <si>
    <t>ООО НВ Тс175900-26 17.08.2026 Донецк(2) 1266кг (Голубев)</t>
  </si>
  <si>
    <t>ООО КСК ТРЕЙД Тс174800-26 17.08.2026 Крым 13607кг (Жуков)</t>
  </si>
  <si>
    <t>ООО КСК ТРЕЙД Тс175478-26 17.08.2026 Крым(3) 1912кг (Жуков)</t>
  </si>
  <si>
    <t>ООО КСК ТРЕЙД Тс175330-26 17.08.2026 Крым(2) 1868кг (Жуков)</t>
  </si>
  <si>
    <t>ООО ЛП Тс174261-26 18.08.2026 Малахутин 8081кг (Исаков)</t>
  </si>
  <si>
    <t>ООО ЛП Тс174267-26 18.08.2026 НПК 6035кг (Исаков)</t>
  </si>
  <si>
    <t>ООО КСК ТРЕЙД Тс174593-26 17.08.2026 Крым 8733кг (Крамаренко)</t>
  </si>
  <si>
    <t>ООО КСК ТРЕЙД Тс174599-26 17.08.2026 Вердиева 3825кг (Крамаренко)</t>
  </si>
  <si>
    <t>ООО КСК ТРЕЙД Тс174602-26 17.08.2026 Вердиева(2) 1382кг (Крамаренко)</t>
  </si>
  <si>
    <t>ООО КСК ТРЕЙД Тс175329-26 17.08.2026 Крым(2) 3782кг (Крамаренко)</t>
  </si>
  <si>
    <t>ООО ЛП Тс175467-26 17.08.2026 Кочевой 17730кг (Рева)</t>
  </si>
  <si>
    <t>ООО НВ Тс174804-26 17.08.2026 Луганск 14334кг (Решетников)</t>
  </si>
  <si>
    <t>ООО НВ Тс175903-26 17.08.2026 Луганск(2) 3261кг (Решетников)</t>
  </si>
  <si>
    <t>TSO001086822</t>
  </si>
  <si>
    <t>20,08,26</t>
  </si>
  <si>
    <t>TSO001086887</t>
  </si>
  <si>
    <t>TSO001086925</t>
  </si>
  <si>
    <t>TSO001086892</t>
  </si>
  <si>
    <t>TSO001086907</t>
  </si>
  <si>
    <t>TSO001086930</t>
  </si>
  <si>
    <t>ООО НВ Тс174588-26 18.08.2026 Бердянск 6573кг (Исмаилов)</t>
  </si>
  <si>
    <t>ООО НВ Тс174737-26 18.08.2026 Мелитополь 5924кг (Исмаилов)</t>
  </si>
  <si>
    <t>ООО НВ Тс175901-26 18.08.2026 Бердянск(2) 1716кг (Исмаилов)</t>
  </si>
  <si>
    <t>ООО НВ Тс176532-26 18.08.2026 Мелитополь(3) 703кг (Исмаилов)</t>
  </si>
  <si>
    <t>ООО НВ Тс175902-26 18.08.2026 Мелитополь(2) 2120кг (Исмаилов)</t>
  </si>
  <si>
    <t>TSO001087019</t>
  </si>
  <si>
    <t>ООО НВ Тс174765-26 18.08.2026 Донецк 16494кг (Чирков)</t>
  </si>
  <si>
    <t>ООО НВ Тс176909-26 18.08.2026 Донецк(2) 840кг (Чирков)</t>
  </si>
  <si>
    <t>21,08,26</t>
  </si>
  <si>
    <t>TSO001087762</t>
  </si>
  <si>
    <t>22,08,26</t>
  </si>
  <si>
    <t>TSO001087780</t>
  </si>
  <si>
    <t>TSO001087824</t>
  </si>
  <si>
    <t>TSO001087831</t>
  </si>
  <si>
    <t>TSO001087837</t>
  </si>
  <si>
    <t>TSO001087854</t>
  </si>
  <si>
    <t>TSO001087856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</si>
</sst>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_ ;[Red]\-0\ "/>
    <numFmt numFmtId="167" formatCode="0.00_ ;[Red]\-0.00\ "/>
  </numFmts>
  <fonts count="46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</fonts>
  <fills count="44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</fills>
  <borders count="9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46">
    <xf numFmtId="0" fontId="0" fillId="0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3" borderId="0"/>
    <xf numFmtId="0" fontId="3" fillId="3" borderId="0"/>
    <xf numFmtId="0" fontId="3" fillId="2" borderId="0"/>
    <xf numFmtId="0" fontId="3" fillId="2" borderId="0"/>
    <xf numFmtId="0" fontId="3" fillId="4" borderId="0"/>
    <xf numFmtId="0" fontId="3" fillId="4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4" fillId="2" borderId="1"/>
    <xf numFmtId="0" fontId="4" fillId="2" borderId="1"/>
    <xf numFmtId="0" fontId="5" fillId="2" borderId="2"/>
    <xf numFmtId="0" fontId="5" fillId="2" borderId="2"/>
    <xf numFmtId="0" fontId="6" fillId="2" borderId="1"/>
    <xf numFmtId="0" fontId="6" fillId="2" borderId="1"/>
    <xf numFmtId="0" fontId="7" fillId="0" borderId="3"/>
    <xf numFmtId="0" fontId="7" fillId="0" borderId="3"/>
    <xf numFmtId="0" fontId="8" fillId="0" borderId="4"/>
    <xf numFmtId="0" fontId="8" fillId="0" borderId="4"/>
    <xf numFmtId="0" fontId="9" fillId="0" borderId="5"/>
    <xf numFmtId="0" fontId="9" fillId="0" borderId="5"/>
    <xf numFmtId="0" fontId="9" fillId="0" borderId="0"/>
    <xf numFmtId="0" fontId="9" fillId="0" borderId="0"/>
    <xf numFmtId="0" fontId="6" fillId="0" borderId="6"/>
    <xf numFmtId="0" fontId="6" fillId="0" borderId="6"/>
    <xf numFmtId="0" fontId="6" fillId="2" borderId="7"/>
    <xf numFmtId="0" fontId="6" fillId="2" borderId="7"/>
    <xf numFmtId="0" fontId="10" fillId="0" borderId="0"/>
    <xf numFmtId="0" fontId="10" fillId="0" borderId="0"/>
    <xf numFmtId="0" fontId="11" fillId="2" borderId="0"/>
    <xf numFmtId="0" fontId="11" fillId="2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0" borderId="0"/>
    <xf numFmtId="0" fontId="3" fillId="2" borderId="0"/>
    <xf numFmtId="0" fontId="3" fillId="2" borderId="0"/>
    <xf numFmtId="0" fontId="14" fillId="0" borderId="0"/>
    <xf numFmtId="0" fontId="14" fillId="0" borderId="0"/>
    <xf numFmtId="0" fontId="12" fillId="2" borderId="1"/>
    <xf numFmtId="0" fontId="12" fillId="2" borderId="1"/>
    <xf numFmtId="0" fontId="12" fillId="2" borderId="1"/>
    <xf numFmtId="0" fontId="12" fillId="2" borderId="1"/>
    <xf numFmtId="0" fontId="3" fillId="0" borderId="8"/>
    <xf numFmtId="0" fontId="3" fillId="0" borderId="8"/>
    <xf numFmtId="0" fontId="3" fillId="0" borderId="0"/>
    <xf numFmtId="0" fontId="3" fillId="0" borderId="0"/>
    <xf numFmtId="0" fontId="3" fillId="2" borderId="0"/>
    <xf numFmtId="0" fontId="3" fillId="2" borderId="0"/>
    <xf numFmtId="0" fontId="23" fillId="21" borderId="0"/>
    <xf numFmtId="0" fontId="23" fillId="22" borderId="0"/>
    <xf numFmtId="0" fontId="23" fillId="23" borderId="0"/>
    <xf numFmtId="0" fontId="23" fillId="24" borderId="0"/>
    <xf numFmtId="0" fontId="23" fillId="20" borderId="0"/>
    <xf numFmtId="0" fontId="23" fillId="18" borderId="0"/>
    <xf numFmtId="0" fontId="23" fillId="28" borderId="0"/>
    <xf numFmtId="0" fontId="23" fillId="26" borderId="0"/>
    <xf numFmtId="0" fontId="23" fillId="29" borderId="0"/>
    <xf numFmtId="0" fontId="23" fillId="24" borderId="0"/>
    <xf numFmtId="0" fontId="23" fillId="28" borderId="0"/>
    <xf numFmtId="0" fontId="23" fillId="30" borderId="0"/>
    <xf numFmtId="0" fontId="24" fillId="32" borderId="0"/>
    <xf numFmtId="0" fontId="24" fillId="26" borderId="0"/>
    <xf numFmtId="0" fontId="24" fillId="29" borderId="0"/>
    <xf numFmtId="0" fontId="24" fillId="33" borderId="0"/>
    <xf numFmtId="0" fontId="24" fillId="31" borderId="0"/>
    <xf numFmtId="0" fontId="24" fillId="34" borderId="0"/>
    <xf numFmtId="0" fontId="24" fillId="39" borderId="0"/>
    <xf numFmtId="0" fontId="24" fillId="35" borderId="0"/>
    <xf numFmtId="0" fontId="24" fillId="36" borderId="0"/>
    <xf numFmtId="0" fontId="24" fillId="33" borderId="0"/>
    <xf numFmtId="0" fontId="24" fillId="31" borderId="0"/>
    <xf numFmtId="0" fontId="24" fillId="37" borderId="0"/>
    <xf numFmtId="0" fontId="25" fillId="18" borderId="58"/>
    <xf numFmtId="0" fontId="26" fillId="25" borderId="63"/>
    <xf numFmtId="0" fontId="27" fillId="25" borderId="58"/>
    <xf numFmtId="0" fontId="28" fillId="0" borderId="64"/>
    <xf numFmtId="0" fontId="29" fillId="0" borderId="60"/>
    <xf numFmtId="0" fontId="30" fillId="0" borderId="65"/>
    <xf numFmtId="0" fontId="30" fillId="0" borderId="0"/>
    <xf numFmtId="0" fontId="31" fillId="0" borderId="66"/>
    <xf numFmtId="0" fontId="32" fillId="38" borderId="59"/>
    <xf numFmtId="0" fontId="33" fillId="0" borderId="0"/>
    <xf numFmtId="0" fontId="34" fillId="27" borderId="0"/>
    <xf numFmtId="0" fontId="2" fillId="0" borderId="0"/>
    <xf numFmtId="0" fontId="2" fillId="0" borderId="0"/>
    <xf numFmtId="0" fontId="2" fillId="0" borderId="0"/>
    <xf numFmtId="0" fontId="35" fillId="22" borderId="0"/>
    <xf numFmtId="0" fontId="36" fillId="0" borderId="0"/>
    <xf numFmtId="0" fontId="12" fillId="19" borderId="62"/>
    <xf numFmtId="0" fontId="12" fillId="19" borderId="62"/>
    <xf numFmtId="0" fontId="37" fillId="0" borderId="61"/>
    <xf numFmtId="0" fontId="38" fillId="0" borderId="0"/>
    <xf numFmtId="0" fontId="39" fillId="23" borderId="0"/>
    <xf numFmtId="0" fontId="1" fillId="0" borderId="0"/>
    <xf numFmtId="0" fontId="1" fillId="0" borderId="0"/>
    <xf numFmtId="0" fontId="1" fillId="0" borderId="0"/>
  </cellStyleXfs>
  <cellXfs count="1035">
    <xf numFmtId="0" fontId="0" fillId="0" borderId="0" xfId="0"/>
    <xf numFmtId="0" fontId="15" fillId="0" borderId="0" xfId="0" applyFont="1" applyAlignment="1">
      <alignment horizontal="center" vertical="center" wrapText="1"/>
    </xf>
    <xf numFmtId="0" fontId="15" fillId="0" borderId="0" xfId="0" applyFont="1" applyAlignment="1">
      <alignment vertical="center" wrapText="1"/>
    </xf>
    <xf numFmtId="164" fontId="15" fillId="0" borderId="0" xfId="0" applyNumberFormat="1" applyFont="1" applyAlignment="1">
      <alignment horizontal="center" vertical="center" wrapText="1"/>
    </xf>
    <xf numFmtId="164" fontId="16" fillId="0" borderId="0" xfId="0" applyNumberFormat="1" applyFont="1" applyAlignment="1">
      <alignment horizontal="center" vertical="center" wrapText="1"/>
    </xf>
    <xf numFmtId="49" fontId="15" fillId="0" borderId="0" xfId="0" applyNumberFormat="1" applyFont="1" applyAlignment="1">
      <alignment horizontal="left" vertical="center" wrapText="1"/>
    </xf>
    <xf numFmtId="0" fontId="17" fillId="0" borderId="0" xfId="0" applyFont="1" applyAlignment="1">
      <alignment horizontal="center" vertical="center" wrapText="1"/>
    </xf>
    <xf numFmtId="49" fontId="15" fillId="0" borderId="0" xfId="0" applyNumberFormat="1" applyFont="1" applyAlignment="1">
      <alignment horizontal="center" vertical="center" wrapText="1"/>
    </xf>
    <xf numFmtId="0" fontId="18" fillId="5" borderId="10" xfId="0" applyFont="1" applyFill="1" applyBorder="1" applyAlignment="1">
      <alignment vertical="center" wrapText="1"/>
    </xf>
    <xf numFmtId="0" fontId="18" fillId="5" borderId="11" xfId="0" applyFont="1" applyFill="1" applyBorder="1" applyAlignment="1">
      <alignment horizontal="center" vertical="center" wrapText="1"/>
    </xf>
    <xf numFmtId="0" fontId="18" fillId="5" borderId="12" xfId="0" applyFont="1" applyFill="1" applyBorder="1" applyAlignment="1">
      <alignment vertical="center" wrapText="1"/>
    </xf>
    <xf numFmtId="0" fontId="18" fillId="5" borderId="13" xfId="0" applyFont="1" applyFill="1" applyBorder="1" applyAlignment="1">
      <alignment vertical="center" wrapText="1"/>
    </xf>
    <xf numFmtId="164" fontId="18" fillId="5" borderId="13" xfId="0" applyNumberFormat="1" applyFont="1" applyFill="1" applyBorder="1" applyAlignment="1">
      <alignment vertical="center" wrapText="1"/>
    </xf>
    <xf numFmtId="164" fontId="16" fillId="5" borderId="13" xfId="0" applyNumberFormat="1" applyFont="1" applyFill="1" applyBorder="1" applyAlignment="1">
      <alignment vertical="center" wrapText="1"/>
    </xf>
    <xf numFmtId="49" fontId="18" fillId="5" borderId="13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49" fontId="18" fillId="5" borderId="14" xfId="0" applyNumberFormat="1" applyFont="1" applyFill="1" applyBorder="1" applyAlignment="1">
      <alignment vertical="center" wrapText="1"/>
    </xf>
    <xf numFmtId="0" fontId="18" fillId="5" borderId="13" xfId="0" applyFont="1" applyFill="1" applyBorder="1" applyAlignment="1">
      <alignment horizontal="center" vertical="center" wrapText="1"/>
    </xf>
    <xf numFmtId="0" fontId="18" fillId="5" borderId="14" xfId="0" applyFont="1" applyFill="1" applyBorder="1" applyAlignment="1">
      <alignment horizontal="center" vertical="center" wrapText="1"/>
    </xf>
    <xf numFmtId="0" fontId="15" fillId="6" borderId="15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left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6" fillId="6" borderId="16" xfId="0" applyNumberFormat="1" applyFont="1" applyFill="1" applyBorder="1" applyAlignment="1">
      <alignment horizontal="center" vertical="center" wrapText="1"/>
    </xf>
    <xf numFmtId="49" fontId="15" fillId="6" borderId="17" xfId="0" applyNumberFormat="1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164" fontId="16" fillId="6" borderId="18" xfId="0" applyNumberFormat="1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left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6" fillId="6" borderId="18" xfId="0" applyNumberFormat="1" applyFont="1" applyFill="1" applyBorder="1" applyAlignment="1">
      <alignment horizontal="center" vertical="center" wrapText="1"/>
    </xf>
    <xf numFmtId="49" fontId="15" fillId="6" borderId="19" xfId="0" applyNumberFormat="1" applyFont="1" applyFill="1" applyBorder="1" applyAlignment="1">
      <alignment horizontal="center" vertical="center" wrapText="1"/>
    </xf>
    <xf numFmtId="0" fontId="15" fillId="7" borderId="12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49" fontId="15" fillId="7" borderId="13" xfId="0" applyNumberFormat="1" applyFont="1" applyFill="1" applyBorder="1" applyAlignment="1">
      <alignment horizontal="left" vertical="center" wrapText="1"/>
    </xf>
    <xf numFmtId="0" fontId="17" fillId="7" borderId="14" xfId="0" applyFont="1" applyFill="1" applyBorder="1" applyAlignment="1">
      <alignment horizontal="center" vertical="center" wrapText="1"/>
    </xf>
    <xf numFmtId="49" fontId="15" fillId="7" borderId="14" xfId="0" applyNumberFormat="1" applyFont="1" applyFill="1" applyBorder="1" applyAlignment="1">
      <alignment horizontal="center" vertical="center" wrapText="1"/>
    </xf>
    <xf numFmtId="0" fontId="15" fillId="6" borderId="12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left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6" fillId="6" borderId="20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164" fontId="16" fillId="6" borderId="1" xfId="0" applyNumberFormat="1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left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6" fillId="6" borderId="1" xfId="0" applyNumberFormat="1" applyFont="1" applyFill="1" applyBorder="1" applyAlignment="1">
      <alignment horizontal="center" vertical="center" wrapText="1"/>
    </xf>
    <xf numFmtId="49" fontId="15" fillId="6" borderId="22" xfId="0" applyNumberFormat="1" applyFont="1" applyFill="1" applyBorder="1" applyAlignment="1">
      <alignment horizontal="center" vertical="center" wrapText="1"/>
    </xf>
    <xf numFmtId="0" fontId="15" fillId="7" borderId="23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164" fontId="16" fillId="7" borderId="24" xfId="0" applyNumberFormat="1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49" fontId="15" fillId="7" borderId="24" xfId="0" applyNumberFormat="1" applyFont="1" applyFill="1" applyBorder="1" applyAlignment="1">
      <alignment horizontal="left" vertical="center" wrapText="1"/>
    </xf>
    <xf numFmtId="0" fontId="17" fillId="7" borderId="25" xfId="0" applyFont="1" applyFill="1" applyBorder="1" applyAlignment="1">
      <alignment horizontal="center" vertical="center" wrapText="1"/>
    </xf>
    <xf numFmtId="49" fontId="15" fillId="7" borderId="25" xfId="0" applyNumberFormat="1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49" fontId="15" fillId="6" borderId="13" xfId="0" applyNumberFormat="1" applyFont="1" applyFill="1" applyBorder="1" applyAlignment="1">
      <alignment horizontal="left" vertical="center" wrapText="1"/>
    </xf>
    <xf numFmtId="0" fontId="17" fillId="6" borderId="14" xfId="0" applyFont="1" applyFill="1" applyBorder="1" applyAlignment="1">
      <alignment horizontal="center" vertical="center" wrapText="1"/>
    </xf>
    <xf numFmtId="49" fontId="15" fillId="6" borderId="14" xfId="0" applyNumberFormat="1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left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6" fillId="7" borderId="20" xfId="0" applyNumberFormat="1" applyFont="1" applyFill="1" applyBorder="1" applyAlignment="1">
      <alignment horizontal="center" vertical="center" wrapText="1"/>
    </xf>
    <xf numFmtId="49" fontId="15" fillId="7" borderId="21" xfId="0" applyNumberFormat="1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left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6" fillId="7" borderId="18" xfId="0" applyNumberFormat="1" applyFont="1" applyFill="1" applyBorder="1" applyAlignment="1">
      <alignment horizontal="center" vertical="center" wrapText="1"/>
    </xf>
    <xf numFmtId="49" fontId="15" fillId="7" borderId="19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left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6" fillId="7" borderId="1" xfId="0" applyNumberFormat="1" applyFont="1" applyFill="1" applyBorder="1" applyAlignment="1">
      <alignment horizontal="center" vertical="center" wrapText="1"/>
    </xf>
    <xf numFmtId="49" fontId="15" fillId="7" borderId="22" xfId="0" applyNumberFormat="1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vertical="center" wrapText="1"/>
    </xf>
    <xf numFmtId="0" fontId="17" fillId="7" borderId="13" xfId="0" applyFont="1" applyFill="1" applyBorder="1" applyAlignment="1">
      <alignment horizontal="center" vertical="center" wrapText="1"/>
    </xf>
    <xf numFmtId="0" fontId="17" fillId="6" borderId="13" xfId="0" applyFont="1" applyFill="1" applyBorder="1" applyAlignment="1">
      <alignment horizontal="center" vertical="center" wrapText="1"/>
    </xf>
    <xf numFmtId="164" fontId="16" fillId="7" borderId="18" xfId="0" applyNumberFormat="1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164" fontId="16" fillId="7" borderId="1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5" fillId="7" borderId="9" xfId="0" applyFont="1" applyFill="1" applyBorder="1" applyAlignment="1">
      <alignment horizontal="center" vertical="center" wrapText="1"/>
    </xf>
    <xf numFmtId="0" fontId="15" fillId="6" borderId="9" xfId="0" applyFont="1" applyFill="1" applyBorder="1" applyAlignment="1">
      <alignment horizontal="center" vertical="center" wrapText="1"/>
    </xf>
    <xf numFmtId="0" fontId="15" fillId="6" borderId="26" xfId="0" applyFont="1" applyFill="1" applyBorder="1" applyAlignment="1">
      <alignment horizontal="center" vertical="center" wrapText="1"/>
    </xf>
    <xf numFmtId="0" fontId="15" fillId="7" borderId="26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164" fontId="16" fillId="7" borderId="10" xfId="0" applyNumberFormat="1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horizontal="center" vertical="center" wrapText="1"/>
    </xf>
    <xf numFmtId="49" fontId="15" fillId="7" borderId="27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7" borderId="29" xfId="0" applyFont="1" applyFill="1" applyBorder="1" applyAlignment="1">
      <alignment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164" fontId="16" fillId="7" borderId="29" xfId="0" applyNumberFormat="1" applyFont="1" applyFill="1" applyBorder="1" applyAlignment="1">
      <alignment horizontal="center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5" fillId="7" borderId="29" xfId="0" applyNumberFormat="1" applyFont="1" applyFill="1" applyBorder="1" applyAlignment="1">
      <alignment horizontal="left" vertical="center" wrapText="1"/>
    </xf>
    <xf numFmtId="0" fontId="16" fillId="7" borderId="29" xfId="0" applyFont="1" applyFill="1" applyBorder="1" applyAlignment="1">
      <alignment horizontal="center" vertical="center" wrapText="1"/>
    </xf>
    <xf numFmtId="49" fontId="15" fillId="7" borderId="30" xfId="0" applyNumberFormat="1" applyFont="1" applyFill="1" applyBorder="1" applyAlignment="1">
      <alignment horizontal="center" vertical="center" wrapText="1"/>
    </xf>
    <xf numFmtId="0" fontId="15" fillId="6" borderId="32" xfId="0" applyFont="1" applyFill="1" applyBorder="1" applyAlignment="1">
      <alignment horizontal="center" vertical="center" wrapText="1"/>
    </xf>
    <xf numFmtId="0" fontId="15" fillId="6" borderId="33" xfId="0" applyFont="1" applyFill="1" applyBorder="1" applyAlignment="1">
      <alignment horizontal="center" vertical="center" wrapText="1"/>
    </xf>
    <xf numFmtId="0" fontId="15" fillId="7" borderId="34" xfId="0" applyFont="1" applyFill="1" applyBorder="1" applyAlignment="1">
      <alignment horizontal="center" vertical="center" wrapText="1"/>
    </xf>
    <xf numFmtId="0" fontId="15" fillId="7" borderId="16" xfId="0" applyFont="1" applyFill="1" applyBorder="1" applyAlignment="1">
      <alignment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49" fontId="15" fillId="7" borderId="16" xfId="0" applyNumberFormat="1" applyFont="1" applyFill="1" applyBorder="1" applyAlignment="1">
      <alignment horizontal="left" vertical="center" wrapText="1"/>
    </xf>
    <xf numFmtId="0" fontId="16" fillId="7" borderId="16" xfId="0" applyFont="1" applyFill="1" applyBorder="1" applyAlignment="1">
      <alignment horizontal="center" vertical="center" wrapText="1"/>
    </xf>
    <xf numFmtId="49" fontId="15" fillId="7" borderId="17" xfId="0" applyNumberFormat="1" applyFont="1" applyFill="1" applyBorder="1" applyAlignment="1">
      <alignment horizontal="center" vertical="center" wrapText="1"/>
    </xf>
    <xf numFmtId="0" fontId="15" fillId="7" borderId="35" xfId="0" applyFont="1" applyFill="1" applyBorder="1" applyAlignment="1">
      <alignment horizontal="center" vertical="center" wrapText="1"/>
    </xf>
    <xf numFmtId="0" fontId="15" fillId="7" borderId="36" xfId="0" applyFont="1" applyFill="1" applyBorder="1" applyAlignment="1">
      <alignment horizontal="center" vertical="center" wrapText="1"/>
    </xf>
    <xf numFmtId="0" fontId="15" fillId="6" borderId="37" xfId="0" applyFont="1" applyFill="1" applyBorder="1" applyAlignment="1">
      <alignment horizontal="center" vertical="center" wrapText="1"/>
    </xf>
    <xf numFmtId="0" fontId="15" fillId="6" borderId="36" xfId="0" applyFont="1" applyFill="1" applyBorder="1" applyAlignment="1">
      <alignment horizontal="center" vertical="center" wrapText="1"/>
    </xf>
    <xf numFmtId="0" fontId="15" fillId="7" borderId="37" xfId="0" applyFont="1" applyFill="1" applyBorder="1" applyAlignment="1">
      <alignment horizontal="center" vertical="center" wrapText="1"/>
    </xf>
    <xf numFmtId="0" fontId="15" fillId="6" borderId="35" xfId="0" applyFont="1" applyFill="1" applyBorder="1" applyAlignment="1">
      <alignment horizontal="center" vertical="center" wrapText="1"/>
    </xf>
    <xf numFmtId="0" fontId="17" fillId="7" borderId="20" xfId="0" applyFont="1" applyFill="1" applyBorder="1" applyAlignment="1">
      <alignment horizontal="center" vertical="center" wrapText="1"/>
    </xf>
    <xf numFmtId="0" fontId="17" fillId="7" borderId="18" xfId="0" applyFont="1" applyFill="1" applyBorder="1" applyAlignment="1">
      <alignment horizontal="center" vertical="center" wrapText="1"/>
    </xf>
    <xf numFmtId="0" fontId="15" fillId="7" borderId="38" xfId="0" applyFont="1" applyFill="1" applyBorder="1" applyAlignment="1">
      <alignment horizontal="center" vertical="center" wrapText="1"/>
    </xf>
    <xf numFmtId="0" fontId="15" fillId="7" borderId="39" xfId="0" applyFont="1" applyFill="1" applyBorder="1" applyAlignment="1">
      <alignment horizontal="center" vertical="center" wrapText="1"/>
    </xf>
    <xf numFmtId="49" fontId="15" fillId="7" borderId="10" xfId="0" applyNumberFormat="1" applyFont="1" applyFill="1" applyBorder="1" applyAlignment="1">
      <alignment horizontal="left" vertical="center" wrapText="1"/>
    </xf>
    <xf numFmtId="0" fontId="17" fillId="7" borderId="10" xfId="0" applyFont="1" applyFill="1" applyBorder="1" applyAlignment="1">
      <alignment horizontal="center" vertical="center" wrapText="1"/>
    </xf>
    <xf numFmtId="0" fontId="15" fillId="6" borderId="38" xfId="0" applyFont="1" applyFill="1" applyBorder="1" applyAlignment="1">
      <alignment horizontal="center" vertical="center" wrapText="1"/>
    </xf>
    <xf numFmtId="0" fontId="15" fillId="6" borderId="39" xfId="0" applyFont="1" applyFill="1" applyBorder="1" applyAlignment="1">
      <alignment horizontal="center" vertical="center" wrapText="1"/>
    </xf>
    <xf numFmtId="0" fontId="15" fillId="6" borderId="10" xfId="0" applyFont="1" applyFill="1" applyBorder="1" applyAlignment="1">
      <alignment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164" fontId="16" fillId="6" borderId="10" xfId="0" applyNumberFormat="1" applyFont="1" applyFill="1" applyBorder="1" applyAlignment="1">
      <alignment horizontal="center" vertical="center" wrapText="1"/>
    </xf>
    <xf numFmtId="0" fontId="15" fillId="6" borderId="10" xfId="0" applyFont="1" applyFill="1" applyBorder="1" applyAlignment="1">
      <alignment horizontal="center" vertical="center" wrapText="1"/>
    </xf>
    <xf numFmtId="49" fontId="15" fillId="6" borderId="10" xfId="0" applyNumberFormat="1" applyFont="1" applyFill="1" applyBorder="1" applyAlignment="1">
      <alignment horizontal="left" vertical="center" wrapText="1"/>
    </xf>
    <xf numFmtId="0" fontId="17" fillId="6" borderId="10" xfId="0" applyFont="1" applyFill="1" applyBorder="1" applyAlignment="1">
      <alignment horizontal="center" vertical="center" wrapText="1"/>
    </xf>
    <xf numFmtId="49" fontId="15" fillId="6" borderId="27" xfId="0" applyNumberFormat="1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0" fontId="17" fillId="6" borderId="20" xfId="0" applyFont="1" applyFill="1" applyBorder="1" applyAlignment="1">
      <alignment horizontal="center" vertical="center" wrapText="1"/>
    </xf>
    <xf numFmtId="0" fontId="15" fillId="6" borderId="40" xfId="0" applyFont="1" applyFill="1" applyBorder="1" applyAlignment="1">
      <alignment horizontal="center"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49" fontId="15" fillId="6" borderId="11" xfId="0" applyNumberFormat="1" applyFont="1" applyFill="1" applyBorder="1" applyAlignment="1">
      <alignment horizontal="left" vertical="center" wrapText="1"/>
    </xf>
    <xf numFmtId="0" fontId="17" fillId="6" borderId="11" xfId="0" applyFont="1" applyFill="1" applyBorder="1" applyAlignment="1">
      <alignment horizontal="center" vertical="center" wrapText="1"/>
    </xf>
    <xf numFmtId="49" fontId="15" fillId="6" borderId="41" xfId="0" applyNumberFormat="1" applyFont="1" applyFill="1" applyBorder="1" applyAlignment="1">
      <alignment horizontal="center" vertical="center" wrapText="1"/>
    </xf>
    <xf numFmtId="0" fontId="15" fillId="7" borderId="40" xfId="0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0" fontId="17" fillId="7" borderId="11" xfId="0" applyFont="1" applyFill="1" applyBorder="1" applyAlignment="1">
      <alignment horizontal="center" vertical="center" wrapText="1"/>
    </xf>
    <xf numFmtId="49" fontId="15" fillId="7" borderId="41" xfId="0" applyNumberFormat="1" applyFont="1" applyFill="1" applyBorder="1" applyAlignment="1">
      <alignment horizontal="center" vertical="center" wrapText="1"/>
    </xf>
    <xf numFmtId="0" fontId="17" fillId="7" borderId="1" xfId="0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horizontal="center" vertical="center" wrapText="1"/>
    </xf>
    <xf numFmtId="0" fontId="15" fillId="6" borderId="34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7" fillId="6" borderId="16" xfId="0" applyFont="1" applyFill="1" applyBorder="1" applyAlignment="1">
      <alignment horizontal="center" vertical="center" wrapText="1"/>
    </xf>
    <xf numFmtId="0" fontId="17" fillId="7" borderId="16" xfId="0" applyFont="1" applyFill="1" applyBorder="1" applyAlignment="1">
      <alignment horizontal="center" vertical="center" wrapText="1"/>
    </xf>
    <xf numFmtId="0" fontId="15" fillId="8" borderId="9" xfId="0" applyFont="1" applyFill="1" applyBorder="1" applyAlignment="1">
      <alignment horizontal="center" vertical="center" wrapText="1"/>
    </xf>
    <xf numFmtId="0" fontId="15" fillId="8" borderId="26" xfId="0" applyFont="1" applyFill="1" applyBorder="1" applyAlignment="1">
      <alignment horizontal="center" vertical="center" wrapText="1"/>
    </xf>
    <xf numFmtId="0" fontId="15" fillId="8" borderId="13" xfId="0" applyFont="1" applyFill="1" applyBorder="1" applyAlignment="1">
      <alignment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164" fontId="16" fillId="8" borderId="13" xfId="0" applyNumberFormat="1" applyFont="1" applyFill="1" applyBorder="1" applyAlignment="1">
      <alignment horizontal="center" vertical="center" wrapText="1"/>
    </xf>
    <xf numFmtId="0" fontId="15" fillId="8" borderId="13" xfId="0" applyFont="1" applyFill="1" applyBorder="1" applyAlignment="1">
      <alignment horizontal="center" vertical="center" wrapText="1"/>
    </xf>
    <xf numFmtId="49" fontId="15" fillId="8" borderId="13" xfId="0" applyNumberFormat="1" applyFont="1" applyFill="1" applyBorder="1" applyAlignment="1">
      <alignment horizontal="left" vertical="center" wrapText="1"/>
    </xf>
    <xf numFmtId="0" fontId="17" fillId="6" borderId="18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5" fillId="6" borderId="42" xfId="0" applyFont="1" applyFill="1" applyBorder="1" applyAlignment="1">
      <alignment horizontal="center" vertical="center" wrapText="1"/>
    </xf>
    <xf numFmtId="0" fontId="15" fillId="6" borderId="29" xfId="0" applyFont="1" applyFill="1" applyBorder="1" applyAlignment="1">
      <alignment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164" fontId="16" fillId="6" borderId="29" xfId="0" applyNumberFormat="1" applyFont="1" applyFill="1" applyBorder="1" applyAlignment="1">
      <alignment horizontal="center" vertical="center" wrapText="1"/>
    </xf>
    <xf numFmtId="0" fontId="15" fillId="6" borderId="29" xfId="0" applyFont="1" applyFill="1" applyBorder="1" applyAlignment="1">
      <alignment horizontal="center" vertical="center" wrapText="1"/>
    </xf>
    <xf numFmtId="49" fontId="15" fillId="6" borderId="29" xfId="0" applyNumberFormat="1" applyFont="1" applyFill="1" applyBorder="1" applyAlignment="1">
      <alignment horizontal="left" vertical="center" wrapText="1"/>
    </xf>
    <xf numFmtId="0" fontId="17" fillId="6" borderId="29" xfId="0" applyFont="1" applyFill="1" applyBorder="1" applyAlignment="1">
      <alignment horizontal="center" vertical="center" wrapText="1"/>
    </xf>
    <xf numFmtId="49" fontId="15" fillId="6" borderId="30" xfId="0" applyNumberFormat="1" applyFont="1" applyFill="1" applyBorder="1" applyAlignment="1">
      <alignment horizontal="center" vertical="center" wrapText="1"/>
    </xf>
    <xf numFmtId="0" fontId="15" fillId="9" borderId="36" xfId="0" applyFont="1" applyFill="1" applyBorder="1" applyAlignment="1">
      <alignment horizontal="center" vertical="center" wrapText="1"/>
    </xf>
    <xf numFmtId="0" fontId="15" fillId="9" borderId="18" xfId="0" applyFont="1" applyFill="1" applyBorder="1" applyAlignment="1">
      <alignment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164" fontId="16" fillId="9" borderId="18" xfId="0" applyNumberFormat="1" applyFont="1" applyFill="1" applyBorder="1" applyAlignment="1">
      <alignment horizontal="center" vertical="center" wrapText="1"/>
    </xf>
    <xf numFmtId="0" fontId="15" fillId="9" borderId="18" xfId="0" applyFont="1" applyFill="1" applyBorder="1" applyAlignment="1">
      <alignment horizontal="center" vertical="center" wrapText="1"/>
    </xf>
    <xf numFmtId="49" fontId="15" fillId="9" borderId="18" xfId="0" applyNumberFormat="1" applyFont="1" applyFill="1" applyBorder="1" applyAlignment="1">
      <alignment horizontal="left" vertical="center" wrapText="1"/>
    </xf>
    <xf numFmtId="0" fontId="17" fillId="9" borderId="18" xfId="0" applyFont="1" applyFill="1" applyBorder="1" applyAlignment="1">
      <alignment horizontal="center" vertical="center" wrapText="1"/>
    </xf>
    <xf numFmtId="49" fontId="15" fillId="9" borderId="19" xfId="0" applyNumberFormat="1" applyFont="1" applyFill="1" applyBorder="1" applyAlignment="1">
      <alignment horizontal="center" vertical="center" wrapText="1"/>
    </xf>
    <xf numFmtId="0" fontId="15" fillId="6" borderId="43" xfId="0" applyFont="1" applyFill="1" applyBorder="1" applyAlignment="1">
      <alignment horizontal="center" vertical="center" wrapText="1"/>
    </xf>
    <xf numFmtId="0" fontId="15" fillId="6" borderId="21" xfId="0" applyFont="1" applyFill="1" applyBorder="1" applyAlignment="1">
      <alignment horizontal="center" vertical="center" wrapText="1"/>
    </xf>
    <xf numFmtId="0" fontId="17" fillId="6" borderId="44" xfId="0" applyFont="1" applyFill="1" applyBorder="1" applyAlignment="1">
      <alignment horizontal="center" vertical="center" wrapText="1"/>
    </xf>
    <xf numFmtId="0" fontId="17" fillId="6" borderId="45" xfId="0" applyFont="1" applyFill="1" applyBorder="1" applyAlignment="1">
      <alignment horizontal="center" vertical="center" wrapText="1"/>
    </xf>
    <xf numFmtId="0" fontId="17" fillId="7" borderId="44" xfId="0" applyFont="1" applyFill="1" applyBorder="1" applyAlignment="1">
      <alignment horizontal="center" vertical="center" wrapText="1"/>
    </xf>
    <xf numFmtId="0" fontId="17" fillId="7" borderId="46" xfId="0" applyFont="1" applyFill="1" applyBorder="1" applyAlignment="1">
      <alignment horizontal="center" vertical="center" wrapText="1"/>
    </xf>
    <xf numFmtId="0" fontId="17" fillId="7" borderId="45" xfId="0" applyFont="1" applyFill="1" applyBorder="1" applyAlignment="1">
      <alignment horizontal="center" vertical="center" wrapText="1"/>
    </xf>
    <xf numFmtId="0" fontId="15" fillId="9" borderId="9" xfId="0" applyFont="1" applyFill="1" applyBorder="1" applyAlignment="1">
      <alignment horizontal="center" vertical="center" wrapText="1"/>
    </xf>
    <xf numFmtId="0" fontId="15" fillId="9" borderId="26" xfId="0" applyFont="1" applyFill="1" applyBorder="1" applyAlignment="1">
      <alignment horizontal="center" vertical="center" wrapText="1"/>
    </xf>
    <xf numFmtId="0" fontId="15" fillId="9" borderId="13" xfId="0" applyFont="1" applyFill="1" applyBorder="1" applyAlignment="1">
      <alignment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164" fontId="16" fillId="9" borderId="13" xfId="0" applyNumberFormat="1" applyFont="1" applyFill="1" applyBorder="1" applyAlignment="1">
      <alignment horizontal="center" vertical="center" wrapText="1"/>
    </xf>
    <xf numFmtId="0" fontId="15" fillId="9" borderId="13" xfId="0" applyFont="1" applyFill="1" applyBorder="1" applyAlignment="1">
      <alignment horizontal="center" vertical="center" wrapText="1"/>
    </xf>
    <xf numFmtId="49" fontId="15" fillId="9" borderId="13" xfId="0" applyNumberFormat="1" applyFont="1" applyFill="1" applyBorder="1" applyAlignment="1">
      <alignment horizontal="left" vertical="center" wrapText="1"/>
    </xf>
    <xf numFmtId="49" fontId="15" fillId="9" borderId="41" xfId="0" applyNumberFormat="1" applyFont="1" applyFill="1" applyBorder="1" applyAlignment="1">
      <alignment horizontal="center" vertical="center" wrapText="1"/>
    </xf>
    <xf numFmtId="0" fontId="15" fillId="11" borderId="9" xfId="0" applyFont="1" applyFill="1" applyBorder="1" applyAlignment="1">
      <alignment horizontal="center" vertical="center" wrapText="1"/>
    </xf>
    <xf numFmtId="0" fontId="15" fillId="11" borderId="26" xfId="0" applyFont="1" applyFill="1" applyBorder="1" applyAlignment="1">
      <alignment horizontal="center" vertical="center" wrapText="1"/>
    </xf>
    <xf numFmtId="0" fontId="15" fillId="11" borderId="13" xfId="0" applyFont="1" applyFill="1" applyBorder="1" applyAlignment="1">
      <alignment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164" fontId="16" fillId="11" borderId="13" xfId="0" applyNumberFormat="1" applyFont="1" applyFill="1" applyBorder="1" applyAlignment="1">
      <alignment horizontal="center" vertical="center" wrapText="1"/>
    </xf>
    <xf numFmtId="0" fontId="15" fillId="11" borderId="13" xfId="0" applyFont="1" applyFill="1" applyBorder="1" applyAlignment="1">
      <alignment horizontal="center" vertical="center" wrapText="1"/>
    </xf>
    <xf numFmtId="49" fontId="15" fillId="11" borderId="13" xfId="0" applyNumberFormat="1" applyFont="1" applyFill="1" applyBorder="1" applyAlignment="1">
      <alignment horizontal="left" vertical="center" wrapText="1"/>
    </xf>
    <xf numFmtId="0" fontId="17" fillId="11" borderId="13" xfId="0" applyFont="1" applyFill="1" applyBorder="1" applyAlignment="1">
      <alignment horizontal="center" vertical="center" wrapText="1"/>
    </xf>
    <xf numFmtId="49" fontId="15" fillId="11" borderId="14" xfId="0" applyNumberFormat="1" applyFont="1" applyFill="1" applyBorder="1" applyAlignment="1">
      <alignment horizontal="center" vertical="center" wrapText="1"/>
    </xf>
    <xf numFmtId="0" fontId="15" fillId="7" borderId="32" xfId="0" applyFont="1" applyFill="1" applyBorder="1" applyAlignment="1">
      <alignment horizontal="center" vertical="center" wrapText="1"/>
    </xf>
    <xf numFmtId="49" fontId="15" fillId="7" borderId="27" xfId="0" applyNumberFormat="1" applyFont="1" applyFill="1" applyBorder="1" applyAlignment="1">
      <alignment vertical="center" wrapText="1"/>
    </xf>
    <xf numFmtId="0" fontId="16" fillId="11" borderId="13" xfId="0" applyFont="1" applyFill="1" applyBorder="1" applyAlignment="1">
      <alignment horizontal="center" vertical="center" wrapText="1"/>
    </xf>
    <xf numFmtId="0" fontId="15" fillId="7" borderId="47" xfId="0" applyFont="1" applyFill="1" applyBorder="1" applyAlignment="1">
      <alignment horizontal="center" vertical="center" wrapText="1"/>
    </xf>
    <xf numFmtId="49" fontId="15" fillId="7" borderId="17" xfId="0" applyNumberFormat="1" applyFont="1" applyFill="1" applyBorder="1" applyAlignment="1">
      <alignment vertical="center" wrapText="1"/>
    </xf>
    <xf numFmtId="0" fontId="15" fillId="9" borderId="48" xfId="0" applyFont="1" applyFill="1" applyBorder="1" applyAlignment="1">
      <alignment horizontal="center" vertical="center" wrapText="1"/>
    </xf>
    <xf numFmtId="0" fontId="15" fillId="9" borderId="1" xfId="0" applyFont="1" applyFill="1" applyBorder="1" applyAlignment="1">
      <alignment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164" fontId="16" fillId="9" borderId="1" xfId="0" applyNumberFormat="1" applyFont="1" applyFill="1" applyBorder="1" applyAlignment="1">
      <alignment horizontal="center" vertical="center" wrapText="1"/>
    </xf>
    <xf numFmtId="0" fontId="15" fillId="9" borderId="1" xfId="0" applyFont="1" applyFill="1" applyBorder="1" applyAlignment="1">
      <alignment horizontal="center" vertical="center" wrapText="1"/>
    </xf>
    <xf numFmtId="49" fontId="15" fillId="9" borderId="1" xfId="0" applyNumberFormat="1" applyFont="1" applyFill="1" applyBorder="1" applyAlignment="1">
      <alignment horizontal="left" vertical="center" wrapText="1"/>
    </xf>
    <xf numFmtId="0" fontId="17" fillId="9" borderId="1" xfId="0" applyFont="1" applyFill="1" applyBorder="1" applyAlignment="1">
      <alignment horizontal="center" vertical="center" wrapText="1"/>
    </xf>
    <xf numFmtId="49" fontId="15" fillId="9" borderId="22" xfId="0" applyNumberFormat="1" applyFont="1" applyFill="1" applyBorder="1" applyAlignment="1">
      <alignment horizontal="center" vertical="center" wrapText="1"/>
    </xf>
    <xf numFmtId="0" fontId="15" fillId="11" borderId="33" xfId="0" applyFont="1" applyFill="1" applyBorder="1" applyAlignment="1">
      <alignment horizontal="center" vertical="center" wrapText="1"/>
    </xf>
    <xf numFmtId="0" fontId="15" fillId="11" borderId="18" xfId="0" applyFont="1" applyFill="1" applyBorder="1" applyAlignment="1">
      <alignment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164" fontId="16" fillId="11" borderId="18" xfId="0" applyNumberFormat="1" applyFont="1" applyFill="1" applyBorder="1" applyAlignment="1">
      <alignment horizontal="center" vertical="center" wrapText="1"/>
    </xf>
    <xf numFmtId="0" fontId="15" fillId="11" borderId="18" xfId="0" applyFont="1" applyFill="1" applyBorder="1" applyAlignment="1">
      <alignment horizontal="center" vertical="center" wrapText="1"/>
    </xf>
    <xf numFmtId="49" fontId="15" fillId="11" borderId="18" xfId="0" applyNumberFormat="1" applyFont="1" applyFill="1" applyBorder="1" applyAlignment="1">
      <alignment horizontal="left" vertical="center" wrapText="1"/>
    </xf>
    <xf numFmtId="0" fontId="17" fillId="11" borderId="11" xfId="0" applyFont="1" applyFill="1" applyBorder="1" applyAlignment="1">
      <alignment horizontal="center" vertical="center" wrapText="1"/>
    </xf>
    <xf numFmtId="49" fontId="15" fillId="11" borderId="19" xfId="0" applyNumberFormat="1" applyFont="1" applyFill="1" applyBorder="1" applyAlignment="1">
      <alignment horizontal="center" vertical="center" wrapText="1"/>
    </xf>
    <xf numFmtId="0" fontId="15" fillId="9" borderId="49" xfId="0" applyFont="1" applyFill="1" applyBorder="1" applyAlignment="1">
      <alignment horizontal="center" vertical="center" wrapText="1"/>
    </xf>
    <xf numFmtId="0" fontId="15" fillId="9" borderId="50" xfId="0" applyFont="1" applyFill="1" applyBorder="1" applyAlignment="1">
      <alignment horizontal="center" vertical="center" wrapText="1"/>
    </xf>
    <xf numFmtId="0" fontId="15" fillId="9" borderId="24" xfId="0" applyFont="1" applyFill="1" applyBorder="1" applyAlignment="1">
      <alignment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164" fontId="16" fillId="9" borderId="24" xfId="0" applyNumberFormat="1" applyFont="1" applyFill="1" applyBorder="1" applyAlignment="1">
      <alignment horizontal="center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5" fillId="9" borderId="24" xfId="0" applyNumberFormat="1" applyFont="1" applyFill="1" applyBorder="1" applyAlignment="1">
      <alignment horizontal="left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5" fillId="9" borderId="24" xfId="0" applyNumberFormat="1" applyFont="1" applyFill="1" applyBorder="1" applyAlignment="1">
      <alignment horizontal="center" vertical="center" wrapText="1"/>
    </xf>
    <xf numFmtId="0" fontId="15" fillId="12" borderId="9" xfId="0" applyFont="1" applyFill="1" applyBorder="1" applyAlignment="1">
      <alignment horizontal="center" vertical="center" wrapText="1"/>
    </xf>
    <xf numFmtId="0" fontId="15" fillId="12" borderId="26" xfId="0" applyFont="1" applyFill="1" applyBorder="1" applyAlignment="1">
      <alignment horizontal="center" vertical="center" wrapText="1"/>
    </xf>
    <xf numFmtId="0" fontId="15" fillId="12" borderId="13" xfId="0" applyFont="1" applyFill="1" applyBorder="1" applyAlignment="1">
      <alignment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164" fontId="16" fillId="12" borderId="13" xfId="0" applyNumberFormat="1" applyFont="1" applyFill="1" applyBorder="1" applyAlignment="1">
      <alignment horizontal="center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5" fillId="12" borderId="13" xfId="0" applyNumberFormat="1" applyFont="1" applyFill="1" applyBorder="1" applyAlignment="1">
      <alignment horizontal="left" vertical="center" wrapText="1"/>
    </xf>
    <xf numFmtId="0" fontId="16" fillId="12" borderId="13" xfId="0" applyFont="1" applyFill="1" applyBorder="1" applyAlignment="1">
      <alignment horizontal="center" vertical="center" wrapText="1"/>
    </xf>
    <xf numFmtId="49" fontId="15" fillId="12" borderId="14" xfId="0" applyNumberFormat="1" applyFont="1" applyFill="1" applyBorder="1" applyAlignment="1">
      <alignment horizontal="center" vertical="center" wrapText="1"/>
    </xf>
    <xf numFmtId="0" fontId="15" fillId="12" borderId="37" xfId="0" applyFont="1" applyFill="1" applyBorder="1" applyAlignment="1">
      <alignment horizontal="center" vertical="center" wrapText="1"/>
    </xf>
    <xf numFmtId="0" fontId="15" fillId="12" borderId="20" xfId="0" applyFont="1" applyFill="1" applyBorder="1" applyAlignment="1">
      <alignment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164" fontId="16" fillId="12" borderId="20" xfId="0" applyNumberFormat="1" applyFont="1" applyFill="1" applyBorder="1" applyAlignment="1">
      <alignment horizontal="center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5" fillId="12" borderId="20" xfId="0" applyNumberFormat="1" applyFont="1" applyFill="1" applyBorder="1" applyAlignment="1">
      <alignment horizontal="left" vertical="center" wrapText="1"/>
    </xf>
    <xf numFmtId="0" fontId="16" fillId="12" borderId="20" xfId="0" applyFont="1" applyFill="1" applyBorder="1" applyAlignment="1">
      <alignment horizontal="center" vertical="center" wrapText="1"/>
    </xf>
    <xf numFmtId="49" fontId="15" fillId="12" borderId="21" xfId="0" applyNumberFormat="1" applyFont="1" applyFill="1" applyBorder="1" applyAlignment="1">
      <alignment horizontal="center" vertical="center" wrapText="1"/>
    </xf>
    <xf numFmtId="0" fontId="15" fillId="7" borderId="51" xfId="0" applyFont="1" applyFill="1" applyBorder="1" applyAlignment="1">
      <alignment horizontal="center" vertical="center" wrapText="1"/>
    </xf>
    <xf numFmtId="0" fontId="15" fillId="7" borderId="43" xfId="0" applyFont="1" applyFill="1" applyBorder="1" applyAlignment="1">
      <alignment horizontal="center" vertical="center" wrapText="1"/>
    </xf>
    <xf numFmtId="0" fontId="15" fillId="6" borderId="51" xfId="0" applyFont="1" applyFill="1" applyBorder="1" applyAlignment="1">
      <alignment horizontal="center" vertical="center" wrapText="1"/>
    </xf>
    <xf numFmtId="0" fontId="15" fillId="7" borderId="52" xfId="0" applyFont="1" applyFill="1" applyBorder="1" applyAlignment="1">
      <alignment horizontal="center" vertical="center" wrapText="1"/>
    </xf>
    <xf numFmtId="0" fontId="15" fillId="7" borderId="49" xfId="0" applyFont="1" applyFill="1" applyBorder="1" applyAlignment="1">
      <alignment horizontal="center" vertical="center" wrapText="1"/>
    </xf>
    <xf numFmtId="0" fontId="15" fillId="7" borderId="50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7" fillId="7" borderId="24" xfId="0" applyFont="1" applyFill="1" applyBorder="1" applyAlignment="1">
      <alignment horizontal="center" vertical="center" wrapText="1"/>
    </xf>
    <xf numFmtId="0" fontId="15" fillId="6" borderId="52" xfId="0" applyFont="1" applyFill="1" applyBorder="1" applyAlignment="1">
      <alignment horizontal="center" vertical="center" wrapText="1"/>
    </xf>
    <xf numFmtId="0" fontId="15" fillId="6" borderId="47" xfId="0" applyFont="1" applyFill="1" applyBorder="1" applyAlignment="1">
      <alignment horizontal="center" vertical="center" wrapText="1"/>
    </xf>
    <xf numFmtId="0" fontId="15" fillId="6" borderId="49" xfId="0" applyFont="1" applyFill="1" applyBorder="1" applyAlignment="1">
      <alignment horizontal="center" vertical="center" wrapText="1"/>
    </xf>
    <xf numFmtId="0" fontId="15" fillId="6" borderId="50" xfId="0" applyFont="1" applyFill="1" applyBorder="1" applyAlignment="1">
      <alignment horizontal="center" vertical="center" wrapText="1"/>
    </xf>
    <xf numFmtId="0" fontId="15" fillId="6" borderId="24" xfId="0" applyFont="1" applyFill="1" applyBorder="1" applyAlignment="1">
      <alignment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164" fontId="16" fillId="6" borderId="24" xfId="0" applyNumberFormat="1" applyFont="1" applyFill="1" applyBorder="1" applyAlignment="1">
      <alignment horizontal="center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5" fillId="6" borderId="24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49" fontId="15" fillId="6" borderId="25" xfId="0" applyNumberFormat="1" applyFont="1" applyFill="1" applyBorder="1" applyAlignment="1">
      <alignment horizontal="center" vertical="center" wrapText="1"/>
    </xf>
    <xf numFmtId="0" fontId="19" fillId="6" borderId="20" xfId="0" applyFont="1" applyFill="1" applyBorder="1" applyAlignment="1">
      <alignment horizontal="center" vertical="center" wrapText="1"/>
    </xf>
    <xf numFmtId="0" fontId="15" fillId="9" borderId="35" xfId="0" applyFont="1" applyFill="1" applyBorder="1" applyAlignment="1">
      <alignment horizontal="center" vertical="center" wrapText="1"/>
    </xf>
    <xf numFmtId="0" fontId="19" fillId="9" borderId="1" xfId="0" applyFont="1" applyFill="1" applyBorder="1" applyAlignment="1">
      <alignment horizontal="center" vertical="center" wrapText="1"/>
    </xf>
    <xf numFmtId="0" fontId="15" fillId="9" borderId="53" xfId="0" applyFont="1" applyFill="1" applyBorder="1" applyAlignment="1">
      <alignment horizontal="center" vertical="center" wrapText="1"/>
    </xf>
    <xf numFmtId="0" fontId="19" fillId="6" borderId="1" xfId="0" applyFont="1" applyFill="1" applyBorder="1" applyAlignment="1">
      <alignment horizontal="center" vertical="center" wrapText="1"/>
    </xf>
    <xf numFmtId="0" fontId="15" fillId="6" borderId="53" xfId="0" applyFont="1" applyFill="1" applyBorder="1" applyAlignment="1">
      <alignment horizontal="center" vertical="center" wrapText="1"/>
    </xf>
    <xf numFmtId="0" fontId="19" fillId="6" borderId="18" xfId="0" applyFont="1" applyFill="1" applyBorder="1" applyAlignment="1">
      <alignment horizontal="center" vertical="center" wrapText="1"/>
    </xf>
    <xf numFmtId="0" fontId="15" fillId="6" borderId="54" xfId="0" applyFont="1" applyFill="1" applyBorder="1" applyAlignment="1">
      <alignment horizontal="center" vertical="center" wrapText="1"/>
    </xf>
    <xf numFmtId="0" fontId="19" fillId="7" borderId="16" xfId="0" applyFont="1" applyFill="1" applyBorder="1" applyAlignment="1">
      <alignment horizontal="center" vertical="center" wrapText="1"/>
    </xf>
    <xf numFmtId="0" fontId="19" fillId="7" borderId="11" xfId="0" applyFont="1" applyFill="1" applyBorder="1" applyAlignment="1">
      <alignment horizontal="center" vertical="center" wrapText="1"/>
    </xf>
    <xf numFmtId="0" fontId="15" fillId="6" borderId="55" xfId="0" applyFont="1" applyFill="1" applyBorder="1" applyAlignment="1">
      <alignment horizontal="center" vertical="center" wrapText="1"/>
    </xf>
    <xf numFmtId="0" fontId="15" fillId="7" borderId="55" xfId="0" applyFont="1" applyFill="1" applyBorder="1" applyAlignment="1">
      <alignment horizontal="center" vertical="center" wrapText="1"/>
    </xf>
    <xf numFmtId="0" fontId="15" fillId="7" borderId="54" xfId="0" applyFont="1" applyFill="1" applyBorder="1" applyAlignment="1">
      <alignment horizontal="center" vertical="center" wrapText="1"/>
    </xf>
    <xf numFmtId="0" fontId="15" fillId="6" borderId="56" xfId="0" applyFont="1" applyFill="1" applyBorder="1" applyAlignment="1">
      <alignment horizontal="center" vertical="center" wrapText="1"/>
    </xf>
    <xf numFmtId="0" fontId="15" fillId="7" borderId="21" xfId="0" applyFont="1" applyFill="1" applyBorder="1" applyAlignment="1">
      <alignment horizontal="center" vertical="center" wrapText="1"/>
    </xf>
    <xf numFmtId="0" fontId="15" fillId="7" borderId="22" xfId="0" applyFont="1" applyFill="1" applyBorder="1" applyAlignment="1">
      <alignment horizontal="center" vertical="center" wrapText="1"/>
    </xf>
    <xf numFmtId="0" fontId="15" fillId="7" borderId="19" xfId="0" applyFont="1" applyFill="1" applyBorder="1" applyAlignment="1">
      <alignment horizontal="center" vertical="center" wrapText="1"/>
    </xf>
    <xf numFmtId="0" fontId="15" fillId="7" borderId="53" xfId="0" applyFont="1" applyFill="1" applyBorder="1" applyAlignment="1">
      <alignment horizontal="center" vertical="center" wrapText="1"/>
    </xf>
    <xf numFmtId="20" fontId="15" fillId="6" borderId="21" xfId="0" applyNumberFormat="1" applyFont="1" applyFill="1" applyBorder="1" applyAlignment="1">
      <alignment horizontal="center" vertical="center" wrapText="1"/>
    </xf>
    <xf numFmtId="20" fontId="15" fillId="6" borderId="19" xfId="0" applyNumberFormat="1" applyFont="1" applyFill="1" applyBorder="1" applyAlignment="1">
      <alignment horizontal="center" vertical="center" wrapText="1"/>
    </xf>
    <xf numFmtId="20" fontId="15" fillId="7" borderId="14" xfId="0" applyNumberFormat="1" applyFont="1" applyFill="1" applyBorder="1" applyAlignment="1">
      <alignment horizontal="center" vertical="center" wrapText="1"/>
    </xf>
    <xf numFmtId="20" fontId="15" fillId="6" borderId="22" xfId="0" applyNumberFormat="1" applyFont="1" applyFill="1" applyBorder="1" applyAlignment="1">
      <alignment horizontal="center" vertical="center" wrapText="1"/>
    </xf>
    <xf numFmtId="20" fontId="15" fillId="7" borderId="21" xfId="0" applyNumberFormat="1" applyFont="1" applyFill="1" applyBorder="1" applyAlignment="1">
      <alignment horizontal="center" vertical="center" wrapText="1"/>
    </xf>
    <xf numFmtId="20" fontId="15" fillId="7" borderId="22" xfId="0" applyNumberFormat="1" applyFont="1" applyFill="1" applyBorder="1" applyAlignment="1">
      <alignment horizontal="center" vertical="center" wrapText="1"/>
    </xf>
    <xf numFmtId="20" fontId="15" fillId="7" borderId="19" xfId="0" applyNumberFormat="1" applyFont="1" applyFill="1" applyBorder="1" applyAlignment="1">
      <alignment horizontal="center" vertical="center" wrapText="1"/>
    </xf>
    <xf numFmtId="20" fontId="15" fillId="6" borderId="14" xfId="0" applyNumberFormat="1" applyFont="1" applyFill="1" applyBorder="1" applyAlignment="1">
      <alignment horizontal="center" vertical="center" wrapText="1"/>
    </xf>
    <xf numFmtId="20" fontId="15" fillId="6" borderId="41" xfId="0" applyNumberFormat="1" applyFont="1" applyFill="1" applyBorder="1" applyAlignment="1">
      <alignment horizontal="center" vertical="center" wrapText="1"/>
    </xf>
    <xf numFmtId="20" fontId="15" fillId="6" borderId="30" xfId="0" applyNumberFormat="1" applyFont="1" applyFill="1" applyBorder="1" applyAlignment="1">
      <alignment horizontal="center" vertical="center" wrapText="1"/>
    </xf>
    <xf numFmtId="20" fontId="15" fillId="7" borderId="41" xfId="0" applyNumberFormat="1" applyFont="1" applyFill="1" applyBorder="1" applyAlignment="1">
      <alignment horizontal="center" vertical="center" wrapText="1"/>
    </xf>
    <xf numFmtId="0" fontId="15" fillId="7" borderId="42" xfId="0" applyFont="1" applyFill="1" applyBorder="1" applyAlignment="1">
      <alignment horizontal="center" vertical="center" wrapText="1"/>
    </xf>
    <xf numFmtId="20" fontId="15" fillId="7" borderId="30" xfId="0" applyNumberFormat="1" applyFont="1" applyFill="1" applyBorder="1" applyAlignment="1">
      <alignment horizontal="center" vertical="center" wrapText="1"/>
    </xf>
    <xf numFmtId="0" fontId="15" fillId="6" borderId="57" xfId="0" applyFont="1" applyFill="1" applyBorder="1" applyAlignment="1">
      <alignment horizontal="center" vertical="center" wrapText="1"/>
    </xf>
    <xf numFmtId="20" fontId="15" fillId="6" borderId="17" xfId="0" applyNumberFormat="1" applyFont="1" applyFill="1" applyBorder="1" applyAlignment="1">
      <alignment horizontal="center" vertical="center" wrapText="1"/>
    </xf>
    <xf numFmtId="0" fontId="17" fillId="12" borderId="20" xfId="0" applyFont="1" applyFill="1" applyBorder="1" applyAlignment="1">
      <alignment horizontal="center" vertical="center" wrapText="1"/>
    </xf>
    <xf numFmtId="0" fontId="15" fillId="13" borderId="40" xfId="0" applyFont="1" applyFill="1" applyBorder="1" applyAlignment="1">
      <alignment horizontal="center" vertical="center" wrapText="1"/>
    </xf>
    <xf numFmtId="0" fontId="15" fillId="13" borderId="11" xfId="0" applyFont="1" applyFill="1" applyBorder="1" applyAlignment="1">
      <alignment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164" fontId="16" fillId="13" borderId="11" xfId="0" applyNumberFormat="1" applyFont="1" applyFill="1" applyBorder="1" applyAlignment="1">
      <alignment horizontal="center" vertical="center" wrapText="1"/>
    </xf>
    <xf numFmtId="0" fontId="15" fillId="13" borderId="11" xfId="0" applyFont="1" applyFill="1" applyBorder="1" applyAlignment="1">
      <alignment horizontal="center" vertical="center" wrapText="1"/>
    </xf>
    <xf numFmtId="49" fontId="15" fillId="13" borderId="11" xfId="0" applyNumberFormat="1" applyFont="1" applyFill="1" applyBorder="1" applyAlignment="1">
      <alignment horizontal="left" vertical="center" wrapText="1"/>
    </xf>
    <xf numFmtId="0" fontId="17" fillId="13" borderId="11" xfId="0" applyFont="1" applyFill="1" applyBorder="1" applyAlignment="1">
      <alignment horizontal="center" vertical="center" wrapText="1"/>
    </xf>
    <xf numFmtId="49" fontId="15" fillId="13" borderId="41" xfId="0" applyNumberFormat="1" applyFont="1" applyFill="1" applyBorder="1" applyAlignment="1">
      <alignment horizontal="center" vertical="center" wrapText="1"/>
    </xf>
    <xf numFmtId="0" fontId="15" fillId="13" borderId="37" xfId="0" applyFont="1" applyFill="1" applyBorder="1" applyAlignment="1">
      <alignment horizontal="center" vertical="center" wrapText="1"/>
    </xf>
    <xf numFmtId="0" fontId="15" fillId="13" borderId="20" xfId="0" applyFont="1" applyFill="1" applyBorder="1" applyAlignment="1">
      <alignment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164" fontId="16" fillId="13" borderId="20" xfId="0" applyNumberFormat="1" applyFont="1" applyFill="1" applyBorder="1" applyAlignment="1">
      <alignment horizontal="center" vertical="center" wrapText="1"/>
    </xf>
    <xf numFmtId="0" fontId="15" fillId="13" borderId="20" xfId="0" applyFont="1" applyFill="1" applyBorder="1" applyAlignment="1">
      <alignment horizontal="center" vertical="center" wrapText="1"/>
    </xf>
    <xf numFmtId="49" fontId="15" fillId="13" borderId="20" xfId="0" applyNumberFormat="1" applyFont="1" applyFill="1" applyBorder="1" applyAlignment="1">
      <alignment horizontal="left" vertical="center" wrapText="1"/>
    </xf>
    <xf numFmtId="0" fontId="17" fillId="13" borderId="20" xfId="0" applyFont="1" applyFill="1" applyBorder="1" applyAlignment="1">
      <alignment horizontal="center" vertical="center" wrapText="1"/>
    </xf>
    <xf numFmtId="49" fontId="15" fillId="13" borderId="21" xfId="0" applyNumberFormat="1" applyFont="1" applyFill="1" applyBorder="1" applyAlignment="1">
      <alignment horizontal="center" vertical="center" wrapText="1"/>
    </xf>
    <xf numFmtId="0" fontId="15" fillId="12" borderId="34" xfId="0" applyFont="1" applyFill="1" applyBorder="1" applyAlignment="1">
      <alignment horizontal="center" vertical="center" wrapText="1"/>
    </xf>
    <xf numFmtId="0" fontId="15" fillId="12" borderId="16" xfId="0" applyFont="1" applyFill="1" applyBorder="1" applyAlignment="1">
      <alignment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164" fontId="16" fillId="12" borderId="16" xfId="0" applyNumberFormat="1" applyFont="1" applyFill="1" applyBorder="1" applyAlignment="1">
      <alignment horizontal="center" vertical="center" wrapText="1"/>
    </xf>
    <xf numFmtId="0" fontId="15" fillId="12" borderId="16" xfId="0" applyFont="1" applyFill="1" applyBorder="1" applyAlignment="1">
      <alignment horizontal="center" vertical="center" wrapText="1"/>
    </xf>
    <xf numFmtId="49" fontId="15" fillId="12" borderId="16" xfId="0" applyNumberFormat="1" applyFont="1" applyFill="1" applyBorder="1" applyAlignment="1">
      <alignment horizontal="left" vertical="center" wrapText="1"/>
    </xf>
    <xf numFmtId="0" fontId="17" fillId="12" borderId="16" xfId="0" applyFont="1" applyFill="1" applyBorder="1" applyAlignment="1">
      <alignment horizontal="center" vertical="center" wrapText="1"/>
    </xf>
    <xf numFmtId="49" fontId="15" fillId="12" borderId="17" xfId="0" applyNumberFormat="1" applyFont="1" applyFill="1" applyBorder="1" applyAlignment="1">
      <alignment horizontal="center" vertical="center" wrapText="1"/>
    </xf>
    <xf numFmtId="0" fontId="15" fillId="12" borderId="40" xfId="0" applyFont="1" applyFill="1" applyBorder="1" applyAlignment="1">
      <alignment horizontal="center" vertical="center" wrapText="1"/>
    </xf>
    <xf numFmtId="0" fontId="15" fillId="12" borderId="11" xfId="0" applyFont="1" applyFill="1" applyBorder="1" applyAlignment="1">
      <alignment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164" fontId="16" fillId="12" borderId="11" xfId="0" applyNumberFormat="1" applyFont="1" applyFill="1" applyBorder="1" applyAlignment="1">
      <alignment horizontal="center" vertical="center" wrapText="1"/>
    </xf>
    <xf numFmtId="0" fontId="15" fillId="12" borderId="11" xfId="0" applyFont="1" applyFill="1" applyBorder="1" applyAlignment="1">
      <alignment horizontal="center" vertical="center" wrapText="1"/>
    </xf>
    <xf numFmtId="49" fontId="15" fillId="12" borderId="11" xfId="0" applyNumberFormat="1" applyFont="1" applyFill="1" applyBorder="1" applyAlignment="1">
      <alignment horizontal="left" vertical="center" wrapText="1"/>
    </xf>
    <xf numFmtId="0" fontId="17" fillId="12" borderId="11" xfId="0" applyFont="1" applyFill="1" applyBorder="1" applyAlignment="1">
      <alignment horizontal="center" vertical="center" wrapText="1"/>
    </xf>
    <xf numFmtId="49" fontId="15" fillId="12" borderId="41" xfId="0" applyNumberFormat="1" applyFont="1" applyFill="1" applyBorder="1" applyAlignment="1">
      <alignment horizontal="center" vertical="center" wrapText="1"/>
    </xf>
    <xf numFmtId="49" fontId="16" fillId="6" borderId="21" xfId="0" applyNumberFormat="1" applyFont="1" applyFill="1" applyBorder="1" applyAlignment="1">
      <alignment horizontal="center" vertical="center" wrapText="1"/>
    </xf>
    <xf numFmtId="20" fontId="15" fillId="7" borderId="17" xfId="0" applyNumberFormat="1" applyFont="1" applyFill="1" applyBorder="1" applyAlignment="1">
      <alignment horizontal="center" vertical="center" wrapText="1"/>
    </xf>
    <xf numFmtId="20" fontId="15" fillId="7" borderId="27" xfId="0" applyNumberFormat="1" applyFont="1" applyFill="1" applyBorder="1" applyAlignment="1">
      <alignment horizontal="center" vertical="center" wrapText="1"/>
    </xf>
    <xf numFmtId="0" fontId="15" fillId="9" borderId="38" xfId="0" applyFont="1" applyFill="1" applyBorder="1" applyAlignment="1">
      <alignment horizontal="center" vertical="center" wrapText="1"/>
    </xf>
    <xf numFmtId="0" fontId="15" fillId="9" borderId="39" xfId="0" applyFont="1" applyFill="1" applyBorder="1" applyAlignment="1">
      <alignment horizontal="center" vertical="center" wrapText="1"/>
    </xf>
    <xf numFmtId="0" fontId="15" fillId="9" borderId="10" xfId="0" applyFont="1" applyFill="1" applyBorder="1" applyAlignment="1">
      <alignment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164" fontId="16" fillId="9" borderId="10" xfId="0" applyNumberFormat="1" applyFont="1" applyFill="1" applyBorder="1" applyAlignment="1">
      <alignment horizontal="center" vertical="center" wrapText="1"/>
    </xf>
    <xf numFmtId="0" fontId="15" fillId="9" borderId="10" xfId="0" applyFont="1" applyFill="1" applyBorder="1" applyAlignment="1">
      <alignment horizontal="center" vertical="center" wrapText="1"/>
    </xf>
    <xf numFmtId="49" fontId="15" fillId="9" borderId="10" xfId="0" applyNumberFormat="1" applyFont="1" applyFill="1" applyBorder="1" applyAlignment="1">
      <alignment horizontal="left" vertical="center" wrapText="1"/>
    </xf>
    <xf numFmtId="0" fontId="17" fillId="9" borderId="10" xfId="0" applyFont="1" applyFill="1" applyBorder="1" applyAlignment="1">
      <alignment horizontal="center" vertical="center" wrapText="1"/>
    </xf>
    <xf numFmtId="49" fontId="15" fillId="9" borderId="27" xfId="0" applyNumberFormat="1" applyFont="1" applyFill="1" applyBorder="1" applyAlignment="1">
      <alignment horizontal="center" vertical="center" wrapText="1"/>
    </xf>
    <xf numFmtId="20" fontId="15" fillId="9" borderId="27" xfId="0" applyNumberFormat="1" applyFont="1" applyFill="1" applyBorder="1" applyAlignment="1">
      <alignment horizontal="center" vertical="center" wrapText="1"/>
    </xf>
    <xf numFmtId="0" fontId="20" fillId="7" borderId="13" xfId="0" applyFont="1" applyFill="1" applyBorder="1" applyAlignment="1">
      <alignment horizontal="center" vertical="center" wrapText="1"/>
    </xf>
    <xf numFmtId="49" fontId="20" fillId="6" borderId="13" xfId="0" applyNumberFormat="1" applyFont="1" applyFill="1" applyBorder="1" applyAlignment="1">
      <alignment horizontal="left" vertical="center" wrapText="1"/>
    </xf>
    <xf numFmtId="49" fontId="20" fillId="7" borderId="13" xfId="0" applyNumberFormat="1" applyFont="1" applyFill="1" applyBorder="1" applyAlignment="1">
      <alignment horizontal="left" vertical="center" wrapText="1"/>
    </xf>
    <xf numFmtId="164" fontId="17" fillId="7" borderId="20" xfId="0" applyNumberFormat="1" applyFont="1" applyFill="1" applyBorder="1" applyAlignment="1">
      <alignment horizontal="center" vertical="center" wrapText="1"/>
    </xf>
    <xf numFmtId="164" fontId="17" fillId="7" borderId="11" xfId="0" applyNumberFormat="1" applyFont="1" applyFill="1" applyBorder="1" applyAlignment="1">
      <alignment horizontal="center" vertical="center" wrapText="1"/>
    </xf>
    <xf numFmtId="164" fontId="17" fillId="6" borderId="13" xfId="0" applyNumberFormat="1" applyFont="1" applyFill="1" applyBorder="1" applyAlignment="1">
      <alignment horizontal="center" vertical="center" wrapText="1"/>
    </xf>
    <xf numFmtId="164" fontId="17" fillId="7" borderId="13" xfId="0" applyNumberFormat="1" applyFont="1" applyFill="1" applyBorder="1" applyAlignment="1">
      <alignment horizontal="center" vertical="center" wrapText="1"/>
    </xf>
    <xf numFmtId="164" fontId="17" fillId="7" borderId="16" xfId="0" applyNumberFormat="1" applyFont="1" applyFill="1" applyBorder="1" applyAlignment="1">
      <alignment horizontal="center" vertical="center" wrapText="1"/>
    </xf>
    <xf numFmtId="164" fontId="17" fillId="6" borderId="20" xfId="0" applyNumberFormat="1" applyFont="1" applyFill="1" applyBorder="1" applyAlignment="1">
      <alignment horizontal="center" vertical="center" wrapText="1"/>
    </xf>
    <xf numFmtId="164" fontId="17" fillId="6" borderId="16" xfId="0" applyNumberFormat="1" applyFont="1" applyFill="1" applyBorder="1" applyAlignment="1">
      <alignment horizontal="center" vertical="center" wrapText="1"/>
    </xf>
    <xf numFmtId="164" fontId="17" fillId="6" borderId="11" xfId="0" applyNumberFormat="1" applyFont="1" applyFill="1" applyBorder="1" applyAlignment="1">
      <alignment horizontal="center" vertical="center" wrapText="1"/>
    </xf>
    <xf numFmtId="49" fontId="15" fillId="6" borderId="22" xfId="0" applyNumberFormat="1" applyFont="1" applyFill="1" applyBorder="1" applyAlignment="1">
      <alignment horizontal="left" vertical="center" wrapText="1"/>
    </xf>
    <xf numFmtId="0" fontId="17" fillId="6" borderId="24" xfId="0" applyFont="1" applyFill="1" applyBorder="1" applyAlignment="1">
      <alignment horizontal="center" vertical="center" wrapText="1"/>
    </xf>
    <xf numFmtId="20" fontId="15" fillId="6" borderId="25" xfId="0" applyNumberFormat="1" applyFont="1" applyFill="1" applyBorder="1" applyAlignment="1">
      <alignment horizontal="center" vertical="center" wrapText="1"/>
    </xf>
    <xf numFmtId="0" fontId="15" fillId="14" borderId="9" xfId="0" applyFont="1" applyFill="1" applyBorder="1" applyAlignment="1">
      <alignment horizontal="center" vertical="center" wrapText="1"/>
    </xf>
    <xf numFmtId="0" fontId="15" fillId="14" borderId="26" xfId="0" applyFont="1" applyFill="1" applyBorder="1" applyAlignment="1">
      <alignment horizontal="center" vertical="center" wrapText="1"/>
    </xf>
    <xf numFmtId="0" fontId="15" fillId="14" borderId="13" xfId="0" applyFont="1" applyFill="1" applyBorder="1" applyAlignment="1">
      <alignment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164" fontId="16" fillId="14" borderId="13" xfId="0" applyNumberFormat="1" applyFont="1" applyFill="1" applyBorder="1" applyAlignment="1">
      <alignment horizontal="center" vertical="center" wrapText="1"/>
    </xf>
    <xf numFmtId="0" fontId="15" fillId="14" borderId="13" xfId="0" applyFont="1" applyFill="1" applyBorder="1" applyAlignment="1">
      <alignment horizontal="center" vertical="center" wrapText="1"/>
    </xf>
    <xf numFmtId="49" fontId="15" fillId="14" borderId="13" xfId="0" applyNumberFormat="1" applyFont="1" applyFill="1" applyBorder="1" applyAlignment="1">
      <alignment horizontal="left" vertical="center" wrapText="1"/>
    </xf>
    <xf numFmtId="0" fontId="17" fillId="14" borderId="13" xfId="0" applyFont="1" applyFill="1" applyBorder="1" applyAlignment="1">
      <alignment horizontal="center" vertical="center" wrapText="1"/>
    </xf>
    <xf numFmtId="49" fontId="15" fillId="14" borderId="14" xfId="0" applyNumberFormat="1" applyFont="1" applyFill="1" applyBorder="1" applyAlignment="1">
      <alignment horizontal="center" vertical="center" wrapText="1"/>
    </xf>
    <xf numFmtId="20" fontId="15" fillId="14" borderId="14" xfId="0" applyNumberFormat="1" applyFont="1" applyFill="1" applyBorder="1" applyAlignment="1">
      <alignment horizontal="center" vertical="center" wrapText="1"/>
    </xf>
    <xf numFmtId="164" fontId="20" fillId="6" borderId="18" xfId="0" applyNumberFormat="1" applyFont="1" applyFill="1" applyBorder="1" applyAlignment="1">
      <alignment horizontal="center" vertical="center" wrapText="1"/>
    </xf>
    <xf numFmtId="164" fontId="20" fillId="7" borderId="13" xfId="0" applyNumberFormat="1" applyFont="1" applyFill="1" applyBorder="1" applyAlignment="1">
      <alignment horizontal="center" vertical="center" wrapText="1"/>
    </xf>
    <xf numFmtId="164" fontId="20" fillId="6" borderId="20" xfId="0" applyNumberFormat="1" applyFont="1" applyFill="1" applyBorder="1" applyAlignment="1">
      <alignment horizontal="center" vertical="center" wrapText="1"/>
    </xf>
    <xf numFmtId="164" fontId="20" fillId="6" borderId="1" xfId="0" applyNumberFormat="1" applyFont="1" applyFill="1" applyBorder="1" applyAlignment="1">
      <alignment horizontal="center" vertical="center" wrapText="1"/>
    </xf>
    <xf numFmtId="164" fontId="20" fillId="7" borderId="20" xfId="0" applyNumberFormat="1" applyFont="1" applyFill="1" applyBorder="1" applyAlignment="1">
      <alignment horizontal="center" vertical="center" wrapText="1"/>
    </xf>
    <xf numFmtId="164" fontId="20" fillId="7" borderId="18" xfId="0" applyNumberFormat="1" applyFont="1" applyFill="1" applyBorder="1" applyAlignment="1">
      <alignment horizontal="center" vertical="center" wrapText="1"/>
    </xf>
    <xf numFmtId="164" fontId="20" fillId="7" borderId="1" xfId="0" applyNumberFormat="1" applyFont="1" applyFill="1" applyBorder="1" applyAlignment="1">
      <alignment horizontal="center" vertical="center" wrapText="1"/>
    </xf>
    <xf numFmtId="49" fontId="16" fillId="7" borderId="11" xfId="0" applyNumberFormat="1" applyFont="1" applyFill="1" applyBorder="1" applyAlignment="1">
      <alignment horizontal="left" vertical="center" wrapText="1"/>
    </xf>
    <xf numFmtId="164" fontId="20" fillId="6" borderId="13" xfId="0" applyNumberFormat="1" applyFont="1" applyFill="1" applyBorder="1" applyAlignment="1">
      <alignment horizontal="center" vertical="center" wrapText="1"/>
    </xf>
    <xf numFmtId="4" fontId="15" fillId="6" borderId="13" xfId="0" applyNumberFormat="1" applyFont="1" applyFill="1" applyBorder="1" applyAlignment="1">
      <alignment horizontal="center" vertical="center" wrapText="1"/>
    </xf>
    <xf numFmtId="0" fontId="15" fillId="15" borderId="37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164" fontId="16" fillId="15" borderId="20" xfId="0" applyNumberFormat="1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horizontal="center" vertical="center" wrapText="1"/>
    </xf>
    <xf numFmtId="20" fontId="15" fillId="15" borderId="21" xfId="0" applyNumberFormat="1" applyFont="1" applyFill="1" applyBorder="1" applyAlignment="1">
      <alignment horizontal="center" vertical="center" wrapText="1"/>
    </xf>
    <xf numFmtId="0" fontId="15" fillId="15" borderId="34" xfId="0" applyFont="1" applyFill="1" applyBorder="1" applyAlignment="1">
      <alignment horizontal="center" vertical="center" wrapText="1"/>
    </xf>
    <xf numFmtId="0" fontId="15" fillId="15" borderId="1" xfId="0" applyFont="1" applyFill="1" applyBorder="1" applyAlignment="1">
      <alignment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164" fontId="16" fillId="15" borderId="1" xfId="0" applyNumberFormat="1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6" fillId="15" borderId="16" xfId="0" applyFont="1" applyFill="1" applyBorder="1" applyAlignment="1">
      <alignment horizontal="center" vertical="center" wrapText="1"/>
    </xf>
    <xf numFmtId="0" fontId="15" fillId="15" borderId="1" xfId="0" applyFont="1" applyFill="1" applyBorder="1" applyAlignment="1">
      <alignment horizontal="center" vertical="center" wrapText="1"/>
    </xf>
    <xf numFmtId="20" fontId="15" fillId="15" borderId="22" xfId="0" applyNumberFormat="1" applyFont="1" applyFill="1" applyBorder="1" applyAlignment="1">
      <alignment horizontal="center" vertical="center" wrapText="1"/>
    </xf>
    <xf numFmtId="0" fontId="15" fillId="15" borderId="40" xfId="0" applyFont="1" applyFill="1" applyBorder="1" applyAlignment="1">
      <alignment horizontal="center" vertical="center" wrapText="1"/>
    </xf>
    <xf numFmtId="0" fontId="15" fillId="15" borderId="18" xfId="0" applyFont="1" applyFill="1" applyBorder="1" applyAlignment="1">
      <alignment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164" fontId="16" fillId="15" borderId="18" xfId="0" applyNumberFormat="1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6" fillId="15" borderId="11" xfId="0" applyFont="1" applyFill="1" applyBorder="1" applyAlignment="1">
      <alignment horizontal="center" vertical="center" wrapText="1"/>
    </xf>
    <xf numFmtId="0" fontId="15" fillId="15" borderId="18" xfId="0" applyFont="1" applyFill="1" applyBorder="1" applyAlignment="1">
      <alignment horizontal="center" vertical="center" wrapText="1"/>
    </xf>
    <xf numFmtId="20" fontId="15" fillId="15" borderId="19" xfId="0" applyNumberFormat="1" applyFont="1" applyFill="1" applyBorder="1" applyAlignment="1">
      <alignment horizontal="center" vertical="center" wrapText="1"/>
    </xf>
    <xf numFmtId="20" fontId="15" fillId="6" borderId="27" xfId="0" applyNumberFormat="1" applyFont="1" applyFill="1" applyBorder="1" applyAlignment="1">
      <alignment horizontal="center" vertical="center" wrapText="1"/>
    </xf>
    <xf numFmtId="20" fontId="15" fillId="7" borderId="25" xfId="0" applyNumberFormat="1" applyFont="1" applyFill="1" applyBorder="1" applyAlignment="1">
      <alignment horizontal="center" vertical="center" wrapText="1"/>
    </xf>
    <xf numFmtId="0" fontId="21" fillId="6" borderId="20" xfId="0" applyFont="1" applyFill="1" applyBorder="1" applyAlignment="1">
      <alignment horizontal="center" vertical="center" wrapText="1"/>
    </xf>
    <xf numFmtId="0" fontId="21" fillId="6" borderId="16" xfId="0" applyFont="1" applyFill="1" applyBorder="1" applyAlignment="1">
      <alignment horizontal="center" vertical="center" wrapText="1"/>
    </xf>
    <xf numFmtId="0" fontId="21" fillId="6" borderId="11" xfId="0" applyFont="1" applyFill="1" applyBorder="1" applyAlignment="1">
      <alignment horizontal="center" vertical="center" wrapText="1"/>
    </xf>
    <xf numFmtId="0" fontId="17" fillId="9" borderId="13" xfId="0" applyFont="1" applyFill="1" applyBorder="1" applyAlignment="1">
      <alignment horizontal="center" vertical="center" wrapText="1"/>
    </xf>
    <xf numFmtId="49" fontId="15" fillId="9" borderId="14" xfId="0" applyNumberFormat="1" applyFont="1" applyFill="1" applyBorder="1" applyAlignment="1">
      <alignment horizontal="center" vertical="center" wrapText="1"/>
    </xf>
    <xf numFmtId="20" fontId="15" fillId="9" borderId="14" xfId="0" applyNumberFormat="1" applyFont="1" applyFill="1" applyBorder="1" applyAlignment="1">
      <alignment horizontal="center" vertical="center" wrapText="1"/>
    </xf>
    <xf numFmtId="0" fontId="15" fillId="9" borderId="37" xfId="0" applyFont="1" applyFill="1" applyBorder="1" applyAlignment="1">
      <alignment horizontal="center" vertical="center" wrapText="1"/>
    </xf>
    <xf numFmtId="0" fontId="15" fillId="9" borderId="20" xfId="0" applyFont="1" applyFill="1" applyBorder="1" applyAlignment="1">
      <alignment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164" fontId="16" fillId="9" borderId="20" xfId="0" applyNumberFormat="1" applyFont="1" applyFill="1" applyBorder="1" applyAlignment="1">
      <alignment horizontal="center" vertical="center" wrapText="1"/>
    </xf>
    <xf numFmtId="0" fontId="15" fillId="9" borderId="20" xfId="0" applyFont="1" applyFill="1" applyBorder="1" applyAlignment="1">
      <alignment horizontal="center" vertical="center" wrapText="1"/>
    </xf>
    <xf numFmtId="0" fontId="17" fillId="9" borderId="20" xfId="0" applyFont="1" applyFill="1" applyBorder="1" applyAlignment="1">
      <alignment horizontal="center" vertical="center" wrapText="1"/>
    </xf>
    <xf numFmtId="49" fontId="15" fillId="9" borderId="21" xfId="0" applyNumberFormat="1" applyFont="1" applyFill="1" applyBorder="1" applyAlignment="1">
      <alignment horizontal="center" vertical="center" wrapText="1"/>
    </xf>
    <xf numFmtId="20" fontId="15" fillId="9" borderId="21" xfId="0" applyNumberFormat="1" applyFont="1" applyFill="1" applyBorder="1" applyAlignment="1">
      <alignment horizontal="center" vertical="center" wrapText="1"/>
    </xf>
    <xf numFmtId="0" fontId="17" fillId="9" borderId="24" xfId="0" applyFont="1" applyFill="1" applyBorder="1" applyAlignment="1">
      <alignment horizontal="center" vertical="center" wrapText="1"/>
    </xf>
    <xf numFmtId="49" fontId="15" fillId="9" borderId="25" xfId="0" applyNumberFormat="1" applyFont="1" applyFill="1" applyBorder="1" applyAlignment="1">
      <alignment horizontal="center" vertical="center" wrapText="1"/>
    </xf>
    <xf numFmtId="20" fontId="15" fillId="9" borderId="25" xfId="0" applyNumberFormat="1" applyFont="1" applyFill="1" applyBorder="1" applyAlignment="1">
      <alignment horizontal="center" vertical="center" wrapText="1"/>
    </xf>
    <xf numFmtId="0" fontId="15" fillId="7" borderId="33" xfId="0" applyFont="1" applyFill="1" applyBorder="1" applyAlignment="1">
      <alignment horizontal="center" vertical="center" wrapText="1"/>
    </xf>
    <xf numFmtId="49" fontId="20" fillId="7" borderId="14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2" fontId="16" fillId="7" borderId="1" xfId="0" applyNumberFormat="1" applyFont="1" applyFill="1" applyBorder="1" applyAlignment="1">
      <alignment horizontal="center" vertical="center" wrapText="1"/>
    </xf>
    <xf numFmtId="0" fontId="17" fillId="7" borderId="29" xfId="0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6" fillId="7" borderId="11" xfId="0" applyNumberFormat="1" applyFont="1" applyFill="1" applyBorder="1" applyAlignment="1">
      <alignment horizontal="center" vertical="center" wrapText="1"/>
    </xf>
    <xf numFmtId="2" fontId="16" fillId="6" borderId="16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6" fillId="6" borderId="11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2" fontId="16" fillId="7" borderId="16" xfId="0" applyNumberFormat="1" applyFont="1" applyFill="1" applyBorder="1" applyAlignment="1">
      <alignment horizontal="center" vertical="center" wrapText="1"/>
    </xf>
    <xf numFmtId="164" fontId="20" fillId="7" borderId="11" xfId="0" applyNumberFormat="1" applyFont="1" applyFill="1" applyBorder="1" applyAlignment="1">
      <alignment horizontal="center" vertical="center" wrapText="1"/>
    </xf>
    <xf numFmtId="164" fontId="20" fillId="6" borderId="11" xfId="0" applyNumberFormat="1" applyFont="1" applyFill="1" applyBorder="1" applyAlignment="1">
      <alignment horizontal="center" vertical="center" wrapText="1"/>
    </xf>
    <xf numFmtId="164" fontId="20" fillId="7" borderId="16" xfId="0" applyNumberFormat="1" applyFont="1" applyFill="1" applyBorder="1" applyAlignment="1">
      <alignment horizontal="center" vertical="center" wrapText="1"/>
    </xf>
    <xf numFmtId="164" fontId="20" fillId="7" borderId="24" xfId="0" applyNumberFormat="1" applyFont="1" applyFill="1" applyBorder="1" applyAlignment="1">
      <alignment horizontal="center" vertical="center" wrapText="1"/>
    </xf>
    <xf numFmtId="0" fontId="15" fillId="7" borderId="0" xfId="0" applyFont="1" applyFill="1" applyAlignment="1">
      <alignment horizontal="center" vertical="center" wrapText="1"/>
    </xf>
    <xf numFmtId="164" fontId="15" fillId="7" borderId="50" xfId="0" applyNumberFormat="1" applyFont="1" applyFill="1" applyBorder="1" applyAlignment="1">
      <alignment horizontal="center" vertical="center" wrapText="1"/>
    </xf>
    <xf numFmtId="0" fontId="21" fillId="6" borderId="24" xfId="0" applyFont="1" applyFill="1" applyBorder="1" applyAlignment="1">
      <alignment horizontal="center" vertical="center" wrapText="1"/>
    </xf>
    <xf numFmtId="0" fontId="22" fillId="7" borderId="16" xfId="0" applyFont="1" applyFill="1" applyBorder="1" applyAlignment="1">
      <alignment horizontal="center" vertical="center" wrapText="1"/>
    </xf>
    <xf numFmtId="0" fontId="22" fillId="7" borderId="24" xfId="0" applyFont="1" applyFill="1" applyBorder="1" applyAlignment="1">
      <alignment horizontal="center" vertical="center" wrapText="1"/>
    </xf>
    <xf numFmtId="0" fontId="15" fillId="0" borderId="16" xfId="0" applyFont="1" applyBorder="1" applyAlignment="1">
      <alignment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164" fontId="16" fillId="0" borderId="16" xfId="0" applyNumberFormat="1" applyFont="1" applyBorder="1" applyAlignment="1">
      <alignment horizontal="center" vertical="center" wrapText="1"/>
    </xf>
    <xf numFmtId="49" fontId="15" fillId="0" borderId="16" xfId="0" applyNumberFormat="1" applyFont="1" applyBorder="1" applyAlignment="1">
      <alignment horizontal="left" vertical="center" wrapText="1"/>
    </xf>
    <xf numFmtId="0" fontId="17" fillId="0" borderId="16" xfId="0" applyFont="1" applyBorder="1" applyAlignment="1">
      <alignment horizontal="center" vertical="center" wrapText="1"/>
    </xf>
    <xf numFmtId="49" fontId="15" fillId="0" borderId="16" xfId="0" applyNumberFormat="1" applyFont="1" applyBorder="1" applyAlignment="1">
      <alignment horizontal="center" vertical="center" wrapText="1"/>
    </xf>
    <xf numFmtId="0" fontId="15" fillId="16" borderId="37" xfId="0" applyFont="1" applyFill="1" applyBorder="1" applyAlignment="1">
      <alignment horizontal="center" vertical="center" wrapText="1"/>
    </xf>
    <xf numFmtId="0" fontId="15" fillId="16" borderId="20" xfId="0" applyFont="1" applyFill="1" applyBorder="1" applyAlignment="1">
      <alignment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164" fontId="16" fillId="16" borderId="20" xfId="0" applyNumberFormat="1" applyFont="1" applyFill="1" applyBorder="1" applyAlignment="1">
      <alignment horizontal="center" vertical="center" wrapText="1"/>
    </xf>
    <xf numFmtId="0" fontId="15" fillId="16" borderId="20" xfId="0" applyFont="1" applyFill="1" applyBorder="1" applyAlignment="1">
      <alignment horizontal="center" vertical="center" wrapText="1"/>
    </xf>
    <xf numFmtId="0" fontId="17" fillId="16" borderId="20" xfId="0" applyFont="1" applyFill="1" applyBorder="1" applyAlignment="1">
      <alignment horizontal="center" vertical="center" wrapText="1"/>
    </xf>
    <xf numFmtId="49" fontId="15" fillId="16" borderId="21" xfId="0" applyNumberFormat="1" applyFont="1" applyFill="1" applyBorder="1" applyAlignment="1">
      <alignment horizontal="center" vertical="center" wrapText="1"/>
    </xf>
    <xf numFmtId="20" fontId="15" fillId="16" borderId="21" xfId="0" applyNumberFormat="1" applyFont="1" applyFill="1" applyBorder="1" applyAlignment="1">
      <alignment horizontal="center" vertical="center" wrapText="1"/>
    </xf>
    <xf numFmtId="0" fontId="15" fillId="16" borderId="40" xfId="0" applyFont="1" applyFill="1" applyBorder="1" applyAlignment="1">
      <alignment horizontal="center" vertical="center" wrapText="1"/>
    </xf>
    <xf numFmtId="0" fontId="15" fillId="16" borderId="11" xfId="0" applyFont="1" applyFill="1" applyBorder="1" applyAlignment="1">
      <alignment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164" fontId="16" fillId="16" borderId="11" xfId="0" applyNumberFormat="1" applyFont="1" applyFill="1" applyBorder="1" applyAlignment="1">
      <alignment horizontal="center" vertical="center" wrapText="1"/>
    </xf>
    <xf numFmtId="0" fontId="15" fillId="16" borderId="11" xfId="0" applyFont="1" applyFill="1" applyBorder="1" applyAlignment="1">
      <alignment horizontal="center" vertical="center" wrapText="1"/>
    </xf>
    <xf numFmtId="0" fontId="17" fillId="16" borderId="11" xfId="0" applyFont="1" applyFill="1" applyBorder="1" applyAlignment="1">
      <alignment horizontal="center" vertical="center" wrapText="1"/>
    </xf>
    <xf numFmtId="49" fontId="15" fillId="16" borderId="41" xfId="0" applyNumberFormat="1" applyFont="1" applyFill="1" applyBorder="1" applyAlignment="1">
      <alignment horizontal="center" vertical="center" wrapText="1"/>
    </xf>
    <xf numFmtId="20" fontId="15" fillId="16" borderId="41" xfId="0" applyNumberFormat="1" applyFont="1" applyFill="1" applyBorder="1" applyAlignment="1">
      <alignment horizontal="center" vertical="center" wrapText="1"/>
    </xf>
    <xf numFmtId="0" fontId="15" fillId="16" borderId="50" xfId="0" applyFont="1" applyFill="1" applyBorder="1" applyAlignment="1">
      <alignment horizontal="center" vertical="center" wrapText="1"/>
    </xf>
    <xf numFmtId="0" fontId="15" fillId="16" borderId="24" xfId="0" applyFont="1" applyFill="1" applyBorder="1" applyAlignment="1">
      <alignment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164" fontId="16" fillId="16" borderId="24" xfId="0" applyNumberFormat="1" applyFont="1" applyFill="1" applyBorder="1" applyAlignment="1">
      <alignment horizontal="center" vertical="center" wrapText="1"/>
    </xf>
    <xf numFmtId="0" fontId="15" fillId="16" borderId="24" xfId="0" applyFont="1" applyFill="1" applyBorder="1" applyAlignment="1">
      <alignment horizontal="center" vertical="center" wrapText="1"/>
    </xf>
    <xf numFmtId="0" fontId="17" fillId="16" borderId="24" xfId="0" applyFont="1" applyFill="1" applyBorder="1" applyAlignment="1">
      <alignment horizontal="center" vertical="center" wrapText="1"/>
    </xf>
    <xf numFmtId="49" fontId="15" fillId="16" borderId="25" xfId="0" applyNumberFormat="1" applyFont="1" applyFill="1" applyBorder="1" applyAlignment="1">
      <alignment horizontal="center" vertical="center" wrapText="1"/>
    </xf>
    <xf numFmtId="20" fontId="15" fillId="16" borderId="25" xfId="0" applyNumberFormat="1" applyFont="1" applyFill="1" applyBorder="1" applyAlignment="1">
      <alignment horizontal="center" vertical="center" wrapText="1"/>
    </xf>
    <xf numFmtId="0" fontId="15" fillId="17" borderId="9" xfId="0" applyFont="1" applyFill="1" applyBorder="1" applyAlignment="1">
      <alignment horizontal="center" vertical="center" wrapText="1"/>
    </xf>
    <xf numFmtId="0" fontId="15" fillId="17" borderId="26" xfId="0" applyFont="1" applyFill="1" applyBorder="1" applyAlignment="1">
      <alignment horizontal="center" vertical="center" wrapText="1"/>
    </xf>
    <xf numFmtId="0" fontId="15" fillId="17" borderId="13" xfId="0" applyFont="1" applyFill="1" applyBorder="1" applyAlignment="1">
      <alignment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164" fontId="16" fillId="17" borderId="13" xfId="0" applyNumberFormat="1" applyFont="1" applyFill="1" applyBorder="1" applyAlignment="1">
      <alignment horizontal="center" vertical="center" wrapText="1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13" xfId="0" applyNumberFormat="1" applyFont="1" applyFill="1" applyBorder="1" applyAlignment="1">
      <alignment horizontal="left" vertical="center" wrapText="1"/>
    </xf>
    <xf numFmtId="0" fontId="17" fillId="17" borderId="13" xfId="0" applyFont="1" applyFill="1" applyBorder="1" applyAlignment="1">
      <alignment horizontal="center" vertical="center" wrapText="1"/>
    </xf>
    <xf numFmtId="49" fontId="15" fillId="17" borderId="14" xfId="0" applyNumberFormat="1" applyFont="1" applyFill="1" applyBorder="1" applyAlignment="1">
      <alignment horizontal="center" vertical="center" wrapText="1"/>
    </xf>
    <xf numFmtId="20" fontId="15" fillId="17" borderId="14" xfId="0" applyNumberFormat="1" applyFont="1" applyFill="1" applyBorder="1" applyAlignment="1">
      <alignment horizontal="center" vertical="center" wrapText="1"/>
    </xf>
    <xf numFmtId="0" fontId="15" fillId="16" borderId="9" xfId="0" applyFont="1" applyFill="1" applyBorder="1" applyAlignment="1">
      <alignment horizontal="center" vertical="center" wrapText="1"/>
    </xf>
    <xf numFmtId="0" fontId="15" fillId="16" borderId="26" xfId="0" applyFont="1" applyFill="1" applyBorder="1" applyAlignment="1">
      <alignment horizontal="center" vertical="center" wrapText="1"/>
    </xf>
    <xf numFmtId="0" fontId="15" fillId="16" borderId="13" xfId="0" applyFont="1" applyFill="1" applyBorder="1" applyAlignment="1">
      <alignment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164" fontId="16" fillId="16" borderId="13" xfId="0" applyNumberFormat="1" applyFont="1" applyFill="1" applyBorder="1" applyAlignment="1">
      <alignment horizontal="center" vertical="center" wrapText="1"/>
    </xf>
    <xf numFmtId="0" fontId="15" fillId="16" borderId="13" xfId="0" applyFont="1" applyFill="1" applyBorder="1" applyAlignment="1">
      <alignment horizontal="center" vertical="center" wrapText="1"/>
    </xf>
    <xf numFmtId="49" fontId="15" fillId="16" borderId="13" xfId="0" applyNumberFormat="1" applyFont="1" applyFill="1" applyBorder="1" applyAlignment="1">
      <alignment horizontal="left" vertical="center" wrapText="1"/>
    </xf>
    <xf numFmtId="0" fontId="17" fillId="16" borderId="13" xfId="0" applyFont="1" applyFill="1" applyBorder="1" applyAlignment="1">
      <alignment horizontal="center" vertical="center" wrapText="1"/>
    </xf>
    <xf numFmtId="49" fontId="15" fillId="16" borderId="14" xfId="0" applyNumberFormat="1" applyFont="1" applyFill="1" applyBorder="1" applyAlignment="1">
      <alignment horizontal="center" vertical="center" wrapText="1"/>
    </xf>
    <xf numFmtId="20" fontId="15" fillId="16" borderId="14" xfId="0" applyNumberFormat="1" applyFont="1" applyFill="1" applyBorder="1" applyAlignment="1">
      <alignment horizontal="center" vertical="center" wrapText="1"/>
    </xf>
    <xf numFmtId="0" fontId="15" fillId="16" borderId="34" xfId="0" applyFont="1" applyFill="1" applyBorder="1" applyAlignment="1">
      <alignment horizontal="center" vertical="center" wrapText="1"/>
    </xf>
    <xf numFmtId="0" fontId="15" fillId="16" borderId="16" xfId="0" applyFont="1" applyFill="1" applyBorder="1" applyAlignment="1">
      <alignment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164" fontId="16" fillId="16" borderId="16" xfId="0" applyNumberFormat="1" applyFont="1" applyFill="1" applyBorder="1" applyAlignment="1">
      <alignment horizontal="center" vertical="center" wrapText="1"/>
    </xf>
    <xf numFmtId="0" fontId="15" fillId="16" borderId="16" xfId="0" applyFont="1" applyFill="1" applyBorder="1" applyAlignment="1">
      <alignment horizontal="center" vertical="center" wrapText="1"/>
    </xf>
    <xf numFmtId="0" fontId="17" fillId="16" borderId="16" xfId="0" applyFont="1" applyFill="1" applyBorder="1" applyAlignment="1">
      <alignment horizontal="center" vertical="center" wrapText="1"/>
    </xf>
    <xf numFmtId="49" fontId="15" fillId="16" borderId="17" xfId="0" applyNumberFormat="1" applyFont="1" applyFill="1" applyBorder="1" applyAlignment="1">
      <alignment horizontal="center" vertical="center" wrapText="1"/>
    </xf>
    <xf numFmtId="20" fontId="15" fillId="16" borderId="17" xfId="0" applyNumberFormat="1" applyFont="1" applyFill="1" applyBorder="1" applyAlignment="1">
      <alignment horizontal="center" vertical="center" wrapText="1"/>
    </xf>
    <xf numFmtId="0" fontId="15" fillId="17" borderId="37" xfId="0" applyFont="1" applyFill="1" applyBorder="1" applyAlignment="1">
      <alignment horizontal="center" vertical="center" wrapText="1"/>
    </xf>
    <xf numFmtId="0" fontId="15" fillId="17" borderId="20" xfId="0" applyFont="1" applyFill="1" applyBorder="1" applyAlignment="1">
      <alignment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164" fontId="16" fillId="17" borderId="20" xfId="0" applyNumberFormat="1" applyFont="1" applyFill="1" applyBorder="1" applyAlignment="1">
      <alignment horizontal="center" vertical="center" wrapText="1"/>
    </xf>
    <xf numFmtId="0" fontId="15" fillId="17" borderId="20" xfId="0" applyFont="1" applyFill="1" applyBorder="1" applyAlignment="1">
      <alignment horizontal="center" vertical="center" wrapText="1"/>
    </xf>
    <xf numFmtId="49" fontId="15" fillId="17" borderId="20" xfId="0" applyNumberFormat="1" applyFont="1" applyFill="1" applyBorder="1" applyAlignment="1">
      <alignment horizontal="left" vertical="center" wrapText="1"/>
    </xf>
    <xf numFmtId="0" fontId="17" fillId="17" borderId="20" xfId="0" applyFont="1" applyFill="1" applyBorder="1" applyAlignment="1">
      <alignment horizontal="center" vertical="center" wrapText="1"/>
    </xf>
    <xf numFmtId="49" fontId="15" fillId="17" borderId="21" xfId="0" applyNumberFormat="1" applyFont="1" applyFill="1" applyBorder="1" applyAlignment="1">
      <alignment horizontal="center" vertical="center" wrapText="1"/>
    </xf>
    <xf numFmtId="20" fontId="15" fillId="17" borderId="21" xfId="0" applyNumberFormat="1" applyFont="1" applyFill="1" applyBorder="1" applyAlignment="1">
      <alignment horizontal="center" vertical="center" wrapText="1"/>
    </xf>
    <xf numFmtId="0" fontId="15" fillId="17" borderId="40" xfId="0" applyFont="1" applyFill="1" applyBorder="1" applyAlignment="1">
      <alignment horizontal="center" vertical="center" wrapText="1"/>
    </xf>
    <xf numFmtId="0" fontId="15" fillId="17" borderId="11" xfId="0" applyFont="1" applyFill="1" applyBorder="1" applyAlignment="1">
      <alignment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164" fontId="16" fillId="17" borderId="11" xfId="0" applyNumberFormat="1" applyFont="1" applyFill="1" applyBorder="1" applyAlignment="1">
      <alignment horizontal="center" vertical="center" wrapText="1"/>
    </xf>
    <xf numFmtId="0" fontId="15" fillId="17" borderId="11" xfId="0" applyFont="1" applyFill="1" applyBorder="1" applyAlignment="1">
      <alignment horizontal="center" vertical="center" wrapText="1"/>
    </xf>
    <xf numFmtId="49" fontId="15" fillId="17" borderId="11" xfId="0" applyNumberFormat="1" applyFont="1" applyFill="1" applyBorder="1" applyAlignment="1">
      <alignment horizontal="left" vertical="center" wrapText="1"/>
    </xf>
    <xf numFmtId="0" fontId="17" fillId="17" borderId="11" xfId="0" applyFont="1" applyFill="1" applyBorder="1" applyAlignment="1">
      <alignment horizontal="center" vertical="center" wrapText="1"/>
    </xf>
    <xf numFmtId="49" fontId="15" fillId="17" borderId="41" xfId="0" applyNumberFormat="1" applyFont="1" applyFill="1" applyBorder="1" applyAlignment="1">
      <alignment horizontal="center" vertical="center" wrapText="1"/>
    </xf>
    <xf numFmtId="20" fontId="15" fillId="17" borderId="41" xfId="0" applyNumberFormat="1" applyFont="1" applyFill="1" applyBorder="1" applyAlignment="1">
      <alignment horizontal="center" vertical="center" wrapText="1"/>
    </xf>
    <xf numFmtId="49" fontId="15" fillId="16" borderId="20" xfId="0" applyNumberFormat="1" applyFont="1" applyFill="1" applyBorder="1" applyAlignment="1">
      <alignment horizontal="left" vertical="center" wrapText="1"/>
    </xf>
    <xf numFmtId="49" fontId="15" fillId="16" borderId="11" xfId="0" applyNumberFormat="1" applyFont="1" applyFill="1" applyBorder="1" applyAlignment="1">
      <alignment horizontal="left" vertical="center" wrapText="1"/>
    </xf>
    <xf numFmtId="0" fontId="15" fillId="17" borderId="38" xfId="0" applyFont="1" applyFill="1" applyBorder="1" applyAlignment="1">
      <alignment horizontal="center" vertical="center" wrapText="1"/>
    </xf>
    <xf numFmtId="0" fontId="15" fillId="17" borderId="39" xfId="0" applyFont="1" applyFill="1" applyBorder="1" applyAlignment="1">
      <alignment horizontal="center" vertical="center" wrapText="1"/>
    </xf>
    <xf numFmtId="0" fontId="15" fillId="17" borderId="10" xfId="0" applyFont="1" applyFill="1" applyBorder="1" applyAlignment="1">
      <alignment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164" fontId="16" fillId="17" borderId="10" xfId="0" applyNumberFormat="1" applyFont="1" applyFill="1" applyBorder="1" applyAlignment="1">
      <alignment horizontal="center" vertical="center" wrapText="1"/>
    </xf>
    <xf numFmtId="0" fontId="15" fillId="17" borderId="10" xfId="0" applyFont="1" applyFill="1" applyBorder="1" applyAlignment="1">
      <alignment horizontal="center" vertical="center" wrapText="1"/>
    </xf>
    <xf numFmtId="49" fontId="15" fillId="17" borderId="10" xfId="0" applyNumberFormat="1" applyFont="1" applyFill="1" applyBorder="1" applyAlignment="1">
      <alignment horizontal="left" vertical="center" wrapText="1"/>
    </xf>
    <xf numFmtId="0" fontId="17" fillId="17" borderId="10" xfId="0" applyFont="1" applyFill="1" applyBorder="1" applyAlignment="1">
      <alignment horizontal="center" vertical="center" wrapText="1"/>
    </xf>
    <xf numFmtId="49" fontId="15" fillId="17" borderId="27" xfId="0" applyNumberFormat="1" applyFont="1" applyFill="1" applyBorder="1" applyAlignment="1">
      <alignment horizontal="center" vertical="center" wrapText="1"/>
    </xf>
    <xf numFmtId="20" fontId="15" fillId="17" borderId="27" xfId="0" applyNumberFormat="1" applyFont="1" applyFill="1" applyBorder="1" applyAlignment="1">
      <alignment horizontal="center" vertical="center" wrapText="1"/>
    </xf>
    <xf numFmtId="49" fontId="15" fillId="16" borderId="16" xfId="0" applyNumberFormat="1" applyFont="1" applyFill="1" applyBorder="1" applyAlignment="1">
      <alignment horizontal="left" vertical="center" wrapText="1"/>
    </xf>
    <xf numFmtId="49" fontId="15" fillId="16" borderId="24" xfId="0" applyNumberFormat="1" applyFont="1" applyFill="1" applyBorder="1" applyAlignment="1">
      <alignment horizontal="left" vertical="center" wrapText="1"/>
    </xf>
    <xf numFmtId="0" fontId="15" fillId="17" borderId="34" xfId="0" applyFont="1" applyFill="1" applyBorder="1" applyAlignment="1">
      <alignment horizontal="center" vertical="center" wrapText="1"/>
    </xf>
    <xf numFmtId="0" fontId="15" fillId="17" borderId="16" xfId="0" applyFont="1" applyFill="1" applyBorder="1" applyAlignment="1">
      <alignment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164" fontId="16" fillId="17" borderId="16" xfId="0" applyNumberFormat="1" applyFont="1" applyFill="1" applyBorder="1" applyAlignment="1">
      <alignment horizontal="center" vertical="center" wrapText="1"/>
    </xf>
    <xf numFmtId="0" fontId="15" fillId="17" borderId="16" xfId="0" applyFont="1" applyFill="1" applyBorder="1" applyAlignment="1">
      <alignment horizontal="center" vertical="center" wrapText="1"/>
    </xf>
    <xf numFmtId="49" fontId="15" fillId="17" borderId="16" xfId="0" applyNumberFormat="1" applyFont="1" applyFill="1" applyBorder="1" applyAlignment="1">
      <alignment horizontal="left" vertical="center" wrapText="1"/>
    </xf>
    <xf numFmtId="0" fontId="17" fillId="17" borderId="16" xfId="0" applyFont="1" applyFill="1" applyBorder="1" applyAlignment="1">
      <alignment horizontal="center" vertical="center" wrapText="1"/>
    </xf>
    <xf numFmtId="49" fontId="15" fillId="17" borderId="17" xfId="0" applyNumberFormat="1" applyFont="1" applyFill="1" applyBorder="1" applyAlignment="1">
      <alignment horizontal="center" vertical="center" wrapText="1"/>
    </xf>
    <xf numFmtId="20" fontId="15" fillId="17" borderId="17" xfId="0" applyNumberFormat="1" applyFont="1" applyFill="1" applyBorder="1" applyAlignment="1">
      <alignment horizontal="center" vertical="center" wrapText="1"/>
    </xf>
    <xf numFmtId="0" fontId="15" fillId="16" borderId="38" xfId="0" applyFont="1" applyFill="1" applyBorder="1" applyAlignment="1">
      <alignment horizontal="center" vertical="center" wrapText="1"/>
    </xf>
    <xf numFmtId="0" fontId="15" fillId="16" borderId="39" xfId="0" applyFont="1" applyFill="1" applyBorder="1" applyAlignment="1">
      <alignment horizontal="center" vertical="center" wrapText="1"/>
    </xf>
    <xf numFmtId="0" fontId="15" fillId="16" borderId="10" xfId="0" applyFont="1" applyFill="1" applyBorder="1" applyAlignment="1">
      <alignment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164" fontId="16" fillId="16" borderId="10" xfId="0" applyNumberFormat="1" applyFont="1" applyFill="1" applyBorder="1" applyAlignment="1">
      <alignment horizontal="center" vertical="center" wrapText="1"/>
    </xf>
    <xf numFmtId="0" fontId="15" fillId="16" borderId="10" xfId="0" applyFont="1" applyFill="1" applyBorder="1" applyAlignment="1">
      <alignment horizontal="center" vertical="center" wrapText="1"/>
    </xf>
    <xf numFmtId="49" fontId="15" fillId="16" borderId="10" xfId="0" applyNumberFormat="1" applyFont="1" applyFill="1" applyBorder="1" applyAlignment="1">
      <alignment horizontal="left" vertical="center" wrapText="1"/>
    </xf>
    <xf numFmtId="0" fontId="17" fillId="16" borderId="10" xfId="0" applyFont="1" applyFill="1" applyBorder="1" applyAlignment="1">
      <alignment horizontal="center" vertical="center" wrapText="1"/>
    </xf>
    <xf numFmtId="49" fontId="15" fillId="16" borderId="27" xfId="0" applyNumberFormat="1" applyFont="1" applyFill="1" applyBorder="1" applyAlignment="1">
      <alignment horizontal="center" vertical="center" wrapText="1"/>
    </xf>
    <xf numFmtId="20" fontId="15" fillId="16" borderId="27" xfId="0" applyNumberFormat="1" applyFont="1" applyFill="1" applyBorder="1" applyAlignment="1">
      <alignment horizontal="center" vertical="center" wrapText="1"/>
    </xf>
    <xf numFmtId="0" fontId="15" fillId="17" borderId="36" xfId="0" applyFont="1" applyFill="1" applyBorder="1" applyAlignment="1">
      <alignment horizontal="center" vertical="center" wrapText="1"/>
    </xf>
    <xf numFmtId="0" fontId="15" fillId="17" borderId="18" xfId="0" applyFont="1" applyFill="1" applyBorder="1" applyAlignment="1">
      <alignment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164" fontId="16" fillId="17" borderId="18" xfId="0" applyNumberFormat="1" applyFont="1" applyFill="1" applyBorder="1" applyAlignment="1">
      <alignment horizontal="center" vertical="center" wrapText="1"/>
    </xf>
    <xf numFmtId="0" fontId="15" fillId="17" borderId="18" xfId="0" applyFont="1" applyFill="1" applyBorder="1" applyAlignment="1">
      <alignment horizontal="center" vertical="center" wrapText="1"/>
    </xf>
    <xf numFmtId="0" fontId="17" fillId="17" borderId="18" xfId="0" applyFont="1" applyFill="1" applyBorder="1" applyAlignment="1">
      <alignment horizontal="center" vertical="center" wrapText="1"/>
    </xf>
    <xf numFmtId="49" fontId="15" fillId="17" borderId="19" xfId="0" applyNumberFormat="1" applyFont="1" applyFill="1" applyBorder="1" applyAlignment="1">
      <alignment horizontal="center" vertical="center" wrapText="1"/>
    </xf>
    <xf numFmtId="20" fontId="15" fillId="17" borderId="19" xfId="0" applyNumberFormat="1" applyFont="1" applyFill="1" applyBorder="1" applyAlignment="1">
      <alignment horizontal="center" vertical="center" wrapText="1"/>
    </xf>
    <xf numFmtId="0" fontId="15" fillId="17" borderId="50" xfId="0" applyFont="1" applyFill="1" applyBorder="1" applyAlignment="1">
      <alignment horizontal="center" vertical="center" wrapText="1"/>
    </xf>
    <xf numFmtId="0" fontId="15" fillId="17" borderId="24" xfId="0" applyFont="1" applyFill="1" applyBorder="1" applyAlignment="1">
      <alignment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164" fontId="16" fillId="17" borderId="24" xfId="0" applyNumberFormat="1" applyFont="1" applyFill="1" applyBorder="1" applyAlignment="1">
      <alignment horizontal="center" vertical="center" wrapText="1"/>
    </xf>
    <xf numFmtId="0" fontId="15" fillId="17" borderId="24" xfId="0" applyFont="1" applyFill="1" applyBorder="1" applyAlignment="1">
      <alignment horizontal="center" vertical="center" wrapText="1"/>
    </xf>
    <xf numFmtId="49" fontId="15" fillId="17" borderId="24" xfId="0" applyNumberFormat="1" applyFont="1" applyFill="1" applyBorder="1" applyAlignment="1">
      <alignment horizontal="left" vertical="center" wrapText="1"/>
    </xf>
    <xf numFmtId="0" fontId="17" fillId="17" borderId="24" xfId="0" applyFont="1" applyFill="1" applyBorder="1" applyAlignment="1">
      <alignment horizontal="center" vertical="center" wrapText="1"/>
    </xf>
    <xf numFmtId="49" fontId="15" fillId="17" borderId="25" xfId="0" applyNumberFormat="1" applyFont="1" applyFill="1" applyBorder="1" applyAlignment="1">
      <alignment horizontal="center" vertical="center" wrapText="1"/>
    </xf>
    <xf numFmtId="20" fontId="15" fillId="17" borderId="25" xfId="0" applyNumberFormat="1" applyFont="1" applyFill="1" applyBorder="1" applyAlignment="1">
      <alignment horizontal="center" vertical="center" wrapText="1"/>
    </xf>
    <xf numFmtId="164" fontId="20" fillId="17" borderId="10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6" fillId="16" borderId="16" xfId="0" applyNumberFormat="1" applyFont="1" applyFill="1" applyBorder="1" applyAlignment="1">
      <alignment horizontal="center" vertical="center" wrapText="1"/>
    </xf>
    <xf numFmtId="2" fontId="16" fillId="17" borderId="16" xfId="0" applyNumberFormat="1" applyFont="1" applyFill="1" applyBorder="1" applyAlignment="1">
      <alignment horizontal="center" vertical="center" wrapText="1"/>
    </xf>
    <xf numFmtId="0" fontId="15" fillId="16" borderId="48" xfId="0" applyFont="1" applyFill="1" applyBorder="1" applyAlignment="1">
      <alignment horizontal="center" vertical="center" wrapText="1"/>
    </xf>
    <xf numFmtId="0" fontId="15" fillId="16" borderId="1" xfId="0" applyFont="1" applyFill="1" applyBorder="1" applyAlignment="1">
      <alignment horizontal="center" vertical="center" wrapText="1"/>
    </xf>
    <xf numFmtId="0" fontId="15" fillId="16" borderId="1" xfId="0" applyFont="1" applyFill="1" applyBorder="1" applyAlignment="1">
      <alignment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164" fontId="16" fillId="16" borderId="1" xfId="0" applyNumberFormat="1" applyFont="1" applyFill="1" applyBorder="1" applyAlignment="1">
      <alignment horizontal="center" vertical="center" wrapText="1"/>
    </xf>
    <xf numFmtId="0" fontId="17" fillId="16" borderId="1" xfId="0" applyFont="1" applyFill="1" applyBorder="1" applyAlignment="1">
      <alignment horizontal="center" vertical="center" wrapText="1"/>
    </xf>
    <xf numFmtId="0" fontId="15" fillId="16" borderId="32" xfId="0" applyFont="1" applyFill="1" applyBorder="1" applyAlignment="1">
      <alignment horizontal="center" vertical="center" wrapText="1"/>
    </xf>
    <xf numFmtId="49" fontId="15" fillId="16" borderId="22" xfId="0" applyNumberFormat="1" applyFont="1" applyFill="1" applyBorder="1" applyAlignment="1">
      <alignment horizontal="center" vertical="center" wrapText="1"/>
    </xf>
    <xf numFmtId="0" fontId="15" fillId="16" borderId="15" xfId="0" applyFont="1" applyFill="1" applyBorder="1" applyAlignment="1">
      <alignment horizontal="center" vertical="center" wrapText="1"/>
    </xf>
    <xf numFmtId="20" fontId="15" fillId="16" borderId="22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2" fontId="16" fillId="16" borderId="11" xfId="0" applyNumberFormat="1" applyFont="1" applyFill="1" applyBorder="1" applyAlignment="1">
      <alignment horizontal="center" vertical="center" wrapText="1"/>
    </xf>
    <xf numFmtId="0" fontId="15" fillId="17" borderId="43" xfId="0" applyFont="1" applyFill="1" applyBorder="1" applyAlignment="1">
      <alignment horizontal="center" vertical="center" wrapText="1"/>
    </xf>
    <xf numFmtId="0" fontId="15" fillId="17" borderId="1" xfId="0" applyFont="1" applyFill="1" applyBorder="1" applyAlignment="1">
      <alignment horizontal="center" vertical="center" wrapText="1"/>
    </xf>
    <xf numFmtId="0" fontId="15" fillId="17" borderId="1" xfId="0" applyFont="1" applyFill="1" applyBorder="1" applyAlignment="1">
      <alignment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164" fontId="16" fillId="17" borderId="1" xfId="0" applyNumberFormat="1" applyFont="1" applyFill="1" applyBorder="1" applyAlignment="1">
      <alignment horizontal="center" vertical="center" wrapText="1"/>
    </xf>
    <xf numFmtId="49" fontId="15" fillId="17" borderId="1" xfId="0" applyNumberFormat="1" applyFont="1" applyFill="1" applyBorder="1" applyAlignment="1">
      <alignment horizontal="left" vertical="center" wrapText="1"/>
    </xf>
    <xf numFmtId="0" fontId="17" fillId="17" borderId="1" xfId="0" applyFont="1" applyFill="1" applyBorder="1" applyAlignment="1">
      <alignment horizontal="center" vertical="center" wrapText="1"/>
    </xf>
    <xf numFmtId="0" fontId="15" fillId="16" borderId="36" xfId="0" applyFont="1" applyFill="1" applyBorder="1" applyAlignment="1">
      <alignment horizontal="center" vertical="center" wrapText="1"/>
    </xf>
    <xf numFmtId="0" fontId="15" fillId="16" borderId="18" xfId="0" applyFont="1" applyFill="1" applyBorder="1" applyAlignment="1">
      <alignment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164" fontId="16" fillId="16" borderId="18" xfId="0" applyNumberFormat="1" applyFont="1" applyFill="1" applyBorder="1" applyAlignment="1">
      <alignment horizontal="center" vertical="center" wrapText="1"/>
    </xf>
    <xf numFmtId="0" fontId="15" fillId="16" borderId="18" xfId="0" applyFont="1" applyFill="1" applyBorder="1" applyAlignment="1">
      <alignment horizontal="center" vertical="center" wrapText="1"/>
    </xf>
    <xf numFmtId="49" fontId="15" fillId="16" borderId="18" xfId="0" applyNumberFormat="1" applyFont="1" applyFill="1" applyBorder="1" applyAlignment="1">
      <alignment horizontal="left" vertical="center" wrapText="1"/>
    </xf>
    <xf numFmtId="0" fontId="17" fillId="16" borderId="18" xfId="0" applyFont="1" applyFill="1" applyBorder="1" applyAlignment="1">
      <alignment horizontal="center" vertical="center" wrapText="1"/>
    </xf>
    <xf numFmtId="49" fontId="15" fillId="16" borderId="19" xfId="0" applyNumberFormat="1" applyFont="1" applyFill="1" applyBorder="1" applyAlignment="1">
      <alignment horizontal="center" vertical="center" wrapText="1"/>
    </xf>
    <xf numFmtId="20" fontId="15" fillId="16" borderId="19" xfId="0" applyNumberFormat="1" applyFont="1" applyFill="1" applyBorder="1" applyAlignment="1">
      <alignment horizontal="center" vertical="center" wrapText="1"/>
    </xf>
    <xf numFmtId="0" fontId="15" fillId="17" borderId="35" xfId="0" applyFont="1" applyFill="1" applyBorder="1" applyAlignment="1">
      <alignment horizontal="center" vertical="center" wrapText="1"/>
    </xf>
    <xf numFmtId="49" fontId="15" fillId="17" borderId="22" xfId="0" applyNumberFormat="1" applyFont="1" applyFill="1" applyBorder="1" applyAlignment="1">
      <alignment horizontal="center" vertical="center" wrapText="1"/>
    </xf>
    <xf numFmtId="20" fontId="15" fillId="17" borderId="22" xfId="0" applyNumberFormat="1" applyFont="1" applyFill="1" applyBorder="1" applyAlignment="1">
      <alignment horizontal="center" vertical="center" wrapText="1"/>
    </xf>
    <xf numFmtId="49" fontId="15" fillId="17" borderId="18" xfId="0" applyNumberFormat="1" applyFont="1" applyFill="1" applyBorder="1" applyAlignment="1">
      <alignment horizontal="left" vertical="center" wrapText="1"/>
    </xf>
    <xf numFmtId="0" fontId="15" fillId="17" borderId="68" xfId="0" applyFont="1" applyFill="1" applyBorder="1" applyAlignment="1">
      <alignment horizontal="center" vertical="center" wrapText="1"/>
    </xf>
    <xf numFmtId="0" fontId="15" fillId="17" borderId="69" xfId="0" applyFont="1" applyFill="1" applyBorder="1" applyAlignment="1">
      <alignment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164" fontId="16" fillId="17" borderId="69" xfId="0" applyNumberFormat="1" applyFont="1" applyFill="1" applyBorder="1" applyAlignment="1">
      <alignment horizontal="center" vertical="center" wrapText="1"/>
    </xf>
    <xf numFmtId="0" fontId="15" fillId="17" borderId="69" xfId="0" applyFont="1" applyFill="1" applyBorder="1" applyAlignment="1">
      <alignment horizontal="center" vertical="center" wrapText="1"/>
    </xf>
    <xf numFmtId="49" fontId="15" fillId="17" borderId="69" xfId="0" applyNumberFormat="1" applyFont="1" applyFill="1" applyBorder="1" applyAlignment="1">
      <alignment horizontal="left" vertical="center" wrapText="1"/>
    </xf>
    <xf numFmtId="0" fontId="17" fillId="17" borderId="69" xfId="0" applyFont="1" applyFill="1" applyBorder="1" applyAlignment="1">
      <alignment horizontal="center" vertical="center" wrapText="1"/>
    </xf>
    <xf numFmtId="49" fontId="15" fillId="17" borderId="70" xfId="0" applyNumberFormat="1" applyFont="1" applyFill="1" applyBorder="1" applyAlignment="1">
      <alignment horizontal="center" vertical="center" wrapText="1"/>
    </xf>
    <xf numFmtId="20" fontId="15" fillId="17" borderId="70" xfId="0" applyNumberFormat="1" applyFont="1" applyFill="1" applyBorder="1" applyAlignment="1">
      <alignment horizontal="center" vertical="center" wrapText="1"/>
    </xf>
    <xf numFmtId="0" fontId="15" fillId="16" borderId="68" xfId="0" applyFont="1" applyFill="1" applyBorder="1" applyAlignment="1">
      <alignment horizontal="center" vertical="center" wrapText="1"/>
    </xf>
    <xf numFmtId="0" fontId="15" fillId="16" borderId="69" xfId="0" applyFont="1" applyFill="1" applyBorder="1" applyAlignment="1">
      <alignment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164" fontId="16" fillId="16" borderId="69" xfId="0" applyNumberFormat="1" applyFont="1" applyFill="1" applyBorder="1" applyAlignment="1">
      <alignment horizontal="center" vertical="center" wrapText="1"/>
    </xf>
    <xf numFmtId="0" fontId="15" fillId="16" borderId="69" xfId="0" applyFont="1" applyFill="1" applyBorder="1" applyAlignment="1">
      <alignment horizontal="center" vertical="center" wrapText="1"/>
    </xf>
    <xf numFmtId="49" fontId="15" fillId="16" borderId="69" xfId="0" applyNumberFormat="1" applyFont="1" applyFill="1" applyBorder="1" applyAlignment="1">
      <alignment horizontal="left" vertical="center" wrapText="1"/>
    </xf>
    <xf numFmtId="0" fontId="17" fillId="16" borderId="69" xfId="0" applyFont="1" applyFill="1" applyBorder="1" applyAlignment="1">
      <alignment horizontal="center" vertical="center" wrapText="1"/>
    </xf>
    <xf numFmtId="49" fontId="15" fillId="16" borderId="70" xfId="0" applyNumberFormat="1" applyFont="1" applyFill="1" applyBorder="1" applyAlignment="1">
      <alignment horizontal="center" vertical="center" wrapText="1"/>
    </xf>
    <xf numFmtId="20" fontId="15" fillId="16" borderId="70" xfId="0" applyNumberFormat="1" applyFont="1" applyFill="1" applyBorder="1" applyAlignment="1">
      <alignment horizontal="center" vertical="center" wrapText="1"/>
    </xf>
    <xf numFmtId="0" fontId="15" fillId="17" borderId="26" xfId="0" applyFont="1" applyFill="1" applyBorder="1" applyAlignment="1">
      <alignment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6" fillId="17" borderId="69" xfId="0" applyNumberFormat="1" applyFont="1" applyFill="1" applyBorder="1" applyAlignment="1">
      <alignment horizontal="center" vertical="center" wrapText="1"/>
    </xf>
    <xf numFmtId="2" fontId="16" fillId="16" borderId="69" xfId="0" applyNumberFormat="1" applyFont="1" applyFill="1" applyBorder="1" applyAlignment="1">
      <alignment horizontal="center" vertical="center" wrapText="1"/>
    </xf>
    <xf numFmtId="0" fontId="15" fillId="17" borderId="25" xfId="0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165" fontId="16" fillId="16" borderId="69" xfId="0" applyNumberFormat="1" applyFont="1" applyFill="1" applyBorder="1" applyAlignment="1">
      <alignment horizontal="center" vertical="center" wrapText="1"/>
    </xf>
    <xf numFmtId="0" fontId="15" fillId="40" borderId="9" xfId="0" applyFont="1" applyFill="1" applyBorder="1" applyAlignment="1">
      <alignment horizontal="center" vertical="center" wrapText="1"/>
    </xf>
    <xf numFmtId="0" fontId="15" fillId="40" borderId="26" xfId="0" applyFont="1" applyFill="1" applyBorder="1" applyAlignment="1">
      <alignment horizontal="center" vertical="center" wrapText="1"/>
    </xf>
    <xf numFmtId="0" fontId="15" fillId="40" borderId="13" xfId="0" applyFont="1" applyFill="1" applyBorder="1" applyAlignment="1">
      <alignment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164" fontId="16" fillId="40" borderId="13" xfId="0" applyNumberFormat="1" applyFont="1" applyFill="1" applyBorder="1" applyAlignment="1">
      <alignment horizontal="center" vertical="center" wrapText="1"/>
    </xf>
    <xf numFmtId="0" fontId="15" fillId="40" borderId="13" xfId="0" applyFont="1" applyFill="1" applyBorder="1" applyAlignment="1">
      <alignment horizontal="center" vertical="center" wrapText="1"/>
    </xf>
    <xf numFmtId="49" fontId="15" fillId="40" borderId="13" xfId="0" applyNumberFormat="1" applyFont="1" applyFill="1" applyBorder="1" applyAlignment="1">
      <alignment horizontal="left" vertical="center" wrapText="1"/>
    </xf>
    <xf numFmtId="0" fontId="17" fillId="40" borderId="13" xfId="0" applyFont="1" applyFill="1" applyBorder="1" applyAlignment="1">
      <alignment horizontal="center" vertical="center" wrapText="1"/>
    </xf>
    <xf numFmtId="49" fontId="15" fillId="40" borderId="14" xfId="0" applyNumberFormat="1" applyFont="1" applyFill="1" applyBorder="1" applyAlignment="1">
      <alignment horizontal="center" vertical="center" wrapText="1"/>
    </xf>
    <xf numFmtId="20" fontId="15" fillId="40" borderId="14" xfId="0" applyNumberFormat="1" applyFont="1" applyFill="1" applyBorder="1" applyAlignment="1">
      <alignment horizontal="center" vertical="center" wrapText="1"/>
    </xf>
    <xf numFmtId="0" fontId="15" fillId="16" borderId="49" xfId="0" applyFont="1" applyFill="1" applyBorder="1" applyAlignment="1">
      <alignment horizontal="center" vertical="center" wrapText="1"/>
    </xf>
    <xf numFmtId="49" fontId="15" fillId="16" borderId="69" xfId="0" applyNumberFormat="1" applyFont="1" applyFill="1" applyBorder="1" applyAlignment="1">
      <alignment horizontal="center" vertical="center" wrapText="1"/>
    </xf>
    <xf numFmtId="49" fontId="15" fillId="16" borderId="13" xfId="0" applyNumberFormat="1" applyFont="1" applyFill="1" applyBorder="1" applyAlignment="1">
      <alignment horizontal="center" vertical="center" wrapText="1"/>
    </xf>
    <xf numFmtId="0" fontId="15" fillId="16" borderId="67" xfId="0" applyFont="1" applyFill="1" applyBorder="1" applyAlignment="1">
      <alignment horizontal="center" vertical="center" wrapText="1"/>
    </xf>
    <xf numFmtId="0" fontId="15" fillId="0" borderId="16" xfId="0" applyFont="1" applyBorder="1" applyAlignment="1">
      <alignment horizontal="center" vertical="center" wrapText="1"/>
    </xf>
    <xf numFmtId="49" fontId="15" fillId="17" borderId="17" xfId="0" applyNumberFormat="1" applyFont="1" applyFill="1" applyBorder="1" applyAlignment="1">
      <alignment horizontal="left" vertical="center" wrapText="1"/>
    </xf>
    <xf numFmtId="0" fontId="15" fillId="41" borderId="16" xfId="0" applyFont="1" applyFill="1" applyBorder="1" applyAlignment="1">
      <alignment horizontal="center" vertical="center" wrapText="1"/>
    </xf>
    <xf numFmtId="0" fontId="15" fillId="41" borderId="16" xfId="0" applyFont="1" applyFill="1" applyBorder="1" applyAlignment="1">
      <alignment vertical="center" wrapText="1"/>
    </xf>
    <xf numFmtId="164" fontId="15" fillId="41" borderId="16" xfId="0" applyNumberFormat="1" applyFont="1" applyFill="1" applyBorder="1" applyAlignment="1">
      <alignment horizontal="center" vertical="center" wrapText="1"/>
    </xf>
    <xf numFmtId="164" fontId="16" fillId="41" borderId="16" xfId="0" applyNumberFormat="1" applyFont="1" applyFill="1" applyBorder="1" applyAlignment="1">
      <alignment horizontal="center" vertical="center" wrapText="1"/>
    </xf>
    <xf numFmtId="49" fontId="15" fillId="41" borderId="16" xfId="0" applyNumberFormat="1" applyFont="1" applyFill="1" applyBorder="1" applyAlignment="1">
      <alignment horizontal="left" vertical="center" wrapText="1"/>
    </xf>
    <xf numFmtId="0" fontId="17" fillId="41" borderId="16" xfId="0" applyFont="1" applyFill="1" applyBorder="1" applyAlignment="1">
      <alignment horizontal="center" vertical="center" wrapText="1"/>
    </xf>
    <xf numFmtId="49" fontId="15" fillId="41" borderId="16" xfId="0" applyNumberFormat="1" applyFont="1" applyFill="1" applyBorder="1" applyAlignment="1">
      <alignment horizontal="center" vertical="center" wrapText="1"/>
    </xf>
    <xf numFmtId="17" fontId="15" fillId="41" borderId="16" xfId="0" applyNumberFormat="1" applyFont="1" applyFill="1" applyBorder="1" applyAlignment="1">
      <alignment horizontal="center" vertical="center" wrapText="1"/>
    </xf>
    <xf numFmtId="49" fontId="15" fillId="16" borderId="16" xfId="0" applyNumberFormat="1" applyFont="1" applyFill="1" applyBorder="1" applyAlignment="1">
      <alignment horizontal="center" vertical="center" wrapText="1"/>
    </xf>
    <xf numFmtId="0" fontId="15" fillId="42" borderId="16" xfId="0" applyFont="1" applyFill="1" applyBorder="1" applyAlignment="1">
      <alignment horizontal="center" vertical="center" wrapText="1"/>
    </xf>
    <xf numFmtId="0" fontId="15" fillId="42" borderId="16" xfId="0" applyFont="1" applyFill="1" applyBorder="1" applyAlignment="1">
      <alignment vertical="center" wrapText="1"/>
    </xf>
    <xf numFmtId="164" fontId="15" fillId="42" borderId="16" xfId="0" applyNumberFormat="1" applyFont="1" applyFill="1" applyBorder="1" applyAlignment="1">
      <alignment horizontal="center" vertical="center" wrapText="1"/>
    </xf>
    <xf numFmtId="164" fontId="16" fillId="42" borderId="16" xfId="0" applyNumberFormat="1" applyFont="1" applyFill="1" applyBorder="1" applyAlignment="1">
      <alignment horizontal="center" vertical="center" wrapText="1"/>
    </xf>
    <xf numFmtId="49" fontId="15" fillId="42" borderId="16" xfId="0" applyNumberFormat="1" applyFont="1" applyFill="1" applyBorder="1" applyAlignment="1">
      <alignment horizontal="left" vertical="center" wrapText="1"/>
    </xf>
    <xf numFmtId="0" fontId="17" fillId="42" borderId="16" xfId="0" applyFont="1" applyFill="1" applyBorder="1" applyAlignment="1">
      <alignment horizontal="center" vertical="center" wrapText="1"/>
    </xf>
    <xf numFmtId="49" fontId="15" fillId="42" borderId="16" xfId="0" applyNumberFormat="1" applyFont="1" applyFill="1" applyBorder="1" applyAlignment="1">
      <alignment horizontal="center" vertical="center" wrapText="1"/>
    </xf>
    <xf numFmtId="17" fontId="15" fillId="0" borderId="16" xfId="0" applyNumberFormat="1" applyFont="1" applyBorder="1" applyAlignment="1">
      <alignment horizontal="center" vertical="center" wrapText="1"/>
    </xf>
    <xf numFmtId="0" fontId="15" fillId="43" borderId="16" xfId="0" applyFont="1" applyFill="1" applyBorder="1" applyAlignment="1">
      <alignment horizontal="center" vertical="center" wrapText="1"/>
    </xf>
    <xf numFmtId="0" fontId="40" fillId="43" borderId="16" xfId="0" applyFont="1" applyFill="1" applyBorder="1" applyAlignment="1">
      <alignment horizontal="center" vertical="center" wrapText="1"/>
    </xf>
    <xf numFmtId="0" fontId="41" fillId="0" borderId="16" xfId="0" applyFont="1" applyBorder="1" applyAlignment="1">
      <alignment horizontal="center" vertical="center" wrapText="1"/>
    </xf>
    <xf numFmtId="0" fontId="41" fillId="0" borderId="16" xfId="0" applyFont="1" applyBorder="1" applyAlignment="1">
      <alignment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left" vertical="center" wrapText="1"/>
    </xf>
    <xf numFmtId="0" fontId="42" fillId="0" borderId="16" xfId="0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 wrapText="1"/>
    </xf>
    <xf numFmtId="0" fontId="40" fillId="0" borderId="16" xfId="0" applyFont="1" applyBorder="1" applyAlignment="1">
      <alignment vertical="center" wrapText="1"/>
    </xf>
    <xf numFmtId="164" fontId="40" fillId="0" borderId="16" xfId="0" applyNumberFormat="1" applyFont="1" applyBorder="1" applyAlignment="1">
      <alignment horizontal="center" vertical="center" wrapText="1"/>
    </xf>
    <xf numFmtId="164" fontId="43" fillId="0" borderId="16" xfId="0" applyNumberFormat="1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left" vertical="center" wrapText="1"/>
    </xf>
    <xf numFmtId="0" fontId="43" fillId="0" borderId="16" xfId="0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center" vertical="center" wrapText="1"/>
    </xf>
    <xf numFmtId="0" fontId="15" fillId="41" borderId="24" xfId="0" applyFont="1" applyFill="1" applyBorder="1" applyAlignment="1">
      <alignment horizontal="center" vertical="center" wrapText="1"/>
    </xf>
    <xf numFmtId="0" fontId="15" fillId="41" borderId="24" xfId="0" applyFont="1" applyFill="1" applyBorder="1" applyAlignment="1">
      <alignment vertical="center" wrapText="1"/>
    </xf>
    <xf numFmtId="164" fontId="15" fillId="41" borderId="24" xfId="0" applyNumberFormat="1" applyFont="1" applyFill="1" applyBorder="1" applyAlignment="1">
      <alignment horizontal="center" vertical="center" wrapText="1"/>
    </xf>
    <xf numFmtId="164" fontId="16" fillId="41" borderId="24" xfId="0" applyNumberFormat="1" applyFont="1" applyFill="1" applyBorder="1" applyAlignment="1">
      <alignment horizontal="center" vertical="center" wrapText="1"/>
    </xf>
    <xf numFmtId="49" fontId="15" fillId="41" borderId="24" xfId="0" applyNumberFormat="1" applyFont="1" applyFill="1" applyBorder="1" applyAlignment="1">
      <alignment horizontal="left" vertical="center" wrapText="1"/>
    </xf>
    <xf numFmtId="0" fontId="17" fillId="41" borderId="24" xfId="0" applyFont="1" applyFill="1" applyBorder="1" applyAlignment="1">
      <alignment horizontal="center" vertical="center" wrapText="1"/>
    </xf>
    <xf numFmtId="49" fontId="15" fillId="41" borderId="24" xfId="0" applyNumberFormat="1" applyFont="1" applyFill="1" applyBorder="1" applyAlignment="1">
      <alignment horizontal="center" vertical="center" wrapText="1"/>
    </xf>
    <xf numFmtId="0" fontId="15" fillId="41" borderId="9" xfId="0" applyFont="1" applyFill="1" applyBorder="1" applyAlignment="1">
      <alignment horizontal="center" vertical="center" wrapText="1"/>
    </xf>
    <xf numFmtId="0" fontId="15" fillId="41" borderId="26" xfId="0" applyFont="1" applyFill="1" applyBorder="1" applyAlignment="1">
      <alignment horizontal="center" vertical="center" wrapText="1"/>
    </xf>
    <xf numFmtId="0" fontId="15" fillId="41" borderId="13" xfId="0" applyFont="1" applyFill="1" applyBorder="1" applyAlignment="1">
      <alignment vertical="center" wrapText="1"/>
    </xf>
    <xf numFmtId="164" fontId="15" fillId="41" borderId="13" xfId="0" applyNumberFormat="1" applyFont="1" applyFill="1" applyBorder="1" applyAlignment="1">
      <alignment horizontal="center" vertical="center" wrapText="1"/>
    </xf>
    <xf numFmtId="164" fontId="16" fillId="41" borderId="13" xfId="0" applyNumberFormat="1" applyFont="1" applyFill="1" applyBorder="1" applyAlignment="1">
      <alignment horizontal="center" vertical="center" wrapText="1"/>
    </xf>
    <xf numFmtId="0" fontId="15" fillId="41" borderId="13" xfId="0" applyFont="1" applyFill="1" applyBorder="1" applyAlignment="1">
      <alignment horizontal="center" vertical="center" wrapText="1"/>
    </xf>
    <xf numFmtId="49" fontId="15" fillId="41" borderId="13" xfId="0" applyNumberFormat="1" applyFont="1" applyFill="1" applyBorder="1" applyAlignment="1">
      <alignment horizontal="left" vertical="center" wrapText="1"/>
    </xf>
    <xf numFmtId="0" fontId="17" fillId="41" borderId="13" xfId="0" applyFont="1" applyFill="1" applyBorder="1" applyAlignment="1">
      <alignment horizontal="center" vertical="center" wrapText="1"/>
    </xf>
    <xf numFmtId="49" fontId="15" fillId="41" borderId="14" xfId="0" applyNumberFormat="1" applyFont="1" applyFill="1" applyBorder="1" applyAlignment="1">
      <alignment horizontal="center" vertical="center" wrapText="1"/>
    </xf>
    <xf numFmtId="20" fontId="15" fillId="41" borderId="14" xfId="0" applyNumberFormat="1" applyFont="1" applyFill="1" applyBorder="1" applyAlignment="1">
      <alignment horizontal="center" vertical="center" wrapText="1"/>
    </xf>
    <xf numFmtId="0" fontId="15" fillId="41" borderId="37" xfId="0" applyFont="1" applyFill="1" applyBorder="1" applyAlignment="1">
      <alignment horizontal="center" vertical="center" wrapText="1"/>
    </xf>
    <xf numFmtId="0" fontId="15" fillId="41" borderId="20" xfId="0" applyFont="1" applyFill="1" applyBorder="1" applyAlignment="1">
      <alignment vertical="center" wrapText="1"/>
    </xf>
    <xf numFmtId="164" fontId="15" fillId="41" borderId="20" xfId="0" applyNumberFormat="1" applyFont="1" applyFill="1" applyBorder="1" applyAlignment="1">
      <alignment horizontal="center" vertical="center" wrapText="1"/>
    </xf>
    <xf numFmtId="164" fontId="16" fillId="41" borderId="20" xfId="0" applyNumberFormat="1" applyFont="1" applyFill="1" applyBorder="1" applyAlignment="1">
      <alignment horizontal="center" vertical="center" wrapText="1"/>
    </xf>
    <xf numFmtId="0" fontId="15" fillId="41" borderId="20" xfId="0" applyFont="1" applyFill="1" applyBorder="1" applyAlignment="1">
      <alignment horizontal="center" vertical="center" wrapText="1"/>
    </xf>
    <xf numFmtId="49" fontId="15" fillId="41" borderId="20" xfId="0" applyNumberFormat="1" applyFont="1" applyFill="1" applyBorder="1" applyAlignment="1">
      <alignment horizontal="left" vertical="center" wrapText="1"/>
    </xf>
    <xf numFmtId="0" fontId="17" fillId="41" borderId="20" xfId="0" applyFont="1" applyFill="1" applyBorder="1" applyAlignment="1">
      <alignment horizontal="center" vertical="center" wrapText="1"/>
    </xf>
    <xf numFmtId="49" fontId="15" fillId="41" borderId="21" xfId="0" applyNumberFormat="1" applyFont="1" applyFill="1" applyBorder="1" applyAlignment="1">
      <alignment horizontal="center" vertical="center" wrapText="1"/>
    </xf>
    <xf numFmtId="20" fontId="15" fillId="41" borderId="21" xfId="0" applyNumberFormat="1" applyFont="1" applyFill="1" applyBorder="1" applyAlignment="1">
      <alignment horizontal="center" vertical="center" wrapText="1"/>
    </xf>
    <xf numFmtId="0" fontId="15" fillId="41" borderId="34" xfId="0" applyFont="1" applyFill="1" applyBorder="1" applyAlignment="1">
      <alignment horizontal="center" vertical="center" wrapText="1"/>
    </xf>
    <xf numFmtId="49" fontId="15" fillId="41" borderId="17" xfId="0" applyNumberFormat="1" applyFont="1" applyFill="1" applyBorder="1" applyAlignment="1">
      <alignment horizontal="center" vertical="center" wrapText="1"/>
    </xf>
    <xf numFmtId="20" fontId="15" fillId="41" borderId="17" xfId="0" applyNumberFormat="1" applyFont="1" applyFill="1" applyBorder="1" applyAlignment="1">
      <alignment horizontal="center" vertical="center" wrapText="1"/>
    </xf>
    <xf numFmtId="0" fontId="15" fillId="41" borderId="68" xfId="0" applyFont="1" applyFill="1" applyBorder="1" applyAlignment="1">
      <alignment horizontal="center" vertical="center" wrapText="1"/>
    </xf>
    <xf numFmtId="0" fontId="15" fillId="41" borderId="69" xfId="0" applyFont="1" applyFill="1" applyBorder="1" applyAlignment="1">
      <alignment vertical="center" wrapText="1"/>
    </xf>
    <xf numFmtId="164" fontId="15" fillId="41" borderId="69" xfId="0" applyNumberFormat="1" applyFont="1" applyFill="1" applyBorder="1" applyAlignment="1">
      <alignment horizontal="center" vertical="center" wrapText="1"/>
    </xf>
    <xf numFmtId="164" fontId="16" fillId="41" borderId="69" xfId="0" applyNumberFormat="1" applyFont="1" applyFill="1" applyBorder="1" applyAlignment="1">
      <alignment horizontal="center" vertical="center" wrapText="1"/>
    </xf>
    <xf numFmtId="0" fontId="15" fillId="41" borderId="69" xfId="0" applyFont="1" applyFill="1" applyBorder="1" applyAlignment="1">
      <alignment horizontal="center" vertical="center" wrapText="1"/>
    </xf>
    <xf numFmtId="49" fontId="15" fillId="41" borderId="69" xfId="0" applyNumberFormat="1" applyFont="1" applyFill="1" applyBorder="1" applyAlignment="1">
      <alignment horizontal="left" vertical="center" wrapText="1"/>
    </xf>
    <xf numFmtId="0" fontId="17" fillId="41" borderId="69" xfId="0" applyFont="1" applyFill="1" applyBorder="1" applyAlignment="1">
      <alignment horizontal="center" vertical="center" wrapText="1"/>
    </xf>
    <xf numFmtId="49" fontId="15" fillId="41" borderId="70" xfId="0" applyNumberFormat="1" applyFont="1" applyFill="1" applyBorder="1" applyAlignment="1">
      <alignment horizontal="center" vertical="center" wrapText="1"/>
    </xf>
    <xf numFmtId="20" fontId="15" fillId="41" borderId="70" xfId="0" applyNumberFormat="1" applyFont="1" applyFill="1" applyBorder="1" applyAlignment="1">
      <alignment horizontal="center" vertical="center" wrapText="1"/>
    </xf>
    <xf numFmtId="0" fontId="15" fillId="17" borderId="67" xfId="0" applyFont="1" applyFill="1" applyBorder="1" applyAlignment="1">
      <alignment horizontal="center" vertical="center" wrapText="1"/>
    </xf>
    <xf numFmtId="0" fontId="15" fillId="40" borderId="37" xfId="0" applyFont="1" applyFill="1" applyBorder="1" applyAlignment="1">
      <alignment horizontal="center" vertical="center" wrapText="1"/>
    </xf>
    <xf numFmtId="0" fontId="15" fillId="40" borderId="20" xfId="0" applyFont="1" applyFill="1" applyBorder="1" applyAlignment="1">
      <alignment vertical="center" wrapText="1"/>
    </xf>
    <xf numFmtId="164" fontId="15" fillId="40" borderId="20" xfId="0" applyNumberFormat="1" applyFont="1" applyFill="1" applyBorder="1" applyAlignment="1">
      <alignment horizontal="center" vertical="center" wrapText="1"/>
    </xf>
    <xf numFmtId="164" fontId="16" fillId="40" borderId="20" xfId="0" applyNumberFormat="1" applyFont="1" applyFill="1" applyBorder="1" applyAlignment="1">
      <alignment horizontal="center" vertical="center" wrapText="1"/>
    </xf>
    <xf numFmtId="0" fontId="15" fillId="40" borderId="20" xfId="0" applyFont="1" applyFill="1" applyBorder="1" applyAlignment="1">
      <alignment horizontal="center" vertical="center" wrapText="1"/>
    </xf>
    <xf numFmtId="49" fontId="15" fillId="40" borderId="21" xfId="0" applyNumberFormat="1" applyFont="1" applyFill="1" applyBorder="1" applyAlignment="1">
      <alignment horizontal="center" vertical="center" wrapText="1"/>
    </xf>
    <xf numFmtId="20" fontId="15" fillId="40" borderId="21" xfId="0" applyNumberFormat="1" applyFont="1" applyFill="1" applyBorder="1" applyAlignment="1">
      <alignment horizontal="center" vertical="center" wrapText="1"/>
    </xf>
    <xf numFmtId="49" fontId="15" fillId="40" borderId="10" xfId="0" applyNumberFormat="1" applyFont="1" applyFill="1" applyBorder="1" applyAlignment="1">
      <alignment horizontal="left" vertical="center" wrapText="1"/>
    </xf>
    <xf numFmtId="0" fontId="44" fillId="0" borderId="0" xfId="0" applyFont="1" applyAlignment="1">
      <alignment vertical="center" wrapText="1"/>
    </xf>
    <xf numFmtId="0" fontId="15" fillId="17" borderId="32" xfId="0" applyFont="1" applyFill="1" applyBorder="1" applyAlignment="1">
      <alignment horizontal="center" vertical="center" wrapText="1"/>
    </xf>
    <xf numFmtId="0" fontId="15" fillId="17" borderId="47" xfId="0" applyFont="1" applyFill="1" applyBorder="1" applyAlignment="1">
      <alignment horizontal="center" vertical="center" wrapText="1"/>
    </xf>
    <xf numFmtId="0" fontId="15" fillId="17" borderId="17" xfId="0" applyFont="1" applyFill="1" applyBorder="1" applyAlignment="1">
      <alignment horizontal="center" vertical="center" wrapText="1"/>
    </xf>
    <xf numFmtId="0" fontId="15" fillId="17" borderId="23" xfId="0" applyFont="1" applyFill="1" applyBorder="1" applyAlignment="1">
      <alignment horizontal="center" vertical="center" wrapText="1"/>
    </xf>
    <xf numFmtId="0" fontId="15" fillId="16" borderId="71" xfId="0" applyFont="1" applyFill="1" applyBorder="1" applyAlignment="1">
      <alignment horizontal="center" vertical="center" wrapText="1"/>
    </xf>
    <xf numFmtId="0" fontId="15" fillId="16" borderId="71" xfId="0" applyFont="1" applyFill="1" applyBorder="1" applyAlignment="1">
      <alignment vertical="center" wrapText="1"/>
    </xf>
    <xf numFmtId="164" fontId="15" fillId="16" borderId="71" xfId="0" applyNumberFormat="1" applyFont="1" applyFill="1" applyBorder="1" applyAlignment="1">
      <alignment horizontal="center" vertical="center" wrapText="1"/>
    </xf>
    <xf numFmtId="164" fontId="16" fillId="16" borderId="71" xfId="0" applyNumberFormat="1" applyFont="1" applyFill="1" applyBorder="1" applyAlignment="1">
      <alignment horizontal="center" vertical="center" wrapText="1"/>
    </xf>
    <xf numFmtId="49" fontId="15" fillId="16" borderId="71" xfId="0" applyNumberFormat="1" applyFont="1" applyFill="1" applyBorder="1" applyAlignment="1">
      <alignment horizontal="left" vertical="center" wrapText="1"/>
    </xf>
    <xf numFmtId="0" fontId="17" fillId="16" borderId="71" xfId="0" applyFont="1" applyFill="1" applyBorder="1" applyAlignment="1">
      <alignment horizontal="center" vertical="center" wrapText="1"/>
    </xf>
    <xf numFmtId="0" fontId="15" fillId="16" borderId="77" xfId="0" applyFont="1" applyFill="1" applyBorder="1" applyAlignment="1">
      <alignment horizontal="center" vertical="center" wrapText="1"/>
    </xf>
    <xf numFmtId="20" fontId="15" fillId="16" borderId="78" xfId="0" applyNumberFormat="1" applyFont="1" applyFill="1" applyBorder="1" applyAlignment="1">
      <alignment horizontal="center" vertical="center" wrapText="1"/>
    </xf>
    <xf numFmtId="0" fontId="15" fillId="16" borderId="79" xfId="0" applyFont="1" applyFill="1" applyBorder="1" applyAlignment="1">
      <alignment horizontal="center" vertical="center" wrapText="1"/>
    </xf>
    <xf numFmtId="0" fontId="15" fillId="16" borderId="72" xfId="0" applyFont="1" applyFill="1" applyBorder="1" applyAlignment="1">
      <alignment vertical="center" wrapText="1"/>
    </xf>
    <xf numFmtId="164" fontId="15" fillId="16" borderId="72" xfId="0" applyNumberFormat="1" applyFont="1" applyFill="1" applyBorder="1" applyAlignment="1">
      <alignment horizontal="center" vertical="center" wrapText="1"/>
    </xf>
    <xf numFmtId="164" fontId="16" fillId="16" borderId="72" xfId="0" applyNumberFormat="1" applyFont="1" applyFill="1" applyBorder="1" applyAlignment="1">
      <alignment horizontal="center" vertical="center" wrapText="1"/>
    </xf>
    <xf numFmtId="0" fontId="15" fillId="16" borderId="72" xfId="0" applyFont="1" applyFill="1" applyBorder="1" applyAlignment="1">
      <alignment horizontal="center" vertical="center" wrapText="1"/>
    </xf>
    <xf numFmtId="49" fontId="15" fillId="16" borderId="72" xfId="0" applyNumberFormat="1" applyFont="1" applyFill="1" applyBorder="1" applyAlignment="1">
      <alignment horizontal="left" vertical="center" wrapText="1"/>
    </xf>
    <xf numFmtId="0" fontId="17" fillId="16" borderId="72" xfId="0" applyFont="1" applyFill="1" applyBorder="1" applyAlignment="1">
      <alignment horizontal="center" vertical="center" wrapText="1"/>
    </xf>
    <xf numFmtId="20" fontId="15" fillId="16" borderId="80" xfId="0" applyNumberFormat="1" applyFont="1" applyFill="1" applyBorder="1" applyAlignment="1">
      <alignment horizontal="center" vertical="center" wrapText="1"/>
    </xf>
    <xf numFmtId="49" fontId="15" fillId="16" borderId="78" xfId="0" applyNumberFormat="1" applyFont="1" applyFill="1" applyBorder="1" applyAlignment="1">
      <alignment horizontal="center" vertical="center" wrapText="1"/>
    </xf>
    <xf numFmtId="49" fontId="15" fillId="16" borderId="80" xfId="0" applyNumberFormat="1" applyFont="1" applyFill="1" applyBorder="1" applyAlignment="1">
      <alignment horizontal="center" vertical="center" wrapText="1"/>
    </xf>
    <xf numFmtId="0" fontId="15" fillId="17" borderId="16" xfId="0" applyFont="1" applyFill="1" applyBorder="1" applyAlignment="1">
      <alignment horizontal="left" vertical="center" wrapText="1"/>
    </xf>
    <xf numFmtId="0" fontId="17" fillId="17" borderId="71" xfId="0" applyFont="1" applyFill="1" applyBorder="1" applyAlignment="1">
      <alignment horizontal="center" vertical="center" wrapText="1"/>
    </xf>
    <xf numFmtId="0" fontId="44" fillId="43" borderId="0" xfId="0" applyFont="1" applyFill="1" applyAlignment="1">
      <alignment vertical="center" wrapText="1"/>
    </xf>
    <xf numFmtId="20" fontId="15" fillId="17" borderId="80" xfId="0" applyNumberFormat="1" applyFont="1" applyFill="1" applyBorder="1" applyAlignment="1">
      <alignment horizontal="center" vertical="center" wrapText="1"/>
    </xf>
    <xf numFmtId="0" fontId="45" fillId="17" borderId="79" xfId="0" applyFont="1" applyFill="1" applyBorder="1" applyAlignment="1">
      <alignment horizontal="center" vertical="center" wrapText="1"/>
    </xf>
    <xf numFmtId="0" fontId="45" fillId="17" borderId="72" xfId="0" applyFont="1" applyFill="1" applyBorder="1" applyAlignment="1">
      <alignment vertical="center" wrapText="1"/>
    </xf>
    <xf numFmtId="164" fontId="45" fillId="17" borderId="72" xfId="0" applyNumberFormat="1" applyFont="1" applyFill="1" applyBorder="1" applyAlignment="1">
      <alignment horizontal="center" vertical="center" wrapText="1"/>
    </xf>
    <xf numFmtId="0" fontId="45" fillId="17" borderId="72" xfId="0" applyFont="1" applyFill="1" applyBorder="1" applyAlignment="1">
      <alignment horizontal="center" vertical="center" wrapText="1"/>
    </xf>
    <xf numFmtId="49" fontId="45" fillId="17" borderId="72" xfId="0" applyNumberFormat="1" applyFont="1" applyFill="1" applyBorder="1" applyAlignment="1">
      <alignment horizontal="left" vertical="center" wrapText="1"/>
    </xf>
    <xf numFmtId="49" fontId="45" fillId="17" borderId="80" xfId="0" applyNumberFormat="1" applyFont="1" applyFill="1" applyBorder="1" applyAlignment="1">
      <alignment horizontal="center" vertical="center" wrapText="1"/>
    </xf>
    <xf numFmtId="0" fontId="15" fillId="16" borderId="83" xfId="0" applyFont="1" applyFill="1" applyBorder="1" applyAlignment="1">
      <alignment horizontal="center" vertical="center" wrapText="1"/>
    </xf>
    <xf numFmtId="0" fontId="45" fillId="16" borderId="23" xfId="0" applyFont="1" applyFill="1" applyBorder="1" applyAlignment="1">
      <alignment horizontal="center" vertical="center" wrapText="1"/>
    </xf>
    <xf numFmtId="0" fontId="45" fillId="16" borderId="24" xfId="0" applyFont="1" applyFill="1" applyBorder="1" applyAlignment="1">
      <alignment vertical="center" wrapText="1"/>
    </xf>
    <xf numFmtId="164" fontId="45" fillId="16" borderId="24" xfId="0" applyNumberFormat="1" applyFont="1" applyFill="1" applyBorder="1" applyAlignment="1">
      <alignment horizontal="center" vertical="center" wrapText="1"/>
    </xf>
    <xf numFmtId="0" fontId="45" fillId="16" borderId="24" xfId="0" applyFont="1" applyFill="1" applyBorder="1" applyAlignment="1">
      <alignment horizontal="center" vertical="center" wrapText="1"/>
    </xf>
    <xf numFmtId="49" fontId="45" fillId="16" borderId="24" xfId="0" applyNumberFormat="1" applyFont="1" applyFill="1" applyBorder="1" applyAlignment="1">
      <alignment horizontal="left" vertical="center" wrapText="1"/>
    </xf>
    <xf numFmtId="49" fontId="45" fillId="16" borderId="25" xfId="0" applyNumberFormat="1" applyFont="1" applyFill="1" applyBorder="1" applyAlignment="1">
      <alignment horizontal="center" vertical="center" wrapText="1"/>
    </xf>
    <xf numFmtId="0" fontId="45" fillId="17" borderId="85" xfId="0" applyFont="1" applyFill="1" applyBorder="1" applyAlignment="1">
      <alignment horizontal="center" vertical="center" wrapText="1"/>
    </xf>
    <xf numFmtId="0" fontId="45" fillId="17" borderId="86" xfId="0" applyFont="1" applyFill="1" applyBorder="1" applyAlignment="1">
      <alignment vertical="center" wrapText="1"/>
    </xf>
    <xf numFmtId="164" fontId="45" fillId="17" borderId="86" xfId="0" applyNumberFormat="1" applyFont="1" applyFill="1" applyBorder="1" applyAlignment="1">
      <alignment horizontal="center" vertical="center" wrapText="1"/>
    </xf>
    <xf numFmtId="0" fontId="45" fillId="17" borderId="86" xfId="0" applyFont="1" applyFill="1" applyBorder="1" applyAlignment="1">
      <alignment horizontal="center" vertical="center" wrapText="1"/>
    </xf>
    <xf numFmtId="49" fontId="45" fillId="17" borderId="86" xfId="0" applyNumberFormat="1" applyFont="1" applyFill="1" applyBorder="1" applyAlignment="1">
      <alignment horizontal="left" vertical="center" wrapText="1"/>
    </xf>
    <xf numFmtId="49" fontId="45" fillId="17" borderId="87" xfId="0" applyNumberFormat="1" applyFont="1" applyFill="1" applyBorder="1" applyAlignment="1">
      <alignment horizontal="center" vertical="center" wrapText="1"/>
    </xf>
    <xf numFmtId="20" fontId="15" fillId="17" borderId="87" xfId="0" applyNumberFormat="1" applyFont="1" applyFill="1" applyBorder="1" applyAlignment="1">
      <alignment horizontal="center" vertical="center" wrapText="1"/>
    </xf>
    <xf numFmtId="0" fontId="45" fillId="16" borderId="79" xfId="0" applyFont="1" applyFill="1" applyBorder="1" applyAlignment="1">
      <alignment horizontal="center" vertical="center" wrapText="1"/>
    </xf>
    <xf numFmtId="0" fontId="45" fillId="16" borderId="72" xfId="0" applyFont="1" applyFill="1" applyBorder="1" applyAlignment="1">
      <alignment vertical="center" wrapText="1"/>
    </xf>
    <xf numFmtId="164" fontId="45" fillId="16" borderId="72" xfId="0" applyNumberFormat="1" applyFont="1" applyFill="1" applyBorder="1" applyAlignment="1">
      <alignment horizontal="center" vertical="center" wrapText="1"/>
    </xf>
    <xf numFmtId="0" fontId="45" fillId="16" borderId="72" xfId="0" applyFont="1" applyFill="1" applyBorder="1" applyAlignment="1">
      <alignment horizontal="center" vertical="center" wrapText="1"/>
    </xf>
    <xf numFmtId="49" fontId="45" fillId="16" borderId="72" xfId="0" applyNumberFormat="1" applyFont="1" applyFill="1" applyBorder="1" applyAlignment="1">
      <alignment horizontal="left" vertical="center" wrapText="1"/>
    </xf>
    <xf numFmtId="49" fontId="45" fillId="16" borderId="80" xfId="0" applyNumberFormat="1" applyFont="1" applyFill="1" applyBorder="1" applyAlignment="1">
      <alignment horizontal="center" vertical="center" wrapText="1"/>
    </xf>
    <xf numFmtId="20" fontId="15" fillId="17" borderId="78" xfId="0" applyNumberFormat="1" applyFont="1" applyFill="1" applyBorder="1" applyAlignment="1">
      <alignment horizontal="center" vertical="center" wrapText="1"/>
    </xf>
    <xf numFmtId="0" fontId="15" fillId="17" borderId="88" xfId="0" applyFont="1" applyFill="1" applyBorder="1" applyAlignment="1">
      <alignment horizontal="center" vertical="center" wrapText="1"/>
    </xf>
    <xf numFmtId="0" fontId="45" fillId="17" borderId="77" xfId="0" applyFont="1" applyFill="1" applyBorder="1" applyAlignment="1">
      <alignment horizontal="center" vertical="center" wrapText="1"/>
    </xf>
    <xf numFmtId="0" fontId="45" fillId="17" borderId="71" xfId="0" applyFont="1" applyFill="1" applyBorder="1" applyAlignment="1">
      <alignment vertical="center" wrapText="1"/>
    </xf>
    <xf numFmtId="164" fontId="45" fillId="17" borderId="71" xfId="0" applyNumberFormat="1" applyFont="1" applyFill="1" applyBorder="1" applyAlignment="1">
      <alignment horizontal="center" vertical="center" wrapText="1"/>
    </xf>
    <xf numFmtId="0" fontId="45" fillId="17" borderId="71" xfId="0" applyFont="1" applyFill="1" applyBorder="1" applyAlignment="1">
      <alignment horizontal="center" vertical="center" wrapText="1"/>
    </xf>
    <xf numFmtId="49" fontId="45" fillId="17" borderId="71" xfId="0" applyNumberFormat="1" applyFont="1" applyFill="1" applyBorder="1" applyAlignment="1">
      <alignment horizontal="left" vertical="center" wrapText="1"/>
    </xf>
    <xf numFmtId="49" fontId="45" fillId="17" borderId="78" xfId="0" applyNumberFormat="1" applyFont="1" applyFill="1" applyBorder="1" applyAlignment="1">
      <alignment horizontal="center" vertical="center" wrapText="1"/>
    </xf>
    <xf numFmtId="0" fontId="15" fillId="17" borderId="71" xfId="0" applyFont="1" applyFill="1" applyBorder="1" applyAlignment="1">
      <alignment horizontal="center" vertical="center" wrapText="1"/>
    </xf>
    <xf numFmtId="0" fontId="15" fillId="17" borderId="71" xfId="0" applyFont="1" applyFill="1" applyBorder="1" applyAlignment="1">
      <alignment vertical="center" wrapText="1"/>
    </xf>
    <xf numFmtId="164" fontId="15" fillId="17" borderId="71" xfId="0" applyNumberFormat="1" applyFont="1" applyFill="1" applyBorder="1" applyAlignment="1">
      <alignment horizontal="center" vertical="center" wrapText="1"/>
    </xf>
    <xf numFmtId="164" fontId="16" fillId="17" borderId="71" xfId="0" applyNumberFormat="1" applyFont="1" applyFill="1" applyBorder="1" applyAlignment="1">
      <alignment horizontal="center" vertical="center" wrapText="1"/>
    </xf>
    <xf numFmtId="49" fontId="15" fillId="17" borderId="71" xfId="0" applyNumberFormat="1" applyFont="1" applyFill="1" applyBorder="1" applyAlignment="1">
      <alignment horizontal="left" vertical="center" wrapText="1"/>
    </xf>
    <xf numFmtId="0" fontId="15" fillId="17" borderId="77" xfId="0" applyFont="1" applyFill="1" applyBorder="1" applyAlignment="1">
      <alignment horizontal="center" vertical="center" wrapText="1"/>
    </xf>
    <xf numFmtId="49" fontId="15" fillId="17" borderId="78" xfId="0" applyNumberFormat="1" applyFont="1" applyFill="1" applyBorder="1" applyAlignment="1">
      <alignment horizontal="center" vertical="center" wrapText="1"/>
    </xf>
    <xf numFmtId="0" fontId="45" fillId="17" borderId="88" xfId="0" applyFont="1" applyFill="1" applyBorder="1" applyAlignment="1">
      <alignment horizontal="center" vertical="center" wrapText="1"/>
    </xf>
    <xf numFmtId="0" fontId="45" fillId="17" borderId="69" xfId="0" applyFont="1" applyFill="1" applyBorder="1" applyAlignment="1">
      <alignment vertical="center" wrapText="1"/>
    </xf>
    <xf numFmtId="164" fontId="45" fillId="17" borderId="69" xfId="0" applyNumberFormat="1" applyFont="1" applyFill="1" applyBorder="1" applyAlignment="1">
      <alignment horizontal="center" vertical="center" wrapText="1"/>
    </xf>
    <xf numFmtId="0" fontId="45" fillId="17" borderId="69" xfId="0" applyFont="1" applyFill="1" applyBorder="1" applyAlignment="1">
      <alignment horizontal="center" vertical="center" wrapText="1"/>
    </xf>
    <xf numFmtId="49" fontId="45" fillId="17" borderId="69" xfId="0" applyNumberFormat="1" applyFont="1" applyFill="1" applyBorder="1" applyAlignment="1">
      <alignment horizontal="left" vertical="center" wrapText="1"/>
    </xf>
    <xf numFmtId="49" fontId="45" fillId="17" borderId="70" xfId="0" applyNumberFormat="1" applyFont="1" applyFill="1" applyBorder="1" applyAlignment="1">
      <alignment horizontal="center" vertical="center" wrapText="1"/>
    </xf>
    <xf numFmtId="0" fontId="45" fillId="17" borderId="68" xfId="0" applyFont="1" applyFill="1" applyBorder="1" applyAlignment="1">
      <alignment horizontal="center" vertical="center" wrapText="1"/>
    </xf>
    <xf numFmtId="0" fontId="15" fillId="0" borderId="0" xfId="0" applyFont="1" applyAlignment="1">
      <alignment vertical="center"/>
    </xf>
    <xf numFmtId="0" fontId="44" fillId="0" borderId="0" xfId="0" applyFont="1" applyAlignment="1">
      <alignment horizontal="left" vertical="center"/>
    </xf>
    <xf numFmtId="166" fontId="44" fillId="0" borderId="0" xfId="0" applyNumberFormat="1" applyFont="1" applyAlignment="1">
      <alignment horizontal="right" vertical="center"/>
    </xf>
    <xf numFmtId="0" fontId="45" fillId="17" borderId="50" xfId="0" applyFont="1" applyFill="1" applyBorder="1" applyAlignment="1">
      <alignment horizontal="center" vertical="center" wrapText="1"/>
    </xf>
    <xf numFmtId="0" fontId="45" fillId="17" borderId="24" xfId="0" applyFont="1" applyFill="1" applyBorder="1" applyAlignment="1">
      <alignment vertical="center" wrapText="1"/>
    </xf>
    <xf numFmtId="164" fontId="45" fillId="17" borderId="24" xfId="0" applyNumberFormat="1" applyFont="1" applyFill="1" applyBorder="1" applyAlignment="1">
      <alignment horizontal="center" vertical="center" wrapText="1"/>
    </xf>
    <xf numFmtId="0" fontId="45" fillId="17" borderId="24" xfId="0" applyFont="1" applyFill="1" applyBorder="1" applyAlignment="1">
      <alignment horizontal="center" vertical="center" wrapText="1"/>
    </xf>
    <xf numFmtId="49" fontId="45" fillId="17" borderId="25" xfId="0" applyNumberFormat="1" applyFont="1" applyFill="1" applyBorder="1" applyAlignment="1">
      <alignment horizontal="center" vertical="center" wrapText="1"/>
    </xf>
    <xf numFmtId="0" fontId="45" fillId="16" borderId="85" xfId="0" applyFont="1" applyFill="1" applyBorder="1" applyAlignment="1">
      <alignment horizontal="center" vertical="center" wrapText="1"/>
    </xf>
    <xf numFmtId="0" fontId="45" fillId="16" borderId="86" xfId="0" applyFont="1" applyFill="1" applyBorder="1" applyAlignment="1">
      <alignment vertical="center" wrapText="1"/>
    </xf>
    <xf numFmtId="164" fontId="45" fillId="16" borderId="86" xfId="0" applyNumberFormat="1" applyFont="1" applyFill="1" applyBorder="1" applyAlignment="1">
      <alignment horizontal="center" vertical="center" wrapText="1"/>
    </xf>
    <xf numFmtId="0" fontId="45" fillId="16" borderId="86" xfId="0" applyFont="1" applyFill="1" applyBorder="1" applyAlignment="1">
      <alignment horizontal="center" vertical="center" wrapText="1"/>
    </xf>
    <xf numFmtId="49" fontId="45" fillId="16" borderId="87" xfId="0" applyNumberFormat="1" applyFont="1" applyFill="1" applyBorder="1" applyAlignment="1">
      <alignment horizontal="center" vertical="center" wrapText="1"/>
    </xf>
    <xf numFmtId="20" fontId="15" fillId="16" borderId="87" xfId="0" applyNumberFormat="1" applyFont="1" applyFill="1" applyBorder="1" applyAlignment="1">
      <alignment horizontal="center" vertical="center" wrapText="1"/>
    </xf>
    <xf numFmtId="166" fontId="44" fillId="0" borderId="0" xfId="0" applyNumberFormat="1" applyFont="1" applyAlignment="1">
      <alignment horizontal="left" vertical="center"/>
    </xf>
    <xf numFmtId="0" fontId="45" fillId="17" borderId="42" xfId="0" applyFont="1" applyFill="1" applyBorder="1" applyAlignment="1">
      <alignment horizontal="center" vertical="center" wrapText="1"/>
    </xf>
    <xf numFmtId="0" fontId="15" fillId="17" borderId="83" xfId="0" applyFont="1" applyFill="1" applyBorder="1" applyAlignment="1">
      <alignment horizontal="center" vertical="center" wrapText="1"/>
    </xf>
    <xf numFmtId="49" fontId="45" fillId="17" borderId="24" xfId="0" applyNumberFormat="1" applyFont="1" applyFill="1" applyBorder="1" applyAlignment="1">
      <alignment horizontal="left" vertical="center" wrapText="1"/>
    </xf>
    <xf numFmtId="49" fontId="45" fillId="16" borderId="86" xfId="0" applyNumberFormat="1" applyFont="1" applyFill="1" applyBorder="1" applyAlignment="1">
      <alignment horizontal="left" vertical="center" wrapText="1"/>
    </xf>
    <xf numFmtId="0" fontId="45" fillId="17" borderId="23" xfId="0" applyFont="1" applyFill="1" applyBorder="1" applyAlignment="1">
      <alignment horizontal="center" vertical="center" wrapText="1"/>
    </xf>
    <xf numFmtId="0" fontId="45" fillId="16" borderId="88" xfId="0" applyFont="1" applyFill="1" applyBorder="1" applyAlignment="1">
      <alignment horizontal="center" vertical="center" wrapText="1"/>
    </xf>
    <xf numFmtId="0" fontId="45" fillId="16" borderId="69" xfId="0" applyFont="1" applyFill="1" applyBorder="1" applyAlignment="1">
      <alignment vertical="center" wrapText="1"/>
    </xf>
    <xf numFmtId="164" fontId="45" fillId="16" borderId="69" xfId="0" applyNumberFormat="1" applyFont="1" applyFill="1" applyBorder="1" applyAlignment="1">
      <alignment horizontal="center" vertical="center" wrapText="1"/>
    </xf>
    <xf numFmtId="0" fontId="45" fillId="16" borderId="69" xfId="0" applyFont="1" applyFill="1" applyBorder="1" applyAlignment="1">
      <alignment horizontal="center" vertical="center" wrapText="1"/>
    </xf>
    <xf numFmtId="49" fontId="45" fillId="16" borderId="69" xfId="0" applyNumberFormat="1" applyFont="1" applyFill="1" applyBorder="1" applyAlignment="1">
      <alignment horizontal="left" vertical="center" wrapText="1"/>
    </xf>
    <xf numFmtId="49" fontId="45" fillId="16" borderId="70" xfId="0" applyNumberFormat="1" applyFont="1" applyFill="1" applyBorder="1" applyAlignment="1">
      <alignment horizontal="center" vertical="center" wrapText="1"/>
    </xf>
    <xf numFmtId="0" fontId="45" fillId="16" borderId="68" xfId="0" applyFont="1" applyFill="1" applyBorder="1" applyAlignment="1">
      <alignment horizontal="center" vertical="center" wrapText="1"/>
    </xf>
    <xf numFmtId="0" fontId="45" fillId="16" borderId="71" xfId="0" applyFont="1" applyFill="1" applyBorder="1" applyAlignment="1">
      <alignment horizontal="center" vertical="center" wrapText="1"/>
    </xf>
    <xf numFmtId="0" fontId="45" fillId="16" borderId="71" xfId="0" applyFont="1" applyFill="1" applyBorder="1" applyAlignment="1">
      <alignment vertical="center" wrapText="1"/>
    </xf>
    <xf numFmtId="164" fontId="45" fillId="16" borderId="71" xfId="0" applyNumberFormat="1" applyFont="1" applyFill="1" applyBorder="1" applyAlignment="1">
      <alignment horizontal="center" vertical="center" wrapText="1"/>
    </xf>
    <xf numFmtId="49" fontId="45" fillId="16" borderId="71" xfId="0" applyNumberFormat="1" applyFont="1" applyFill="1" applyBorder="1" applyAlignment="1">
      <alignment horizontal="left" vertical="center" wrapText="1"/>
    </xf>
    <xf numFmtId="0" fontId="45" fillId="16" borderId="77" xfId="0" applyFont="1" applyFill="1" applyBorder="1" applyAlignment="1">
      <alignment horizontal="center" vertical="center" wrapText="1"/>
    </xf>
    <xf numFmtId="49" fontId="45" fillId="16" borderId="78" xfId="0" applyNumberFormat="1" applyFont="1" applyFill="1" applyBorder="1" applyAlignment="1">
      <alignment horizontal="center" vertical="center" wrapText="1"/>
    </xf>
    <xf numFmtId="0" fontId="15" fillId="16" borderId="47" xfId="0" applyFont="1" applyFill="1" applyBorder="1" applyAlignment="1">
      <alignment horizontal="center" vertical="center" wrapText="1"/>
    </xf>
    <xf numFmtId="0" fontId="44" fillId="0" borderId="0" xfId="0" applyFont="1" applyAlignment="1">
      <alignment horizontal="left" vertical="center" wrapText="1"/>
    </xf>
    <xf numFmtId="49" fontId="15" fillId="16" borderId="14" xfId="0" applyNumberFormat="1" applyFont="1" applyFill="1" applyBorder="1" applyAlignment="1">
      <alignment horizontal="left" vertical="center" wrapText="1"/>
    </xf>
    <xf numFmtId="0" fontId="15" fillId="17" borderId="81" xfId="0" applyFont="1" applyFill="1" applyBorder="1" applyAlignment="1">
      <alignment horizontal="center" vertical="center" wrapText="1"/>
    </xf>
    <xf numFmtId="0" fontId="15" fillId="17" borderId="72" xfId="0" applyFont="1" applyFill="1" applyBorder="1" applyAlignment="1">
      <alignment vertical="center" wrapText="1"/>
    </xf>
    <xf numFmtId="164" fontId="15" fillId="17" borderId="72" xfId="0" applyNumberFormat="1" applyFont="1" applyFill="1" applyBorder="1" applyAlignment="1">
      <alignment horizontal="center" vertical="center" wrapText="1"/>
    </xf>
    <xf numFmtId="164" fontId="16" fillId="17" borderId="72" xfId="0" applyNumberFormat="1" applyFont="1" applyFill="1" applyBorder="1" applyAlignment="1">
      <alignment horizontal="center" vertical="center" wrapText="1"/>
    </xf>
    <xf numFmtId="0" fontId="15" fillId="17" borderId="72" xfId="0" applyFont="1" applyFill="1" applyBorder="1" applyAlignment="1">
      <alignment horizontal="center" vertical="center" wrapText="1"/>
    </xf>
    <xf numFmtId="49" fontId="15" fillId="17" borderId="72" xfId="0" applyNumberFormat="1" applyFont="1" applyFill="1" applyBorder="1" applyAlignment="1">
      <alignment horizontal="left" vertical="center" wrapText="1"/>
    </xf>
    <xf numFmtId="0" fontId="17" fillId="17" borderId="72" xfId="0" applyFont="1" applyFill="1" applyBorder="1" applyAlignment="1">
      <alignment horizontal="center" vertical="center" wrapText="1"/>
    </xf>
    <xf numFmtId="49" fontId="15" fillId="17" borderId="80" xfId="0" applyNumberFormat="1" applyFont="1" applyFill="1" applyBorder="1" applyAlignment="1">
      <alignment horizontal="center" vertical="center" wrapText="1"/>
    </xf>
    <xf numFmtId="0" fontId="45" fillId="17" borderId="81" xfId="0" applyFont="1" applyFill="1" applyBorder="1" applyAlignment="1">
      <alignment horizontal="center" vertical="center" wrapText="1"/>
    </xf>
    <xf numFmtId="0" fontId="15" fillId="16" borderId="42" xfId="0" applyFont="1" applyFill="1" applyBorder="1" applyAlignment="1">
      <alignment horizontal="center" vertical="center" wrapText="1"/>
    </xf>
    <xf numFmtId="0" fontId="15" fillId="16" borderId="86" xfId="0" applyFont="1" applyFill="1" applyBorder="1" applyAlignment="1">
      <alignment vertical="center" wrapText="1"/>
    </xf>
    <xf numFmtId="164" fontId="15" fillId="16" borderId="86" xfId="0" applyNumberFormat="1" applyFont="1" applyFill="1" applyBorder="1" applyAlignment="1">
      <alignment horizontal="center" vertical="center" wrapText="1"/>
    </xf>
    <xf numFmtId="164" fontId="16" fillId="16" borderId="86" xfId="0" applyNumberFormat="1" applyFont="1" applyFill="1" applyBorder="1" applyAlignment="1">
      <alignment horizontal="center" vertical="center" wrapText="1"/>
    </xf>
    <xf numFmtId="0" fontId="15" fillId="16" borderId="86" xfId="0" applyFont="1" applyFill="1" applyBorder="1" applyAlignment="1">
      <alignment horizontal="center" vertical="center" wrapText="1"/>
    </xf>
    <xf numFmtId="49" fontId="15" fillId="16" borderId="86" xfId="0" applyNumberFormat="1" applyFont="1" applyFill="1" applyBorder="1" applyAlignment="1">
      <alignment horizontal="left" vertical="center" wrapText="1"/>
    </xf>
    <xf numFmtId="0" fontId="17" fillId="16" borderId="86" xfId="0" applyFont="1" applyFill="1" applyBorder="1" applyAlignment="1">
      <alignment horizontal="center" vertical="center" wrapText="1"/>
    </xf>
    <xf numFmtId="49" fontId="15" fillId="16" borderId="87" xfId="0" applyNumberFormat="1" applyFont="1" applyFill="1" applyBorder="1" applyAlignment="1">
      <alignment horizontal="center" vertical="center" wrapText="1"/>
    </xf>
    <xf numFmtId="0" fontId="45" fillId="16" borderId="42" xfId="0" applyFont="1" applyFill="1" applyBorder="1" applyAlignment="1">
      <alignment horizontal="center" vertical="center" wrapText="1"/>
    </xf>
    <xf numFmtId="0" fontId="45" fillId="16" borderId="81" xfId="0" applyFont="1" applyFill="1" applyBorder="1" applyAlignment="1">
      <alignment horizontal="center" vertical="center" wrapText="1"/>
    </xf>
    <xf numFmtId="0" fontId="15" fillId="17" borderId="85" xfId="0" applyFont="1" applyFill="1" applyBorder="1" applyAlignment="1">
      <alignment horizontal="center" vertical="center" wrapText="1"/>
    </xf>
    <xf numFmtId="0" fontId="15" fillId="17" borderId="86" xfId="0" applyFont="1" applyFill="1" applyBorder="1" applyAlignment="1">
      <alignment vertical="center" wrapText="1"/>
    </xf>
    <xf numFmtId="164" fontId="15" fillId="17" borderId="86" xfId="0" applyNumberFormat="1" applyFont="1" applyFill="1" applyBorder="1" applyAlignment="1">
      <alignment horizontal="center" vertical="center" wrapText="1"/>
    </xf>
    <xf numFmtId="164" fontId="16" fillId="17" borderId="86" xfId="0" applyNumberFormat="1" applyFont="1" applyFill="1" applyBorder="1" applyAlignment="1">
      <alignment horizontal="center" vertical="center" wrapText="1"/>
    </xf>
    <xf numFmtId="0" fontId="15" fillId="17" borderId="86" xfId="0" applyFont="1" applyFill="1" applyBorder="1" applyAlignment="1">
      <alignment horizontal="center" vertical="center" wrapText="1"/>
    </xf>
    <xf numFmtId="0" fontId="17" fillId="17" borderId="86" xfId="0" applyFont="1" applyFill="1" applyBorder="1" applyAlignment="1">
      <alignment horizontal="center" vertical="center" wrapText="1"/>
    </xf>
    <xf numFmtId="49" fontId="15" fillId="17" borderId="87" xfId="0" applyNumberFormat="1" applyFont="1" applyFill="1" applyBorder="1" applyAlignment="1">
      <alignment horizontal="center" vertical="center" wrapText="1"/>
    </xf>
    <xf numFmtId="166" fontId="45" fillId="0" borderId="0" xfId="0" applyNumberFormat="1" applyFont="1" applyAlignment="1">
      <alignment vertical="center"/>
    </xf>
    <xf numFmtId="0" fontId="18" fillId="5" borderId="14" xfId="0" applyFont="1" applyFill="1" applyBorder="1" applyAlignment="1">
      <alignment horizontal="left" vertical="center" wrapText="1"/>
    </xf>
    <xf numFmtId="0" fontId="15" fillId="0" borderId="0" xfId="0" applyFont="1" applyAlignment="1">
      <alignment horizontal="left" vertical="center" wrapText="1"/>
    </xf>
    <xf numFmtId="49" fontId="15" fillId="17" borderId="20" xfId="0" applyNumberFormat="1" applyFont="1" applyFill="1" applyBorder="1" applyAlignment="1">
      <alignment vertical="center" wrapText="1"/>
    </xf>
    <xf numFmtId="49" fontId="15" fillId="16" borderId="20" xfId="0" applyNumberFormat="1" applyFont="1" applyFill="1" applyBorder="1" applyAlignment="1">
      <alignment vertical="center" wrapText="1"/>
    </xf>
    <xf numFmtId="167" fontId="44" fillId="0" borderId="0" xfId="0" applyNumberFormat="1" applyFont="1" applyAlignment="1">
      <alignment horizontal="left" vertical="center"/>
    </xf>
    <xf numFmtId="49" fontId="45" fillId="17" borderId="72" xfId="0" applyNumberFormat="1" applyFont="1" applyFill="1" applyBorder="1" applyAlignment="1">
      <alignment vertical="center" wrapText="1"/>
    </xf>
    <xf numFmtId="49" fontId="45" fillId="16" borderId="69" xfId="0" applyNumberFormat="1" applyFont="1" applyFill="1" applyBorder="1" applyAlignment="1">
      <alignment vertical="center" wrapText="1"/>
    </xf>
    <xf numFmtId="49" fontId="45" fillId="16" borderId="71" xfId="0" applyNumberFormat="1" applyFont="1" applyFill="1" applyBorder="1" applyAlignment="1">
      <alignment vertical="center" wrapText="1"/>
    </xf>
    <xf numFmtId="49" fontId="45" fillId="16" borderId="24" xfId="0" applyNumberFormat="1" applyFont="1" applyFill="1" applyBorder="1" applyAlignment="1">
      <alignment vertical="center" wrapText="1"/>
    </xf>
    <xf numFmtId="0" fontId="45" fillId="17" borderId="34" xfId="0" applyFont="1" applyFill="1" applyBorder="1" applyAlignment="1">
      <alignment horizontal="center" vertical="center" wrapText="1"/>
    </xf>
    <xf numFmtId="0" fontId="45" fillId="17" borderId="16" xfId="0" applyFont="1" applyFill="1" applyBorder="1" applyAlignment="1">
      <alignment vertical="center" wrapText="1"/>
    </xf>
    <xf numFmtId="164" fontId="45" fillId="17" borderId="16" xfId="0" applyNumberFormat="1" applyFont="1" applyFill="1" applyBorder="1" applyAlignment="1">
      <alignment horizontal="center" vertical="center" wrapText="1"/>
    </xf>
    <xf numFmtId="0" fontId="45" fillId="17" borderId="16" xfId="0" applyFont="1" applyFill="1" applyBorder="1" applyAlignment="1">
      <alignment horizontal="center" vertical="center" wrapText="1"/>
    </xf>
    <xf numFmtId="49" fontId="45" fillId="17" borderId="16" xfId="0" applyNumberFormat="1" applyFont="1" applyFill="1" applyBorder="1" applyAlignment="1">
      <alignment horizontal="left" vertical="center" wrapText="1"/>
    </xf>
    <xf numFmtId="49" fontId="45" fillId="17" borderId="17" xfId="0" applyNumberFormat="1" applyFont="1" applyFill="1" applyBorder="1" applyAlignment="1">
      <alignment horizontal="center" vertical="center" wrapText="1"/>
    </xf>
    <xf numFmtId="0" fontId="15" fillId="40" borderId="34" xfId="0" applyFont="1" applyFill="1" applyBorder="1" applyAlignment="1">
      <alignment horizontal="center" vertical="center" wrapText="1"/>
    </xf>
    <xf numFmtId="0" fontId="15" fillId="40" borderId="16" xfId="0" applyFont="1" applyFill="1" applyBorder="1" applyAlignment="1">
      <alignment vertical="center" wrapText="1"/>
    </xf>
    <xf numFmtId="164" fontId="15" fillId="40" borderId="16" xfId="0" applyNumberFormat="1" applyFont="1" applyFill="1" applyBorder="1" applyAlignment="1">
      <alignment horizontal="center" vertical="center" wrapText="1"/>
    </xf>
    <xf numFmtId="164" fontId="16" fillId="40" borderId="16" xfId="0" applyNumberFormat="1" applyFont="1" applyFill="1" applyBorder="1" applyAlignment="1">
      <alignment horizontal="center" vertical="center" wrapText="1"/>
    </xf>
    <xf numFmtId="0" fontId="15" fillId="40" borderId="16" xfId="0" applyFont="1" applyFill="1" applyBorder="1" applyAlignment="1">
      <alignment horizontal="center" vertical="center" wrapText="1"/>
    </xf>
    <xf numFmtId="49" fontId="15" fillId="40" borderId="16" xfId="0" applyNumberFormat="1" applyFont="1" applyFill="1" applyBorder="1" applyAlignment="1">
      <alignment horizontal="left" vertical="center" wrapText="1"/>
    </xf>
    <xf numFmtId="0" fontId="17" fillId="40" borderId="16" xfId="0" applyFont="1" applyFill="1" applyBorder="1" applyAlignment="1">
      <alignment horizontal="center" vertical="center" wrapText="1"/>
    </xf>
    <xf numFmtId="49" fontId="15" fillId="40" borderId="17" xfId="0" applyNumberFormat="1" applyFont="1" applyFill="1" applyBorder="1" applyAlignment="1">
      <alignment horizontal="center" vertical="center" wrapText="1"/>
    </xf>
    <xf numFmtId="20" fontId="15" fillId="40" borderId="17" xfId="0" applyNumberFormat="1" applyFont="1" applyFill="1" applyBorder="1" applyAlignment="1">
      <alignment horizontal="center" vertical="center" wrapText="1"/>
    </xf>
    <xf numFmtId="0" fontId="15" fillId="40" borderId="0" xfId="0" applyFont="1" applyFill="1" applyAlignment="1">
      <alignment horizontal="left" vertical="center" wrapText="1"/>
    </xf>
    <xf numFmtId="0" fontId="44" fillId="40" borderId="0" xfId="0" applyFont="1" applyFill="1" applyAlignment="1">
      <alignment horizontal="left" vertical="center" wrapText="1"/>
    </xf>
    <xf numFmtId="0" fontId="15" fillId="40" borderId="38" xfId="0" applyFont="1" applyFill="1" applyBorder="1" applyAlignment="1">
      <alignment horizontal="center" vertical="center" wrapText="1"/>
    </xf>
    <xf numFmtId="0" fontId="15" fillId="40" borderId="39" xfId="0" applyFont="1" applyFill="1" applyBorder="1" applyAlignment="1">
      <alignment horizontal="center" vertical="center" wrapText="1"/>
    </xf>
    <xf numFmtId="0" fontId="15" fillId="40" borderId="10" xfId="0" applyFont="1" applyFill="1" applyBorder="1" applyAlignment="1">
      <alignment vertical="center" wrapText="1"/>
    </xf>
    <xf numFmtId="164" fontId="15" fillId="40" borderId="10" xfId="0" applyNumberFormat="1" applyFont="1" applyFill="1" applyBorder="1" applyAlignment="1">
      <alignment horizontal="center" vertical="center" wrapText="1"/>
    </xf>
    <xf numFmtId="164" fontId="16" fillId="40" borderId="10" xfId="0" applyNumberFormat="1" applyFont="1" applyFill="1" applyBorder="1" applyAlignment="1">
      <alignment horizontal="center" vertical="center" wrapText="1"/>
    </xf>
    <xf numFmtId="0" fontId="15" fillId="40" borderId="10" xfId="0" applyFont="1" applyFill="1" applyBorder="1" applyAlignment="1">
      <alignment horizontal="center" vertical="center" wrapText="1"/>
    </xf>
    <xf numFmtId="0" fontId="17" fillId="40" borderId="10" xfId="0" applyFont="1" applyFill="1" applyBorder="1" applyAlignment="1">
      <alignment horizontal="center" vertical="center" wrapText="1"/>
    </xf>
    <xf numFmtId="49" fontId="15" fillId="40" borderId="27" xfId="0" applyNumberFormat="1" applyFont="1" applyFill="1" applyBorder="1" applyAlignment="1">
      <alignment horizontal="center" vertical="center" wrapText="1"/>
    </xf>
    <xf numFmtId="20" fontId="15" fillId="40" borderId="27" xfId="0" applyNumberFormat="1" applyFont="1" applyFill="1" applyBorder="1" applyAlignment="1">
      <alignment horizontal="center" vertical="center" wrapText="1"/>
    </xf>
    <xf numFmtId="49" fontId="15" fillId="40" borderId="20" xfId="0" applyNumberFormat="1" applyFont="1" applyFill="1" applyBorder="1" applyAlignment="1">
      <alignment horizontal="left" vertical="center" wrapText="1"/>
    </xf>
    <xf numFmtId="0" fontId="17" fillId="40" borderId="20" xfId="0" applyFont="1" applyFill="1" applyBorder="1" applyAlignment="1">
      <alignment horizontal="center" vertical="center" wrapText="1"/>
    </xf>
    <xf numFmtId="0" fontId="15" fillId="40" borderId="68" xfId="0" applyFont="1" applyFill="1" applyBorder="1" applyAlignment="1">
      <alignment horizontal="center" vertical="center" wrapText="1"/>
    </xf>
    <xf numFmtId="0" fontId="15" fillId="40" borderId="69" xfId="0" applyFont="1" applyFill="1" applyBorder="1" applyAlignment="1">
      <alignment vertical="center" wrapText="1"/>
    </xf>
    <xf numFmtId="164" fontId="15" fillId="40" borderId="69" xfId="0" applyNumberFormat="1" applyFont="1" applyFill="1" applyBorder="1" applyAlignment="1">
      <alignment horizontal="center" vertical="center" wrapText="1"/>
    </xf>
    <xf numFmtId="164" fontId="16" fillId="40" borderId="69" xfId="0" applyNumberFormat="1" applyFont="1" applyFill="1" applyBorder="1" applyAlignment="1">
      <alignment horizontal="center" vertical="center" wrapText="1"/>
    </xf>
    <xf numFmtId="0" fontId="15" fillId="40" borderId="69" xfId="0" applyFont="1" applyFill="1" applyBorder="1" applyAlignment="1">
      <alignment horizontal="center" vertical="center" wrapText="1"/>
    </xf>
    <xf numFmtId="49" fontId="15" fillId="40" borderId="69" xfId="0" applyNumberFormat="1" applyFont="1" applyFill="1" applyBorder="1" applyAlignment="1">
      <alignment horizontal="left" vertical="center" wrapText="1"/>
    </xf>
    <xf numFmtId="0" fontId="17" fillId="40" borderId="69" xfId="0" applyFont="1" applyFill="1" applyBorder="1" applyAlignment="1">
      <alignment horizontal="center" vertical="center" wrapText="1"/>
    </xf>
    <xf numFmtId="49" fontId="15" fillId="40" borderId="70" xfId="0" applyNumberFormat="1" applyFont="1" applyFill="1" applyBorder="1" applyAlignment="1">
      <alignment horizontal="center" vertical="center" wrapText="1"/>
    </xf>
    <xf numFmtId="20" fontId="15" fillId="40" borderId="70" xfId="0" applyNumberFormat="1" applyFont="1" applyFill="1" applyBorder="1" applyAlignment="1">
      <alignment horizontal="center" vertical="center" wrapText="1"/>
    </xf>
    <xf numFmtId="49" fontId="45" fillId="17" borderId="86" xfId="0" applyNumberFormat="1" applyFont="1" applyFill="1" applyBorder="1" applyAlignment="1">
      <alignment vertical="center" wrapText="1"/>
    </xf>
    <xf numFmtId="166" fontId="15" fillId="0" borderId="0" xfId="0" applyNumberFormat="1" applyFont="1" applyAlignment="1">
      <alignment vertical="center"/>
    </xf>
    <xf numFmtId="0" fontId="45" fillId="16" borderId="50" xfId="0" applyFont="1" applyFill="1" applyBorder="1" applyAlignment="1">
      <alignment horizontal="center" vertical="center" wrapText="1"/>
    </xf>
    <xf numFmtId="0" fontId="45" fillId="16" borderId="34" xfId="0" applyFont="1" applyFill="1" applyBorder="1" applyAlignment="1">
      <alignment horizontal="center" vertical="center" wrapText="1"/>
    </xf>
    <xf numFmtId="0" fontId="45" fillId="16" borderId="16" xfId="0" applyFont="1" applyFill="1" applyBorder="1" applyAlignment="1">
      <alignment vertical="center" wrapText="1"/>
    </xf>
    <xf numFmtId="164" fontId="45" fillId="16" borderId="16" xfId="0" applyNumberFormat="1" applyFont="1" applyFill="1" applyBorder="1" applyAlignment="1">
      <alignment horizontal="center" vertical="center" wrapText="1"/>
    </xf>
    <xf numFmtId="0" fontId="45" fillId="16" borderId="16" xfId="0" applyFont="1" applyFill="1" applyBorder="1" applyAlignment="1">
      <alignment horizontal="center" vertical="center" wrapText="1"/>
    </xf>
    <xf numFmtId="49" fontId="45" fillId="16" borderId="16" xfId="0" applyNumberFormat="1" applyFont="1" applyFill="1" applyBorder="1" applyAlignment="1">
      <alignment horizontal="left" vertical="center" wrapText="1"/>
    </xf>
    <xf numFmtId="49" fontId="45" fillId="16" borderId="17" xfId="0" applyNumberFormat="1" applyFont="1" applyFill="1" applyBorder="1" applyAlignment="1">
      <alignment horizontal="center" vertical="center" wrapText="1"/>
    </xf>
    <xf numFmtId="49" fontId="45" fillId="17" borderId="24" xfId="0" applyNumberFormat="1" applyFont="1" applyFill="1" applyBorder="1" applyAlignment="1">
      <alignment vertical="center" wrapText="1"/>
    </xf>
    <xf numFmtId="0" fontId="45" fillId="16" borderId="83" xfId="0" applyFont="1" applyFill="1" applyBorder="1" applyAlignment="1">
      <alignment horizontal="center" vertical="center" wrapText="1"/>
    </xf>
    <xf numFmtId="0" fontId="15" fillId="17" borderId="79" xfId="0" applyFont="1" applyFill="1" applyBorder="1" applyAlignment="1">
      <alignment horizontal="center" vertical="center" wrapText="1"/>
    </xf>
    <xf numFmtId="0" fontId="15" fillId="16" borderId="38" xfId="0" applyFont="1" applyFill="1" applyBorder="1" applyAlignment="1">
      <alignment horizontal="center" vertical="center" wrapText="1"/>
    </xf>
    <xf numFmtId="0" fontId="15" fillId="16" borderId="49" xfId="0" applyFont="1" applyFill="1" applyBorder="1" applyAlignment="1">
      <alignment horizontal="center" vertical="center" wrapText="1"/>
    </xf>
    <xf numFmtId="0" fontId="15" fillId="16" borderId="67" xfId="0" applyFont="1" applyFill="1" applyBorder="1" applyAlignment="1">
      <alignment horizontal="center" vertical="center" wrapText="1"/>
    </xf>
    <xf numFmtId="0" fontId="15" fillId="17" borderId="84" xfId="0" applyFont="1" applyFill="1" applyBorder="1" applyAlignment="1">
      <alignment horizontal="center" vertical="center" wrapText="1"/>
    </xf>
    <xf numFmtId="0" fontId="15" fillId="17" borderId="75" xfId="0" applyFont="1" applyFill="1" applyBorder="1" applyAlignment="1">
      <alignment horizontal="center" vertical="center" wrapText="1"/>
    </xf>
    <xf numFmtId="0" fontId="15" fillId="17" borderId="82" xfId="0" applyFont="1" applyFill="1" applyBorder="1" applyAlignment="1">
      <alignment horizontal="center" vertical="center" wrapText="1"/>
    </xf>
    <xf numFmtId="0" fontId="15" fillId="16" borderId="84" xfId="0" applyFont="1" applyFill="1" applyBorder="1" applyAlignment="1">
      <alignment horizontal="center" vertical="center" wrapText="1"/>
    </xf>
    <xf numFmtId="0" fontId="15" fillId="16" borderId="75" xfId="0" applyFont="1" applyFill="1" applyBorder="1" applyAlignment="1">
      <alignment horizontal="center" vertical="center" wrapText="1"/>
    </xf>
    <xf numFmtId="0" fontId="15" fillId="16" borderId="82" xfId="0" applyFont="1" applyFill="1" applyBorder="1" applyAlignment="1">
      <alignment horizontal="center" vertical="center" wrapText="1"/>
    </xf>
    <xf numFmtId="49" fontId="15" fillId="16" borderId="10" xfId="0" applyNumberFormat="1" applyFont="1" applyFill="1" applyBorder="1" applyAlignment="1">
      <alignment horizontal="center" vertical="center" wrapText="1"/>
    </xf>
    <xf numFmtId="49" fontId="15" fillId="16" borderId="24" xfId="0" applyNumberFormat="1" applyFont="1" applyFill="1" applyBorder="1" applyAlignment="1">
      <alignment horizontal="center" vertical="center" wrapText="1"/>
    </xf>
    <xf numFmtId="49" fontId="15" fillId="16" borderId="69" xfId="0" applyNumberFormat="1" applyFont="1" applyFill="1" applyBorder="1" applyAlignment="1">
      <alignment horizontal="center" vertical="center" wrapText="1"/>
    </xf>
    <xf numFmtId="0" fontId="15" fillId="17" borderId="38" xfId="0" applyFont="1" applyFill="1" applyBorder="1" applyAlignment="1">
      <alignment horizontal="center" vertical="center" wrapText="1"/>
    </xf>
    <xf numFmtId="0" fontId="15" fillId="17" borderId="49" xfId="0" applyFont="1" applyFill="1" applyBorder="1" applyAlignment="1">
      <alignment horizontal="center" vertical="center" wrapText="1"/>
    </xf>
    <xf numFmtId="0" fontId="15" fillId="17" borderId="67" xfId="0" applyFont="1" applyFill="1" applyBorder="1" applyAlignment="1">
      <alignment horizontal="center" vertical="center" wrapText="1"/>
    </xf>
    <xf numFmtId="49" fontId="15" fillId="17" borderId="24" xfId="0" applyNumberFormat="1" applyFont="1" applyFill="1" applyBorder="1" applyAlignment="1">
      <alignment horizontal="center" vertical="center" wrapText="1"/>
    </xf>
    <xf numFmtId="49" fontId="15" fillId="16" borderId="20" xfId="0" applyNumberFormat="1" applyFont="1" applyFill="1" applyBorder="1" applyAlignment="1">
      <alignment horizontal="left" vertical="center" wrapText="1"/>
    </xf>
    <xf numFmtId="49" fontId="15" fillId="16" borderId="71" xfId="0" applyNumberFormat="1" applyFont="1" applyFill="1" applyBorder="1" applyAlignment="1">
      <alignment horizontal="left" vertical="center" wrapText="1"/>
    </xf>
    <xf numFmtId="49" fontId="15" fillId="16" borderId="72" xfId="0" applyNumberFormat="1" applyFont="1" applyFill="1" applyBorder="1" applyAlignment="1">
      <alignment horizontal="left" vertical="center" wrapText="1"/>
    </xf>
    <xf numFmtId="0" fontId="15" fillId="17" borderId="51" xfId="0" applyFont="1" applyFill="1" applyBorder="1" applyAlignment="1">
      <alignment horizontal="center" vertical="center" wrapText="1"/>
    </xf>
    <xf numFmtId="0" fontId="15" fillId="17" borderId="73" xfId="0" applyFont="1" applyFill="1" applyBorder="1" applyAlignment="1">
      <alignment horizontal="center" vertical="center" wrapText="1"/>
    </xf>
    <xf numFmtId="49" fontId="15" fillId="17" borderId="69" xfId="0" applyNumberFormat="1" applyFont="1" applyFill="1" applyBorder="1" applyAlignment="1">
      <alignment horizontal="center" vertical="center" wrapText="1"/>
    </xf>
    <xf numFmtId="49" fontId="15" fillId="17" borderId="10" xfId="0" applyNumberFormat="1" applyFont="1" applyFill="1" applyBorder="1" applyAlignment="1">
      <alignment horizontal="center" vertical="center" wrapText="1"/>
    </xf>
    <xf numFmtId="49" fontId="15" fillId="16" borderId="86" xfId="0" applyNumberFormat="1" applyFont="1" applyFill="1" applyBorder="1" applyAlignment="1">
      <alignment horizontal="left" vertical="center" wrapText="1"/>
    </xf>
    <xf numFmtId="0" fontId="15" fillId="40" borderId="38" xfId="0" applyFont="1" applyFill="1" applyBorder="1" applyAlignment="1">
      <alignment horizontal="center" vertical="center" wrapText="1"/>
    </xf>
    <xf numFmtId="0" fontId="15" fillId="40" borderId="67" xfId="0" applyFont="1" applyFill="1" applyBorder="1" applyAlignment="1">
      <alignment horizontal="center" vertical="center" wrapText="1"/>
    </xf>
    <xf numFmtId="49" fontId="15" fillId="0" borderId="29" xfId="0" applyNumberFormat="1" applyFont="1" applyBorder="1" applyAlignment="1">
      <alignment horizontal="center" vertical="center" wrapText="1"/>
    </xf>
    <xf numFmtId="49" fontId="15" fillId="0" borderId="16" xfId="0" applyNumberFormat="1" applyFont="1" applyBorder="1" applyAlignment="1">
      <alignment horizontal="center" vertical="center" wrapText="1"/>
    </xf>
    <xf numFmtId="0" fontId="15" fillId="17" borderId="89" xfId="0" applyFont="1" applyFill="1" applyBorder="1" applyAlignment="1">
      <alignment horizontal="center" vertical="center" wrapText="1"/>
    </xf>
    <xf numFmtId="0" fontId="15" fillId="41" borderId="38" xfId="0" applyFont="1" applyFill="1" applyBorder="1" applyAlignment="1">
      <alignment horizontal="center" vertical="center" wrapText="1"/>
    </xf>
    <xf numFmtId="0" fontId="15" fillId="41" borderId="49" xfId="0" applyFont="1" applyFill="1" applyBorder="1" applyAlignment="1">
      <alignment horizontal="center" vertical="center" wrapText="1"/>
    </xf>
    <xf numFmtId="0" fontId="15" fillId="41" borderId="67" xfId="0" applyFont="1" applyFill="1" applyBorder="1" applyAlignment="1">
      <alignment horizontal="center" vertical="center" wrapText="1"/>
    </xf>
    <xf numFmtId="0" fontId="15" fillId="16" borderId="74" xfId="0" applyFont="1" applyFill="1" applyBorder="1" applyAlignment="1">
      <alignment horizontal="center" vertical="center" wrapText="1"/>
    </xf>
    <xf numFmtId="0" fontId="15" fillId="16" borderId="76" xfId="0" applyFont="1" applyFill="1" applyBorder="1" applyAlignment="1">
      <alignment horizontal="center" vertical="center" wrapText="1"/>
    </xf>
    <xf numFmtId="0" fontId="15" fillId="16" borderId="51" xfId="0" applyFont="1" applyFill="1" applyBorder="1" applyAlignment="1">
      <alignment horizontal="center" vertical="center" wrapText="1"/>
    </xf>
    <xf numFmtId="0" fontId="15" fillId="16" borderId="73" xfId="0" applyFont="1" applyFill="1" applyBorder="1" applyAlignment="1">
      <alignment horizontal="center" vertical="center" wrapText="1"/>
    </xf>
    <xf numFmtId="0" fontId="15" fillId="7" borderId="9" xfId="0" applyFont="1" applyFill="1" applyBorder="1" applyAlignment="1">
      <alignment horizontal="center" vertical="center" wrapText="1"/>
    </xf>
    <xf numFmtId="0" fontId="15" fillId="6" borderId="9" xfId="0" applyFont="1" applyFill="1" applyBorder="1" applyAlignment="1">
      <alignment horizontal="center" vertical="center" wrapText="1"/>
    </xf>
    <xf numFmtId="49" fontId="15" fillId="7" borderId="13" xfId="0" applyNumberFormat="1" applyFont="1" applyFill="1" applyBorder="1" applyAlignment="1">
      <alignment horizontal="center" vertical="center" wrapText="1"/>
    </xf>
    <xf numFmtId="49" fontId="15" fillId="6" borderId="13" xfId="0" applyNumberFormat="1" applyFont="1" applyFill="1" applyBorder="1" applyAlignment="1">
      <alignment horizontal="center" vertical="center" wrapText="1"/>
    </xf>
    <xf numFmtId="49" fontId="20" fillId="6" borderId="13" xfId="0" applyNumberFormat="1" applyFont="1" applyFill="1" applyBorder="1" applyAlignment="1">
      <alignment horizontal="center" vertical="center" wrapText="1"/>
    </xf>
    <xf numFmtId="0" fontId="15" fillId="6" borderId="38" xfId="0" applyFont="1" applyFill="1" applyBorder="1" applyAlignment="1">
      <alignment horizontal="center" vertical="center" wrapText="1"/>
    </xf>
    <xf numFmtId="0" fontId="15" fillId="7" borderId="38" xfId="0" applyFont="1" applyFill="1" applyBorder="1" applyAlignment="1">
      <alignment horizontal="center" vertical="center" wrapText="1"/>
    </xf>
    <xf numFmtId="0" fontId="15" fillId="7" borderId="43" xfId="0" applyFont="1" applyFill="1" applyBorder="1" applyAlignment="1">
      <alignment horizontal="center" vertical="center" wrapText="1"/>
    </xf>
    <xf numFmtId="0" fontId="15" fillId="6" borderId="43" xfId="0" applyFont="1" applyFill="1" applyBorder="1" applyAlignment="1">
      <alignment horizontal="center" vertical="center" wrapText="1"/>
    </xf>
    <xf numFmtId="0" fontId="15" fillId="7" borderId="49" xfId="0" applyFont="1" applyFill="1" applyBorder="1" applyAlignment="1">
      <alignment horizontal="center" vertical="center" wrapText="1"/>
    </xf>
    <xf numFmtId="0" fontId="15" fillId="6" borderId="49" xfId="0" applyFont="1" applyFill="1" applyBorder="1" applyAlignment="1">
      <alignment horizontal="center" vertical="center" wrapText="1"/>
    </xf>
    <xf numFmtId="49" fontId="15" fillId="7" borderId="13" xfId="0" applyNumberFormat="1" applyFont="1" applyFill="1" applyBorder="1" applyAlignment="1">
      <alignment horizontal="left" vertical="center" wrapText="1"/>
    </xf>
    <xf numFmtId="0" fontId="15" fillId="7" borderId="12" xfId="0" applyFont="1" applyFill="1" applyBorder="1" applyAlignment="1">
      <alignment horizontal="center" vertical="center" wrapText="1"/>
    </xf>
    <xf numFmtId="0" fontId="15" fillId="7" borderId="26" xfId="0" applyFont="1" applyFill="1" applyBorder="1" applyAlignment="1">
      <alignment horizontal="center" vertical="center" wrapText="1"/>
    </xf>
    <xf numFmtId="0" fontId="15" fillId="6" borderId="12" xfId="0" applyFont="1" applyFill="1" applyBorder="1" applyAlignment="1">
      <alignment horizontal="center" vertical="center" wrapText="1"/>
    </xf>
    <xf numFmtId="0" fontId="15" fillId="6" borderId="31" xfId="0" applyFont="1" applyFill="1" applyBorder="1" applyAlignment="1">
      <alignment horizontal="center" vertical="center" wrapText="1"/>
    </xf>
    <xf numFmtId="49" fontId="15" fillId="6" borderId="13" xfId="0" applyNumberFormat="1" applyFont="1" applyFill="1" applyBorder="1" applyAlignment="1">
      <alignment horizontal="left" vertical="center" wrapText="1"/>
    </xf>
    <xf numFmtId="0" fontId="18" fillId="5" borderId="9" xfId="0" applyFont="1" applyFill="1" applyBorder="1" applyAlignment="1">
      <alignment horizontal="center" vertical="center" wrapText="1"/>
    </xf>
    <xf numFmtId="0" fontId="15" fillId="6" borderId="15" xfId="0" applyFont="1" applyFill="1" applyBorder="1" applyAlignment="1">
      <alignment horizontal="center" vertical="center" wrapText="1"/>
    </xf>
    <xf numFmtId="0" fontId="19" fillId="8" borderId="14" xfId="0" applyFont="1" applyFill="1" applyBorder="1" applyAlignment="1">
      <alignment horizontal="center" vertical="center" wrapText="1"/>
    </xf>
    <xf numFmtId="0" fontId="15" fillId="7" borderId="28" xfId="0" applyFont="1" applyFill="1" applyBorder="1" applyAlignment="1">
      <alignment horizontal="center" vertical="center" wrapText="1"/>
    </xf>
    <xf numFmtId="49" fontId="15" fillId="7" borderId="14" xfId="0" applyNumberFormat="1" applyFont="1" applyFill="1" applyBorder="1" applyAlignment="1">
      <alignment horizontal="center" vertical="center" wrapText="1"/>
    </xf>
    <xf numFmtId="49" fontId="15" fillId="6" borderId="22" xfId="0" applyNumberFormat="1" applyFont="1" applyFill="1" applyBorder="1" applyAlignment="1">
      <alignment horizontal="center" vertical="center" wrapText="1"/>
    </xf>
    <xf numFmtId="49" fontId="15" fillId="10" borderId="9" xfId="0" applyNumberFormat="1" applyFont="1" applyFill="1" applyBorder="1" applyAlignment="1">
      <alignment horizontal="center" vertical="center" wrapText="1"/>
    </xf>
    <xf numFmtId="49" fontId="15" fillId="7" borderId="21" xfId="0" applyNumberFormat="1" applyFont="1" applyFill="1" applyBorder="1" applyAlignment="1">
      <alignment horizontal="center" vertical="center" wrapText="1"/>
    </xf>
    <xf numFmtId="0" fontId="15" fillId="15" borderId="9" xfId="0" applyFont="1" applyFill="1" applyBorder="1" applyAlignment="1">
      <alignment horizontal="center" vertical="center" wrapText="1"/>
    </xf>
    <xf numFmtId="49" fontId="15" fillId="15" borderId="13" xfId="0" applyNumberFormat="1" applyFont="1" applyFill="1" applyBorder="1" applyAlignment="1">
      <alignment horizontal="center" vertical="center" wrapText="1"/>
    </xf>
    <xf numFmtId="49" fontId="15" fillId="15" borderId="14" xfId="0" applyNumberFormat="1" applyFont="1" applyFill="1" applyBorder="1" applyAlignment="1">
      <alignment horizontal="center" vertical="center" wrapText="1"/>
    </xf>
    <xf numFmtId="49" fontId="15" fillId="6" borderId="14" xfId="0" applyNumberFormat="1" applyFont="1" applyFill="1" applyBorder="1" applyAlignment="1">
      <alignment horizontal="center" vertical="center" wrapText="1"/>
    </xf>
    <xf numFmtId="0" fontId="15" fillId="9" borderId="38" xfId="0" applyFont="1" applyFill="1" applyBorder="1" applyAlignment="1">
      <alignment horizontal="center" vertical="center" wrapText="1"/>
    </xf>
    <xf numFmtId="49" fontId="15" fillId="9" borderId="10" xfId="0" applyNumberFormat="1" applyFont="1" applyFill="1" applyBorder="1" applyAlignment="1">
      <alignment horizontal="center" vertical="center" wrapText="1"/>
    </xf>
    <xf numFmtId="49" fontId="15" fillId="6" borderId="10" xfId="0" applyNumberFormat="1" applyFont="1" applyFill="1" applyBorder="1" applyAlignment="1">
      <alignment horizontal="center" vertical="center" wrapText="1"/>
    </xf>
    <xf numFmtId="0" fontId="15" fillId="7" borderId="31" xfId="0" applyFont="1" applyFill="1" applyBorder="1" applyAlignment="1">
      <alignment horizontal="center" vertical="center" wrapText="1"/>
    </xf>
    <xf numFmtId="49" fontId="15" fillId="7" borderId="10" xfId="0" applyNumberFormat="1" applyFont="1" applyFill="1" applyBorder="1" applyAlignment="1">
      <alignment horizontal="center" vertical="center" wrapText="1"/>
    </xf>
    <xf numFmtId="0" fontId="15" fillId="17" borderId="43" xfId="0" applyFont="1" applyFill="1" applyBorder="1" applyAlignment="1">
      <alignment horizontal="center" vertical="center" wrapText="1"/>
    </xf>
    <xf numFmtId="0" fontId="15" fillId="16" borderId="43" xfId="0" applyFont="1" applyFill="1" applyBorder="1" applyAlignment="1">
      <alignment horizontal="center" vertical="center" wrapText="1"/>
    </xf>
    <xf numFmtId="49" fontId="15" fillId="16" borderId="11" xfId="0" applyNumberFormat="1" applyFont="1" applyFill="1" applyBorder="1" applyAlignment="1">
      <alignment horizontal="center" vertical="center" wrapText="1"/>
    </xf>
    <xf numFmtId="49" fontId="15" fillId="17" borderId="11" xfId="0" applyNumberFormat="1" applyFont="1" applyFill="1" applyBorder="1" applyAlignment="1">
      <alignment horizontal="center" vertical="center" wrapText="1"/>
    </xf>
    <xf numFmtId="0" fontId="15" fillId="17" borderId="53" xfId="0" applyFont="1" applyFill="1" applyBorder="1" applyAlignment="1">
      <alignment horizontal="center" vertical="center" wrapText="1"/>
    </xf>
    <xf numFmtId="0" fontId="15" fillId="17" borderId="54" xfId="0" applyFont="1" applyFill="1" applyBorder="1" applyAlignment="1">
      <alignment horizontal="center" vertical="center" wrapText="1"/>
    </xf>
    <xf numFmtId="49" fontId="15" fillId="16" borderId="16" xfId="0" applyNumberFormat="1" applyFont="1" applyFill="1" applyBorder="1" applyAlignment="1">
      <alignment horizontal="center" vertical="center" wrapText="1"/>
    </xf>
    <xf numFmtId="49" fontId="15" fillId="41" borderId="71" xfId="0" applyNumberFormat="1" applyFont="1" applyFill="1" applyBorder="1" applyAlignment="1">
      <alignment horizontal="center" vertical="center" wrapText="1"/>
    </xf>
    <xf numFmtId="49" fontId="15" fillId="41" borderId="72" xfId="0" applyNumberFormat="1" applyFont="1" applyFill="1" applyBorder="1" applyAlignment="1">
      <alignment horizontal="center" vertical="center" wrapText="1"/>
    </xf>
    <xf numFmtId="49" fontId="15" fillId="17" borderId="10" xfId="0" applyNumberFormat="1" applyFont="1" applyFill="1" applyBorder="1" applyAlignment="1">
      <alignment horizontal="left" vertical="center" wrapText="1"/>
    </xf>
    <xf numFmtId="49" fontId="15" fillId="17" borderId="69" xfId="0" applyNumberFormat="1" applyFont="1" applyFill="1" applyBorder="1" applyAlignment="1">
      <alignment horizontal="left" vertical="center" wrapText="1"/>
    </xf>
  </cellXfs>
  <cellStyles count="146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2 4" xfId="144" xr:uid="{AB1310C2-EE7E-4EDF-A7F2-36AEA64BCCE0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3 4" xfId="145" xr:uid="{408A3835-B4D5-419D-9013-D1621E74915D}"/>
    <cellStyle name="Обычный 3 4" xfId="82" xr:uid="{00000000-0005-0000-0000-000077000000}"/>
    <cellStyle name="Обычный 3 5" xfId="133" xr:uid="{00000000-0005-0000-0000-000078000000}"/>
    <cellStyle name="Обычный 3 6" xfId="143" xr:uid="{C794D6E2-6D29-4051-BD7E-C4D3C64547C2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3" xfId="91" xr:uid="{00000000-0005-0000-0000-000084000000}"/>
    <cellStyle name="Примечание 2 4" xfId="138" xr:uid="{00000000-0005-0000-0000-000085000000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7045"/>
  <sheetViews>
    <sheetView tabSelected="1" zoomScale="80" zoomScaleNormal="80" workbookViewId="0">
      <pane ySplit="2" topLeftCell="A7018" activePane="bottomLeft" state="frozen"/>
      <selection pane="bottomLeft" activeCell="L7035" sqref="L7035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20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6.42578125" style="6" customWidth="1"/>
    <col min="10" max="10" width="17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19.28515625" style="897" customWidth="1"/>
    <col min="16" max="16" width="75.28515625" style="867" customWidth="1"/>
    <col min="17" max="17" width="17.42578125" style="847" customWidth="1"/>
    <col min="18" max="18" width="17.42578125" style="833" customWidth="1"/>
    <col min="19" max="1021" width="9.140625" style="2"/>
  </cols>
  <sheetData>
    <row r="1" spans="1:18" ht="19.5" customHeight="1" thickBot="1" x14ac:dyDescent="0.3">
      <c r="A1" s="1007" t="s">
        <v>0</v>
      </c>
      <c r="B1" s="1007"/>
      <c r="C1" s="1007"/>
      <c r="D1" s="1007"/>
      <c r="E1" s="1007"/>
      <c r="F1" s="1007"/>
      <c r="G1" s="1007"/>
      <c r="H1" s="1007"/>
      <c r="I1" s="1007"/>
      <c r="J1" s="1007"/>
      <c r="K1" s="8"/>
      <c r="L1" s="9"/>
      <c r="M1" s="9"/>
      <c r="N1" s="9"/>
      <c r="O1" s="896"/>
      <c r="P1" s="9"/>
      <c r="Q1" s="18"/>
      <c r="R1" s="18"/>
    </row>
    <row r="2" spans="1:18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  <c r="O2" s="896" t="s">
        <v>1863</v>
      </c>
      <c r="P2" s="18" t="s">
        <v>1862</v>
      </c>
      <c r="Q2" s="18" t="s">
        <v>1862</v>
      </c>
      <c r="R2" s="18" t="s">
        <v>1862</v>
      </c>
    </row>
    <row r="3" spans="1:18" ht="19.5" hidden="1" customHeight="1" thickBot="1" x14ac:dyDescent="0.3">
      <c r="A3" s="1008">
        <v>1</v>
      </c>
      <c r="B3" s="1008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34" si="0">RIGHT(H3,5)</f>
        <v>07,23</v>
      </c>
      <c r="L3" s="23"/>
      <c r="M3" s="23"/>
      <c r="N3" s="23"/>
      <c r="O3" s="2"/>
      <c r="P3" s="2"/>
      <c r="Q3" s="2"/>
      <c r="R3" s="2"/>
    </row>
    <row r="4" spans="1:18" ht="19.5" hidden="1" thickBot="1" x14ac:dyDescent="0.3">
      <c r="A4" s="1008"/>
      <c r="B4" s="1008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  <c r="Q4" s="2"/>
      <c r="R4" s="2"/>
    </row>
    <row r="5" spans="1:18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  <c r="Q5" s="2"/>
      <c r="R5" s="2"/>
    </row>
    <row r="6" spans="1:18" ht="19.5" hidden="1" customHeight="1" thickBot="1" x14ac:dyDescent="0.3">
      <c r="A6" s="1004">
        <v>3</v>
      </c>
      <c r="B6" s="1004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  <c r="Q6" s="2"/>
      <c r="R6" s="2"/>
    </row>
    <row r="7" spans="1:18" ht="19.5" hidden="1" thickBot="1" x14ac:dyDescent="0.3">
      <c r="A7" s="1004"/>
      <c r="B7" s="1004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  <c r="Q7" s="2"/>
      <c r="R7" s="2"/>
    </row>
    <row r="8" spans="1:18" ht="19.5" hidden="1" thickBot="1" x14ac:dyDescent="0.3">
      <c r="A8" s="1004"/>
      <c r="B8" s="1004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  <c r="Q8" s="2"/>
      <c r="R8" s="2"/>
    </row>
    <row r="9" spans="1:18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  <c r="Q9" s="2"/>
      <c r="R9" s="2"/>
    </row>
    <row r="10" spans="1:18" ht="19.5" hidden="1" customHeight="1" thickBot="1" x14ac:dyDescent="0.3">
      <c r="A10" s="1004">
        <v>5</v>
      </c>
      <c r="B10" s="1004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  <c r="Q10" s="2"/>
      <c r="R10" s="2"/>
    </row>
    <row r="11" spans="1:18" ht="19.5" hidden="1" thickBot="1" x14ac:dyDescent="0.3">
      <c r="A11" s="1004"/>
      <c r="B11" s="1004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  <c r="Q11" s="2"/>
      <c r="R11" s="2"/>
    </row>
    <row r="12" spans="1:18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  <c r="Q12" s="2"/>
      <c r="R12" s="2"/>
    </row>
    <row r="13" spans="1:18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  <c r="Q13" s="2"/>
      <c r="R13" s="2"/>
    </row>
    <row r="14" spans="1:18" ht="19.5" hidden="1" customHeight="1" thickBot="1" x14ac:dyDescent="0.3">
      <c r="A14" s="1002">
        <v>8</v>
      </c>
      <c r="B14" s="1002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  <c r="Q14" s="2"/>
      <c r="R14" s="2"/>
    </row>
    <row r="15" spans="1:18" ht="19.5" hidden="1" thickBot="1" x14ac:dyDescent="0.3">
      <c r="A15" s="1002"/>
      <c r="B15" s="1002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  <c r="Q15" s="2"/>
      <c r="R15" s="2"/>
    </row>
    <row r="16" spans="1:18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  <c r="Q16" s="2"/>
      <c r="R16" s="2"/>
    </row>
    <row r="17" spans="1:18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  <c r="Q17" s="2"/>
      <c r="R17" s="2"/>
    </row>
    <row r="18" spans="1:18" ht="19.5" hidden="1" customHeight="1" thickBot="1" x14ac:dyDescent="0.3">
      <c r="A18" s="1004">
        <v>11</v>
      </c>
      <c r="B18" s="1004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  <c r="Q18" s="2"/>
      <c r="R18" s="2"/>
    </row>
    <row r="19" spans="1:18" ht="19.5" hidden="1" thickBot="1" x14ac:dyDescent="0.3">
      <c r="A19" s="1004"/>
      <c r="B19" s="1004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  <c r="Q19" s="2"/>
      <c r="R19" s="2"/>
    </row>
    <row r="20" spans="1:18" ht="19.5" hidden="1" thickBot="1" x14ac:dyDescent="0.3">
      <c r="A20" s="1004"/>
      <c r="B20" s="1004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  <c r="Q20" s="2"/>
      <c r="R20" s="2"/>
    </row>
    <row r="21" spans="1:18" ht="19.5" hidden="1" thickBot="1" x14ac:dyDescent="0.3">
      <c r="A21" s="1004"/>
      <c r="B21" s="1004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  <c r="Q21" s="2"/>
      <c r="R21" s="2"/>
    </row>
    <row r="22" spans="1:18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  <c r="Q22" s="2"/>
      <c r="R22" s="2"/>
    </row>
    <row r="23" spans="1:18" ht="19.5" hidden="1" customHeight="1" thickBot="1" x14ac:dyDescent="0.3">
      <c r="A23" s="1004">
        <v>13</v>
      </c>
      <c r="B23" s="1004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  <c r="Q23" s="2"/>
      <c r="R23" s="2"/>
    </row>
    <row r="24" spans="1:18" ht="19.5" hidden="1" thickBot="1" x14ac:dyDescent="0.3">
      <c r="A24" s="1004"/>
      <c r="B24" s="1004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  <c r="Q24" s="2"/>
      <c r="R24" s="2"/>
    </row>
    <row r="25" spans="1:18" ht="19.5" hidden="1" customHeight="1" thickBot="1" x14ac:dyDescent="0.3">
      <c r="A25" s="1002">
        <v>14</v>
      </c>
      <c r="B25" s="1002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  <c r="Q25" s="2"/>
      <c r="R25" s="2"/>
    </row>
    <row r="26" spans="1:18" ht="19.5" hidden="1" thickBot="1" x14ac:dyDescent="0.3">
      <c r="A26" s="1002"/>
      <c r="B26" s="1002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  <c r="Q26" s="2"/>
      <c r="R26" s="2"/>
    </row>
    <row r="27" spans="1:18" ht="19.5" hidden="1" customHeight="1" thickBot="1" x14ac:dyDescent="0.3">
      <c r="A27" s="1004">
        <v>15</v>
      </c>
      <c r="B27" s="1004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  <c r="Q27" s="2"/>
      <c r="R27" s="2"/>
    </row>
    <row r="28" spans="1:18" ht="19.5" hidden="1" thickBot="1" x14ac:dyDescent="0.3">
      <c r="A28" s="1004"/>
      <c r="B28" s="1004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  <c r="Q28" s="2"/>
      <c r="R28" s="2"/>
    </row>
    <row r="29" spans="1:18" ht="19.5" hidden="1" thickBot="1" x14ac:dyDescent="0.3">
      <c r="A29" s="1004"/>
      <c r="B29" s="1004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  <c r="Q29" s="2"/>
      <c r="R29" s="2"/>
    </row>
    <row r="30" spans="1:18" ht="19.5" hidden="1" thickBot="1" x14ac:dyDescent="0.3">
      <c r="A30" s="1004"/>
      <c r="B30" s="1004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  <c r="Q30" s="2"/>
      <c r="R30" s="2"/>
    </row>
    <row r="31" spans="1:18" ht="19.5" hidden="1" customHeight="1" thickBot="1" x14ac:dyDescent="0.3">
      <c r="A31" s="1002">
        <v>16</v>
      </c>
      <c r="B31" s="1002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  <c r="Q31" s="2"/>
      <c r="R31" s="2"/>
    </row>
    <row r="32" spans="1:18" ht="19.5" hidden="1" thickBot="1" x14ac:dyDescent="0.3">
      <c r="A32" s="1002"/>
      <c r="B32" s="1002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  <c r="Q32" s="2"/>
      <c r="R32" s="2"/>
    </row>
    <row r="33" spans="1:18" ht="19.5" hidden="1" thickBot="1" x14ac:dyDescent="0.3">
      <c r="A33" s="1002"/>
      <c r="B33" s="1002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  <c r="Q33" s="2"/>
      <c r="R33" s="2"/>
    </row>
    <row r="34" spans="1:18" ht="19.5" hidden="1" thickBot="1" x14ac:dyDescent="0.3">
      <c r="A34" s="1002"/>
      <c r="B34" s="1002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  <c r="Q34" s="2"/>
      <c r="R34" s="2"/>
    </row>
    <row r="35" spans="1:18" ht="19.5" hidden="1" customHeight="1" thickBot="1" x14ac:dyDescent="0.3">
      <c r="A35" s="1004">
        <v>17</v>
      </c>
      <c r="B35" s="1004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ref="K35:K66" si="1">RIGHT(H35,5)</f>
        <v>07,23</v>
      </c>
      <c r="L35" s="48"/>
      <c r="M35" s="48"/>
      <c r="N35" s="48"/>
      <c r="O35" s="2"/>
      <c r="P35" s="2"/>
      <c r="Q35" s="2"/>
      <c r="R35" s="2"/>
    </row>
    <row r="36" spans="1:18" ht="19.5" hidden="1" thickBot="1" x14ac:dyDescent="0.3">
      <c r="A36" s="1004"/>
      <c r="B36" s="1004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1"/>
        <v>07,23</v>
      </c>
      <c r="L36" s="71"/>
      <c r="M36" s="71"/>
      <c r="N36" s="71"/>
      <c r="O36" s="2"/>
      <c r="P36" s="2"/>
      <c r="Q36" s="2"/>
      <c r="R36" s="2"/>
    </row>
    <row r="37" spans="1:18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1"/>
        <v>07,23</v>
      </c>
      <c r="L37" s="40"/>
      <c r="M37" s="40"/>
      <c r="N37" s="40"/>
      <c r="O37" s="2"/>
      <c r="P37" s="2"/>
      <c r="Q37" s="2"/>
      <c r="R37" s="2"/>
    </row>
    <row r="38" spans="1:18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1"/>
        <v>07,23</v>
      </c>
      <c r="L38" s="75"/>
      <c r="M38" s="75"/>
      <c r="N38" s="75"/>
      <c r="O38" s="2"/>
      <c r="P38" s="2"/>
      <c r="Q38" s="2"/>
      <c r="R38" s="2"/>
    </row>
    <row r="39" spans="1:18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1"/>
        <v>07,23</v>
      </c>
      <c r="L39" s="40"/>
      <c r="M39" s="40"/>
      <c r="N39" s="40"/>
      <c r="O39" s="2"/>
      <c r="P39" s="2"/>
      <c r="Q39" s="2"/>
      <c r="R39" s="2"/>
    </row>
    <row r="40" spans="1:18" ht="19.5" hidden="1" customHeight="1" thickBot="1" x14ac:dyDescent="0.3">
      <c r="A40" s="1004">
        <v>21</v>
      </c>
      <c r="B40" s="1004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1"/>
        <v>07,23</v>
      </c>
      <c r="L40" s="48"/>
      <c r="M40" s="48"/>
      <c r="N40" s="48"/>
      <c r="O40" s="2"/>
      <c r="P40" s="2"/>
      <c r="Q40" s="2"/>
      <c r="R40" s="2"/>
    </row>
    <row r="41" spans="1:18" ht="19.5" hidden="1" thickBot="1" x14ac:dyDescent="0.3">
      <c r="A41" s="1004"/>
      <c r="B41" s="1004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1"/>
        <v>07,23</v>
      </c>
      <c r="L41" s="71"/>
      <c r="M41" s="71"/>
      <c r="N41" s="71"/>
      <c r="O41" s="2"/>
      <c r="P41" s="2"/>
      <c r="Q41" s="2"/>
      <c r="R41" s="2"/>
    </row>
    <row r="42" spans="1:18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1"/>
        <v>07,23</v>
      </c>
      <c r="L42" s="40"/>
      <c r="M42" s="40"/>
      <c r="N42" s="40"/>
      <c r="O42" s="2"/>
      <c r="P42" s="2"/>
      <c r="Q42" s="2"/>
      <c r="R42" s="2"/>
    </row>
    <row r="43" spans="1:18" ht="19.5" hidden="1" customHeight="1" thickBot="1" x14ac:dyDescent="0.3">
      <c r="A43" s="1004">
        <v>23</v>
      </c>
      <c r="B43" s="1004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1"/>
        <v>07,23</v>
      </c>
      <c r="L43" s="48"/>
      <c r="M43" s="48"/>
      <c r="N43" s="48"/>
      <c r="O43" s="2"/>
      <c r="P43" s="2"/>
      <c r="Q43" s="2"/>
      <c r="R43" s="2"/>
    </row>
    <row r="44" spans="1:18" ht="19.5" hidden="1" thickBot="1" x14ac:dyDescent="0.3">
      <c r="A44" s="1004"/>
      <c r="B44" s="1004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1"/>
        <v>07,23</v>
      </c>
      <c r="L44" s="23"/>
      <c r="M44" s="23"/>
      <c r="N44" s="23"/>
      <c r="O44" s="2"/>
      <c r="P44" s="2"/>
      <c r="Q44" s="2"/>
      <c r="R44" s="2"/>
    </row>
    <row r="45" spans="1:18" ht="19.5" hidden="1" thickBot="1" x14ac:dyDescent="0.3">
      <c r="A45" s="1004"/>
      <c r="B45" s="1004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1"/>
        <v>07,23</v>
      </c>
      <c r="L45" s="71"/>
      <c r="M45" s="71"/>
      <c r="N45" s="71"/>
      <c r="O45" s="2"/>
      <c r="P45" s="2"/>
      <c r="Q45" s="2"/>
      <c r="R45" s="2"/>
    </row>
    <row r="46" spans="1:18" ht="19.5" hidden="1" customHeight="1" thickBot="1" x14ac:dyDescent="0.3">
      <c r="A46" s="1002">
        <v>24</v>
      </c>
      <c r="B46" s="1002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1"/>
        <v>07,23</v>
      </c>
      <c r="L46" s="82"/>
      <c r="M46" s="82"/>
      <c r="N46" s="82"/>
      <c r="O46" s="2"/>
      <c r="P46" s="2"/>
      <c r="Q46" s="2"/>
      <c r="R46" s="2"/>
    </row>
    <row r="47" spans="1:18" ht="19.5" hidden="1" thickBot="1" x14ac:dyDescent="0.3">
      <c r="A47" s="1002"/>
      <c r="B47" s="1002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1"/>
        <v>07,23</v>
      </c>
      <c r="L47" s="90"/>
      <c r="M47" s="90"/>
      <c r="N47" s="90"/>
      <c r="O47" s="2"/>
      <c r="P47" s="2"/>
      <c r="Q47" s="2"/>
      <c r="R47" s="2"/>
    </row>
    <row r="48" spans="1:18" ht="19.5" hidden="1" customHeight="1" thickBot="1" x14ac:dyDescent="0.3">
      <c r="A48" s="1004">
        <v>25</v>
      </c>
      <c r="B48" s="1004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1"/>
        <v>07,23</v>
      </c>
      <c r="L48" s="48"/>
      <c r="M48" s="48"/>
      <c r="N48" s="48"/>
      <c r="O48" s="2"/>
      <c r="P48" s="2"/>
      <c r="Q48" s="2"/>
      <c r="R48" s="2"/>
    </row>
    <row r="49" spans="1:18" ht="19.5" hidden="1" thickBot="1" x14ac:dyDescent="0.3">
      <c r="A49" s="1004"/>
      <c r="B49" s="1004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1"/>
        <v>07,23</v>
      </c>
      <c r="L49" s="23"/>
      <c r="M49" s="23"/>
      <c r="N49" s="23"/>
      <c r="O49" s="2"/>
      <c r="P49" s="2"/>
      <c r="Q49" s="2"/>
      <c r="R49" s="2"/>
    </row>
    <row r="50" spans="1:18" ht="19.5" hidden="1" thickBot="1" x14ac:dyDescent="0.3">
      <c r="A50" s="1004"/>
      <c r="B50" s="1004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1"/>
        <v>07,23</v>
      </c>
      <c r="L50" s="71"/>
      <c r="M50" s="71"/>
      <c r="N50" s="71"/>
      <c r="O50" s="2"/>
      <c r="P50" s="2"/>
      <c r="Q50" s="2"/>
      <c r="R50" s="2"/>
    </row>
    <row r="51" spans="1:18" ht="19.5" hidden="1" customHeight="1" thickBot="1" x14ac:dyDescent="0.3">
      <c r="A51" s="1002">
        <v>26</v>
      </c>
      <c r="B51" s="1002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1"/>
        <v>07,23</v>
      </c>
      <c r="L51" s="82"/>
      <c r="M51" s="82"/>
      <c r="N51" s="82"/>
      <c r="O51" s="2"/>
      <c r="P51" s="2"/>
      <c r="Q51" s="2"/>
      <c r="R51" s="2"/>
    </row>
    <row r="52" spans="1:18" ht="19.5" hidden="1" thickBot="1" x14ac:dyDescent="0.3">
      <c r="A52" s="1002"/>
      <c r="B52" s="1002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1"/>
        <v>07,23</v>
      </c>
      <c r="L52" s="90"/>
      <c r="M52" s="90"/>
      <c r="N52" s="90"/>
      <c r="O52" s="2"/>
      <c r="P52" s="2"/>
      <c r="Q52" s="2"/>
      <c r="R52" s="2"/>
    </row>
    <row r="53" spans="1:18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1"/>
        <v>07,23</v>
      </c>
      <c r="L53" s="75"/>
      <c r="M53" s="75"/>
      <c r="N53" s="75"/>
      <c r="O53" s="2"/>
      <c r="P53" s="2"/>
      <c r="Q53" s="2"/>
      <c r="R53" s="2"/>
    </row>
    <row r="54" spans="1:18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1"/>
        <v>07,23</v>
      </c>
      <c r="L54" s="40"/>
      <c r="M54" s="40"/>
      <c r="N54" s="40"/>
      <c r="O54" s="2"/>
      <c r="P54" s="2"/>
      <c r="Q54" s="2"/>
      <c r="R54" s="2"/>
    </row>
    <row r="55" spans="1:18" ht="19.5" hidden="1" customHeight="1" thickBot="1" x14ac:dyDescent="0.3">
      <c r="A55" s="1004">
        <v>29</v>
      </c>
      <c r="B55" s="1004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1"/>
        <v>07,23</v>
      </c>
      <c r="L55" s="48"/>
      <c r="M55" s="48"/>
      <c r="N55" s="48"/>
      <c r="O55" s="2"/>
      <c r="P55" s="2"/>
      <c r="Q55" s="2"/>
      <c r="R55" s="2"/>
    </row>
    <row r="56" spans="1:18" ht="19.5" hidden="1" thickBot="1" x14ac:dyDescent="0.3">
      <c r="A56" s="1004"/>
      <c r="B56" s="1004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1"/>
        <v>07,23</v>
      </c>
      <c r="L56" s="31"/>
      <c r="M56" s="31"/>
      <c r="N56" s="31"/>
      <c r="O56" s="2"/>
      <c r="P56" s="2"/>
      <c r="Q56" s="2"/>
      <c r="R56" s="2"/>
    </row>
    <row r="57" spans="1:18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1"/>
        <v>07,23</v>
      </c>
      <c r="L57" s="40"/>
      <c r="M57" s="40"/>
      <c r="N57" s="40"/>
      <c r="O57" s="2"/>
      <c r="P57" s="2"/>
      <c r="Q57" s="2"/>
      <c r="R57" s="2"/>
    </row>
    <row r="58" spans="1:18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1"/>
        <v>07,23</v>
      </c>
      <c r="L58" s="75"/>
      <c r="M58" s="75"/>
      <c r="N58" s="75"/>
      <c r="O58" s="2"/>
      <c r="P58" s="2"/>
      <c r="Q58" s="2"/>
      <c r="R58" s="2"/>
    </row>
    <row r="59" spans="1:18" ht="19.5" hidden="1" customHeight="1" thickBot="1" x14ac:dyDescent="0.3">
      <c r="A59" s="1002">
        <v>32</v>
      </c>
      <c r="B59" s="1002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1"/>
        <v>07,23</v>
      </c>
      <c r="L59" s="82"/>
      <c r="M59" s="82"/>
      <c r="N59" s="82"/>
      <c r="O59" s="2"/>
      <c r="P59" s="2"/>
      <c r="Q59" s="2"/>
      <c r="R59" s="2"/>
    </row>
    <row r="60" spans="1:18" ht="19.5" hidden="1" thickBot="1" x14ac:dyDescent="0.3">
      <c r="A60" s="1002"/>
      <c r="B60" s="1002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1"/>
        <v>07,23</v>
      </c>
      <c r="L60" s="107"/>
      <c r="M60" s="107"/>
      <c r="N60" s="107"/>
      <c r="O60" s="2"/>
      <c r="P60" s="2"/>
      <c r="Q60" s="2"/>
      <c r="R60" s="2"/>
    </row>
    <row r="61" spans="1:18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1"/>
        <v>07,23</v>
      </c>
      <c r="L61" s="75"/>
      <c r="M61" s="75"/>
      <c r="N61" s="75"/>
      <c r="O61" s="2"/>
      <c r="P61" s="2"/>
      <c r="Q61" s="2"/>
      <c r="R61" s="2"/>
    </row>
    <row r="62" spans="1:18" ht="19.5" hidden="1" customHeight="1" thickBot="1" x14ac:dyDescent="0.3">
      <c r="A62" s="1002">
        <v>34</v>
      </c>
      <c r="B62" s="1002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1"/>
        <v>07,23</v>
      </c>
      <c r="L62" s="82"/>
      <c r="M62" s="82"/>
      <c r="N62" s="82"/>
      <c r="O62" s="2"/>
      <c r="P62" s="2"/>
      <c r="Q62" s="2"/>
      <c r="R62" s="2"/>
    </row>
    <row r="63" spans="1:18" ht="19.5" hidden="1" thickBot="1" x14ac:dyDescent="0.3">
      <c r="A63" s="1002"/>
      <c r="B63" s="1002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1"/>
        <v>07,23</v>
      </c>
      <c r="L63" s="109"/>
      <c r="M63" s="109"/>
      <c r="N63" s="109"/>
      <c r="O63" s="2"/>
      <c r="P63" s="2"/>
      <c r="Q63" s="2"/>
      <c r="R63" s="2"/>
    </row>
    <row r="64" spans="1:18" ht="19.5" hidden="1" thickBot="1" x14ac:dyDescent="0.3">
      <c r="A64" s="1002"/>
      <c r="B64" s="1002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1"/>
        <v>07,23</v>
      </c>
      <c r="L64" s="109"/>
      <c r="M64" s="109"/>
      <c r="N64" s="109"/>
      <c r="O64" s="2"/>
      <c r="P64" s="2"/>
      <c r="Q64" s="2"/>
      <c r="R64" s="2"/>
    </row>
    <row r="65" spans="1:18" ht="19.5" hidden="1" thickBot="1" x14ac:dyDescent="0.3">
      <c r="A65" s="1002"/>
      <c r="B65" s="1002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1"/>
        <v>07,23</v>
      </c>
      <c r="L65" s="109"/>
      <c r="M65" s="109"/>
      <c r="N65" s="109"/>
      <c r="O65" s="2"/>
      <c r="P65" s="2"/>
      <c r="Q65" s="2"/>
      <c r="R65" s="2"/>
    </row>
    <row r="66" spans="1:18" ht="19.5" hidden="1" thickBot="1" x14ac:dyDescent="0.3">
      <c r="A66" s="1002"/>
      <c r="B66" s="1002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1"/>
        <v>07,23</v>
      </c>
      <c r="L66" s="107"/>
      <c r="M66" s="107"/>
      <c r="N66" s="107"/>
      <c r="O66" s="2"/>
      <c r="P66" s="2"/>
      <c r="Q66" s="2"/>
      <c r="R66" s="2"/>
    </row>
    <row r="67" spans="1:18" ht="19.5" hidden="1" customHeight="1" thickBot="1" x14ac:dyDescent="0.3">
      <c r="A67" s="1004">
        <v>35</v>
      </c>
      <c r="B67" s="1004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2">RIGHT(H67,5)</f>
        <v>07,23</v>
      </c>
      <c r="L67" s="48"/>
      <c r="M67" s="48"/>
      <c r="N67" s="48"/>
      <c r="O67" s="2"/>
      <c r="P67" s="2"/>
      <c r="Q67" s="2"/>
      <c r="R67" s="2"/>
    </row>
    <row r="68" spans="1:18" ht="19.5" hidden="1" thickBot="1" x14ac:dyDescent="0.3">
      <c r="A68" s="1004"/>
      <c r="B68" s="1004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2"/>
        <v>07,23</v>
      </c>
      <c r="L68" s="31"/>
      <c r="M68" s="31"/>
      <c r="N68" s="31"/>
      <c r="O68" s="2"/>
      <c r="P68" s="2"/>
      <c r="Q68" s="2"/>
      <c r="R68" s="2"/>
    </row>
    <row r="69" spans="1:18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2"/>
        <v>07,23</v>
      </c>
      <c r="L69" s="40"/>
      <c r="M69" s="40"/>
      <c r="N69" s="40"/>
      <c r="O69" s="2"/>
      <c r="P69" s="2"/>
      <c r="Q69" s="2"/>
      <c r="R69" s="2"/>
    </row>
    <row r="70" spans="1:18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2"/>
        <v>07,23</v>
      </c>
      <c r="L70" s="75"/>
      <c r="M70" s="75"/>
      <c r="N70" s="75"/>
      <c r="O70" s="2"/>
      <c r="P70" s="2"/>
      <c r="Q70" s="2"/>
      <c r="R70" s="2"/>
    </row>
    <row r="71" spans="1:18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2"/>
        <v>07,23</v>
      </c>
      <c r="L71" s="40"/>
      <c r="M71" s="40"/>
      <c r="N71" s="40"/>
      <c r="O71" s="2"/>
      <c r="P71" s="2"/>
      <c r="Q71" s="2"/>
      <c r="R71" s="2"/>
    </row>
    <row r="72" spans="1:18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2"/>
        <v>07,23</v>
      </c>
      <c r="L72" s="75"/>
      <c r="M72" s="75"/>
      <c r="N72" s="75"/>
      <c r="O72" s="2"/>
      <c r="P72" s="2"/>
      <c r="Q72" s="2"/>
      <c r="R72" s="2"/>
    </row>
    <row r="73" spans="1:18" ht="19.5" hidden="1" customHeight="1" thickBot="1" x14ac:dyDescent="0.3">
      <c r="A73" s="990">
        <v>40</v>
      </c>
      <c r="B73" s="1002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2"/>
        <v>07,23</v>
      </c>
      <c r="L73" s="82"/>
      <c r="M73" s="82"/>
      <c r="N73" s="82"/>
      <c r="O73" s="2"/>
      <c r="P73" s="2"/>
      <c r="Q73" s="2"/>
      <c r="R73" s="2"/>
    </row>
    <row r="74" spans="1:18" ht="19.5" hidden="1" thickBot="1" x14ac:dyDescent="0.3">
      <c r="A74" s="990"/>
      <c r="B74" s="1002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2"/>
        <v>07,23</v>
      </c>
      <c r="L74" s="107"/>
      <c r="M74" s="107"/>
      <c r="N74" s="107"/>
      <c r="O74" s="2"/>
      <c r="P74" s="2"/>
      <c r="Q74" s="2"/>
      <c r="R74" s="2"/>
    </row>
    <row r="75" spans="1:18" ht="19.5" hidden="1" customHeight="1" thickBot="1" x14ac:dyDescent="0.3">
      <c r="A75" s="991">
        <v>41</v>
      </c>
      <c r="B75" s="1004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2"/>
        <v>07,23</v>
      </c>
      <c r="L75" s="48"/>
      <c r="M75" s="48"/>
      <c r="N75" s="48"/>
      <c r="O75" s="2"/>
      <c r="P75" s="2"/>
      <c r="Q75" s="2"/>
      <c r="R75" s="2"/>
    </row>
    <row r="76" spans="1:18" ht="19.5" hidden="1" thickBot="1" x14ac:dyDescent="0.3">
      <c r="A76" s="991"/>
      <c r="B76" s="1004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2"/>
        <v>07,23</v>
      </c>
      <c r="L76" s="56"/>
      <c r="M76" s="56"/>
      <c r="N76" s="56"/>
      <c r="O76" s="2"/>
      <c r="P76" s="2"/>
      <c r="Q76" s="2"/>
      <c r="R76" s="2"/>
    </row>
    <row r="77" spans="1:18" ht="19.5" hidden="1" thickBot="1" x14ac:dyDescent="0.3">
      <c r="A77" s="991"/>
      <c r="B77" s="1004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2"/>
        <v>07,23</v>
      </c>
      <c r="L77" s="31"/>
      <c r="M77" s="31"/>
      <c r="N77" s="31"/>
      <c r="O77" s="2"/>
      <c r="P77" s="2"/>
      <c r="Q77" s="2"/>
      <c r="R77" s="2"/>
    </row>
    <row r="78" spans="1:18" ht="19.5" hidden="1" customHeight="1" thickBot="1" x14ac:dyDescent="0.3">
      <c r="A78" s="990">
        <v>42</v>
      </c>
      <c r="B78" s="1002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2"/>
        <v>07,23</v>
      </c>
      <c r="L78" s="82"/>
      <c r="M78" s="82"/>
      <c r="N78" s="82"/>
      <c r="O78" s="2"/>
      <c r="P78" s="2"/>
      <c r="Q78" s="2"/>
      <c r="R78" s="2"/>
    </row>
    <row r="79" spans="1:18" ht="19.5" hidden="1" thickBot="1" x14ac:dyDescent="0.3">
      <c r="A79" s="990"/>
      <c r="B79" s="1002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2"/>
        <v>07,23</v>
      </c>
      <c r="L79" s="107"/>
      <c r="M79" s="107"/>
      <c r="N79" s="107"/>
      <c r="O79" s="2"/>
      <c r="P79" s="2"/>
      <c r="Q79" s="2"/>
      <c r="R79" s="2"/>
    </row>
    <row r="80" spans="1:18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2"/>
        <v>07,23</v>
      </c>
      <c r="L80" s="75"/>
      <c r="M80" s="75"/>
      <c r="N80" s="75"/>
      <c r="O80" s="2"/>
      <c r="P80" s="2"/>
      <c r="Q80" s="2"/>
      <c r="R80" s="2"/>
    </row>
    <row r="81" spans="1:18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2"/>
        <v>07,23</v>
      </c>
      <c r="L81" s="40"/>
      <c r="M81" s="40"/>
      <c r="N81" s="40"/>
      <c r="O81" s="2"/>
      <c r="P81" s="2"/>
      <c r="Q81" s="2"/>
      <c r="R81" s="2"/>
    </row>
    <row r="82" spans="1:18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2"/>
        <v>07,23</v>
      </c>
      <c r="L82" s="75"/>
      <c r="M82" s="75"/>
      <c r="N82" s="75"/>
      <c r="O82" s="2"/>
      <c r="P82" s="2"/>
      <c r="Q82" s="2"/>
      <c r="R82" s="2"/>
    </row>
    <row r="83" spans="1:18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2"/>
        <v>07,23</v>
      </c>
      <c r="L83" s="40"/>
      <c r="M83" s="40"/>
      <c r="N83" s="40"/>
      <c r="O83" s="2"/>
      <c r="P83" s="2"/>
      <c r="Q83" s="2"/>
      <c r="R83" s="2"/>
    </row>
    <row r="84" spans="1:18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2"/>
        <v>07,23</v>
      </c>
      <c r="L84" s="75"/>
      <c r="M84" s="75"/>
      <c r="N84" s="75"/>
      <c r="O84" s="2"/>
      <c r="P84" s="2"/>
      <c r="Q84" s="2"/>
      <c r="R84" s="2"/>
    </row>
    <row r="85" spans="1:18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2"/>
        <v>07,23</v>
      </c>
      <c r="L85" s="40"/>
      <c r="M85" s="40"/>
      <c r="N85" s="40"/>
      <c r="O85" s="2"/>
      <c r="P85" s="2"/>
      <c r="Q85" s="2"/>
      <c r="R85" s="2"/>
    </row>
    <row r="86" spans="1:18" ht="19.5" hidden="1" customHeight="1" thickBot="1" x14ac:dyDescent="0.3">
      <c r="A86" s="991">
        <v>49</v>
      </c>
      <c r="B86" s="1004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2"/>
        <v>07,23</v>
      </c>
      <c r="L86" s="48"/>
      <c r="M86" s="48"/>
      <c r="N86" s="48"/>
      <c r="O86" s="2"/>
      <c r="P86" s="2"/>
      <c r="Q86" s="2"/>
      <c r="R86" s="2"/>
    </row>
    <row r="87" spans="1:18" ht="19.5" hidden="1" thickBot="1" x14ac:dyDescent="0.3">
      <c r="A87" s="991"/>
      <c r="B87" s="1004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2"/>
        <v>07,23</v>
      </c>
      <c r="L87" s="56"/>
      <c r="M87" s="56"/>
      <c r="N87" s="56"/>
      <c r="O87" s="2"/>
      <c r="P87" s="2"/>
      <c r="Q87" s="2"/>
      <c r="R87" s="2"/>
    </row>
    <row r="88" spans="1:18" ht="19.5" hidden="1" thickBot="1" x14ac:dyDescent="0.3">
      <c r="A88" s="991"/>
      <c r="B88" s="1004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2"/>
        <v>07,23</v>
      </c>
      <c r="L88" s="31"/>
      <c r="M88" s="31"/>
      <c r="N88" s="31"/>
      <c r="O88" s="2"/>
      <c r="P88" s="2"/>
      <c r="Q88" s="2"/>
      <c r="R88" s="2"/>
    </row>
    <row r="89" spans="1:18" ht="19.5" hidden="1" customHeight="1" thickBot="1" x14ac:dyDescent="0.3">
      <c r="A89" s="990">
        <v>50</v>
      </c>
      <c r="B89" s="1002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2"/>
        <v>07,23</v>
      </c>
      <c r="L89" s="82"/>
      <c r="M89" s="82"/>
      <c r="N89" s="82"/>
      <c r="O89" s="2"/>
      <c r="P89" s="2"/>
      <c r="Q89" s="2"/>
      <c r="R89" s="2"/>
    </row>
    <row r="90" spans="1:18" ht="19.5" hidden="1" thickBot="1" x14ac:dyDescent="0.3">
      <c r="A90" s="990"/>
      <c r="B90" s="1002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2"/>
        <v>07,23</v>
      </c>
      <c r="L90" s="107"/>
      <c r="M90" s="107"/>
      <c r="N90" s="107"/>
      <c r="O90" s="2"/>
      <c r="P90" s="2"/>
      <c r="Q90" s="2"/>
      <c r="R90" s="2"/>
    </row>
    <row r="91" spans="1:18" ht="19.5" hidden="1" customHeight="1" thickBot="1" x14ac:dyDescent="0.3">
      <c r="A91" s="991">
        <v>51</v>
      </c>
      <c r="B91" s="1004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2"/>
        <v>07,23</v>
      </c>
      <c r="L91" s="48"/>
      <c r="M91" s="48"/>
      <c r="N91" s="48"/>
      <c r="O91" s="2"/>
      <c r="P91" s="2"/>
      <c r="Q91" s="2"/>
      <c r="R91" s="2"/>
    </row>
    <row r="92" spans="1:18" ht="19.5" hidden="1" thickBot="1" x14ac:dyDescent="0.3">
      <c r="A92" s="991"/>
      <c r="B92" s="1004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2"/>
        <v>07,23</v>
      </c>
      <c r="L92" s="31"/>
      <c r="M92" s="31"/>
      <c r="N92" s="31"/>
      <c r="O92" s="2"/>
      <c r="P92" s="2"/>
      <c r="Q92" s="2"/>
      <c r="R92" s="2"/>
    </row>
    <row r="93" spans="1:18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2"/>
        <v>07,23</v>
      </c>
      <c r="L93" s="40"/>
      <c r="M93" s="40"/>
      <c r="N93" s="40"/>
      <c r="O93" s="2"/>
      <c r="P93" s="2"/>
      <c r="Q93" s="2"/>
      <c r="R93" s="2"/>
    </row>
    <row r="94" spans="1:18" ht="19.5" hidden="1" customHeight="1" thickBot="1" x14ac:dyDescent="0.3">
      <c r="A94" s="991">
        <v>53</v>
      </c>
      <c r="B94" s="1004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2"/>
        <v>07,23</v>
      </c>
      <c r="L94" s="48"/>
      <c r="M94" s="48"/>
      <c r="N94" s="48"/>
      <c r="O94" s="2"/>
      <c r="P94" s="2"/>
      <c r="Q94" s="2"/>
      <c r="R94" s="2"/>
    </row>
    <row r="95" spans="1:18" ht="19.5" hidden="1" thickBot="1" x14ac:dyDescent="0.3">
      <c r="A95" s="991"/>
      <c r="B95" s="1004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2"/>
        <v>07,23</v>
      </c>
      <c r="L95" s="31"/>
      <c r="M95" s="31"/>
      <c r="N95" s="31"/>
      <c r="O95" s="2"/>
      <c r="P95" s="2"/>
      <c r="Q95" s="2"/>
      <c r="R95" s="2"/>
    </row>
    <row r="96" spans="1:18" ht="19.5" hidden="1" customHeight="1" thickBot="1" x14ac:dyDescent="0.3">
      <c r="A96" s="990">
        <v>54</v>
      </c>
      <c r="B96" s="1002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2"/>
        <v>07,23</v>
      </c>
      <c r="L96" s="82"/>
      <c r="M96" s="82"/>
      <c r="N96" s="82"/>
      <c r="O96" s="2"/>
      <c r="P96" s="2"/>
      <c r="Q96" s="2"/>
      <c r="R96" s="2"/>
    </row>
    <row r="97" spans="1:18" ht="19.5" hidden="1" thickBot="1" x14ac:dyDescent="0.3">
      <c r="A97" s="990"/>
      <c r="B97" s="1002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2"/>
        <v>07,23</v>
      </c>
      <c r="L97" s="109"/>
      <c r="M97" s="109"/>
      <c r="N97" s="109"/>
      <c r="O97" s="2"/>
      <c r="P97" s="2"/>
      <c r="Q97" s="2"/>
      <c r="R97" s="2"/>
    </row>
    <row r="98" spans="1:18" ht="19.5" hidden="1" thickBot="1" x14ac:dyDescent="0.3">
      <c r="A98" s="990"/>
      <c r="B98" s="1002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2"/>
        <v>07,23</v>
      </c>
      <c r="L98" s="107"/>
      <c r="M98" s="107"/>
      <c r="N98" s="107"/>
      <c r="O98" s="2"/>
      <c r="P98" s="2"/>
      <c r="Q98" s="2"/>
      <c r="R98" s="2"/>
    </row>
    <row r="99" spans="1:18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2"/>
        <v>07,23</v>
      </c>
      <c r="L99" s="75"/>
      <c r="M99" s="75"/>
      <c r="N99" s="75"/>
      <c r="O99" s="2"/>
      <c r="P99" s="2"/>
      <c r="Q99" s="2"/>
      <c r="R99" s="2"/>
    </row>
    <row r="100" spans="1:18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2"/>
        <v>07,23</v>
      </c>
      <c r="L100" s="40"/>
      <c r="M100" s="40"/>
      <c r="N100" s="40"/>
      <c r="O100" s="2"/>
      <c r="P100" s="2"/>
      <c r="Q100" s="2"/>
      <c r="R100" s="2"/>
    </row>
    <row r="101" spans="1:18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2"/>
        <v>08,23</v>
      </c>
      <c r="L101" s="75"/>
      <c r="M101" s="75"/>
      <c r="N101" s="75"/>
      <c r="O101" s="2"/>
      <c r="P101" s="2"/>
      <c r="Q101" s="2"/>
      <c r="R101" s="2"/>
    </row>
    <row r="102" spans="1:18" ht="19.5" hidden="1" customHeight="1" thickBot="1" x14ac:dyDescent="0.3">
      <c r="A102" s="990">
        <v>58</v>
      </c>
      <c r="B102" s="1002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2"/>
        <v>08,23</v>
      </c>
      <c r="L102" s="82"/>
      <c r="M102" s="82"/>
      <c r="N102" s="82"/>
      <c r="O102" s="2"/>
      <c r="P102" s="2"/>
      <c r="Q102" s="2"/>
      <c r="R102" s="2"/>
    </row>
    <row r="103" spans="1:18" ht="19.5" hidden="1" thickBot="1" x14ac:dyDescent="0.3">
      <c r="A103" s="990"/>
      <c r="B103" s="1002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2"/>
        <v>08,23</v>
      </c>
      <c r="L103" s="107"/>
      <c r="M103" s="107"/>
      <c r="N103" s="107"/>
      <c r="O103" s="2"/>
      <c r="P103" s="2"/>
      <c r="Q103" s="2"/>
      <c r="R103" s="2"/>
    </row>
    <row r="104" spans="1:18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2"/>
        <v>08,23</v>
      </c>
      <c r="L104" s="75"/>
      <c r="M104" s="75"/>
      <c r="N104" s="75"/>
      <c r="O104" s="2"/>
      <c r="P104" s="2"/>
      <c r="Q104" s="2"/>
      <c r="R104" s="2"/>
    </row>
    <row r="105" spans="1:18" ht="19.5" hidden="1" customHeight="1" thickBot="1" x14ac:dyDescent="0.3">
      <c r="A105" s="990">
        <v>60</v>
      </c>
      <c r="B105" s="1002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2"/>
        <v>08,23</v>
      </c>
      <c r="L105" s="82"/>
      <c r="M105" s="82"/>
      <c r="N105" s="82"/>
      <c r="O105" s="2"/>
      <c r="P105" s="2"/>
      <c r="Q105" s="2"/>
      <c r="R105" s="2"/>
    </row>
    <row r="106" spans="1:18" ht="19.5" hidden="1" thickBot="1" x14ac:dyDescent="0.3">
      <c r="A106" s="990"/>
      <c r="B106" s="1002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2"/>
        <v>08,23</v>
      </c>
      <c r="L106" s="109"/>
      <c r="M106" s="109"/>
      <c r="N106" s="109"/>
      <c r="O106" s="2"/>
      <c r="P106" s="2"/>
      <c r="Q106" s="2"/>
      <c r="R106" s="2"/>
    </row>
    <row r="107" spans="1:18" ht="19.5" hidden="1" thickBot="1" x14ac:dyDescent="0.3">
      <c r="A107" s="990"/>
      <c r="B107" s="1002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2"/>
        <v>08,23</v>
      </c>
      <c r="L107" s="107"/>
      <c r="M107" s="107"/>
      <c r="N107" s="107"/>
      <c r="O107" s="2"/>
      <c r="P107" s="2"/>
      <c r="Q107" s="2"/>
      <c r="R107" s="2"/>
    </row>
    <row r="108" spans="1:18" ht="19.5" hidden="1" customHeight="1" thickBot="1" x14ac:dyDescent="0.3">
      <c r="A108" s="991">
        <v>61</v>
      </c>
      <c r="B108" s="1004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2"/>
        <v>08,23</v>
      </c>
      <c r="L108" s="48"/>
      <c r="M108" s="48"/>
      <c r="N108" s="48"/>
      <c r="O108" s="2"/>
      <c r="P108" s="2"/>
      <c r="Q108" s="2"/>
      <c r="R108" s="2"/>
    </row>
    <row r="109" spans="1:18" ht="19.5" hidden="1" thickBot="1" x14ac:dyDescent="0.3">
      <c r="A109" s="991"/>
      <c r="B109" s="1004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2"/>
        <v>08,23</v>
      </c>
      <c r="L109" s="56"/>
      <c r="M109" s="56"/>
      <c r="N109" s="56"/>
      <c r="O109" s="2"/>
      <c r="P109" s="2"/>
      <c r="Q109" s="2"/>
      <c r="R109" s="2"/>
    </row>
    <row r="110" spans="1:18" ht="19.5" hidden="1" thickBot="1" x14ac:dyDescent="0.3">
      <c r="A110" s="991"/>
      <c r="B110" s="1004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2"/>
        <v>08,23</v>
      </c>
      <c r="L110" s="31"/>
      <c r="M110" s="31"/>
      <c r="N110" s="31"/>
      <c r="O110" s="2"/>
      <c r="P110" s="2"/>
      <c r="Q110" s="2"/>
      <c r="R110" s="2"/>
    </row>
    <row r="111" spans="1:18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2"/>
        <v>08,23</v>
      </c>
      <c r="L111" s="40"/>
      <c r="M111" s="40"/>
      <c r="N111" s="40"/>
      <c r="O111" s="2"/>
      <c r="P111" s="2"/>
      <c r="Q111" s="2"/>
      <c r="R111" s="2"/>
    </row>
    <row r="112" spans="1:18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2"/>
        <v>08,23</v>
      </c>
      <c r="L112" s="75"/>
      <c r="M112" s="75"/>
      <c r="N112" s="75"/>
      <c r="O112" s="2"/>
      <c r="P112" s="2"/>
      <c r="Q112" s="2"/>
      <c r="R112" s="2"/>
    </row>
    <row r="113" spans="1:18" ht="19.5" hidden="1" customHeight="1" thickBot="1" x14ac:dyDescent="0.3">
      <c r="A113" s="990">
        <v>64</v>
      </c>
      <c r="B113" s="1002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2"/>
        <v>08,23</v>
      </c>
      <c r="L113" s="82"/>
      <c r="M113" s="82"/>
      <c r="N113" s="82"/>
      <c r="O113" s="2"/>
      <c r="P113" s="2"/>
      <c r="Q113" s="2"/>
      <c r="R113" s="2"/>
    </row>
    <row r="114" spans="1:18" ht="19.5" hidden="1" thickBot="1" x14ac:dyDescent="0.3">
      <c r="A114" s="990"/>
      <c r="B114" s="1002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2"/>
        <v>08,23</v>
      </c>
      <c r="L114" s="107"/>
      <c r="M114" s="107"/>
      <c r="N114" s="107"/>
      <c r="O114" s="2"/>
      <c r="P114" s="2"/>
      <c r="Q114" s="2"/>
      <c r="R114" s="2"/>
    </row>
    <row r="115" spans="1:18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2"/>
        <v>08,23</v>
      </c>
      <c r="L115" s="75"/>
      <c r="M115" s="75"/>
      <c r="N115" s="75"/>
      <c r="O115" s="2"/>
      <c r="P115" s="2"/>
      <c r="Q115" s="2"/>
      <c r="R115" s="2"/>
    </row>
    <row r="116" spans="1:18" ht="19.5" hidden="1" customHeight="1" thickBot="1" x14ac:dyDescent="0.3">
      <c r="A116" s="990">
        <v>66</v>
      </c>
      <c r="B116" s="1002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2"/>
        <v>08,23</v>
      </c>
      <c r="L116" s="82"/>
      <c r="M116" s="82"/>
      <c r="N116" s="82"/>
      <c r="O116" s="2"/>
      <c r="P116" s="2"/>
      <c r="Q116" s="2"/>
      <c r="R116" s="2"/>
    </row>
    <row r="117" spans="1:18" ht="19.5" hidden="1" thickBot="1" x14ac:dyDescent="0.3">
      <c r="A117" s="990"/>
      <c r="B117" s="1002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2"/>
        <v>08,23</v>
      </c>
      <c r="L117" s="107"/>
      <c r="M117" s="107"/>
      <c r="N117" s="107"/>
      <c r="O117" s="2"/>
      <c r="P117" s="2"/>
      <c r="Q117" s="2"/>
      <c r="R117" s="2"/>
    </row>
    <row r="118" spans="1:18" ht="19.5" hidden="1" customHeight="1" thickBot="1" x14ac:dyDescent="0.3">
      <c r="A118" s="991">
        <v>67</v>
      </c>
      <c r="B118" s="1004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2"/>
        <v>08,23</v>
      </c>
      <c r="L118" s="48"/>
      <c r="M118" s="48"/>
      <c r="N118" s="48"/>
      <c r="O118" s="2"/>
      <c r="P118" s="2"/>
      <c r="Q118" s="2"/>
      <c r="R118" s="2"/>
    </row>
    <row r="119" spans="1:18" ht="19.5" hidden="1" thickBot="1" x14ac:dyDescent="0.3">
      <c r="A119" s="991"/>
      <c r="B119" s="1004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2"/>
        <v>08,23</v>
      </c>
      <c r="L119" s="56"/>
      <c r="M119" s="56"/>
      <c r="N119" s="56"/>
      <c r="O119" s="2"/>
      <c r="P119" s="2"/>
      <c r="Q119" s="2"/>
      <c r="R119" s="2"/>
    </row>
    <row r="120" spans="1:18" ht="19.5" hidden="1" thickBot="1" x14ac:dyDescent="0.3">
      <c r="A120" s="991"/>
      <c r="B120" s="1004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2"/>
        <v>08,23</v>
      </c>
      <c r="L120" s="31"/>
      <c r="M120" s="31"/>
      <c r="N120" s="31"/>
      <c r="O120" s="2"/>
      <c r="P120" s="2"/>
      <c r="Q120" s="2"/>
      <c r="R120" s="2"/>
    </row>
    <row r="121" spans="1:18" ht="19.5" hidden="1" customHeight="1" thickBot="1" x14ac:dyDescent="0.3">
      <c r="A121" s="990">
        <v>68</v>
      </c>
      <c r="B121" s="1002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2"/>
        <v>08,23</v>
      </c>
      <c r="L121" s="82"/>
      <c r="M121" s="82"/>
      <c r="N121" s="82"/>
      <c r="O121" s="2"/>
      <c r="P121" s="2"/>
      <c r="Q121" s="2"/>
      <c r="R121" s="2"/>
    </row>
    <row r="122" spans="1:18" ht="19.5" hidden="1" thickBot="1" x14ac:dyDescent="0.3">
      <c r="A122" s="990"/>
      <c r="B122" s="1002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2"/>
        <v>08,23</v>
      </c>
      <c r="L122" s="107"/>
      <c r="M122" s="107"/>
      <c r="N122" s="107"/>
      <c r="O122" s="2"/>
      <c r="P122" s="2"/>
      <c r="Q122" s="2"/>
      <c r="R122" s="2"/>
    </row>
    <row r="123" spans="1:18" ht="19.5" hidden="1" customHeight="1" thickBot="1" x14ac:dyDescent="0.3">
      <c r="A123" s="991">
        <v>69</v>
      </c>
      <c r="B123" s="1004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2"/>
        <v>08,23</v>
      </c>
      <c r="L123" s="48"/>
      <c r="M123" s="48"/>
      <c r="N123" s="48"/>
      <c r="O123" s="2"/>
      <c r="P123" s="2"/>
      <c r="Q123" s="2"/>
      <c r="R123" s="2"/>
    </row>
    <row r="124" spans="1:18" ht="19.5" hidden="1" thickBot="1" x14ac:dyDescent="0.3">
      <c r="A124" s="991"/>
      <c r="B124" s="1004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2"/>
        <v>08,23</v>
      </c>
      <c r="L124" s="31"/>
      <c r="M124" s="31"/>
      <c r="N124" s="31"/>
      <c r="O124" s="2"/>
      <c r="P124" s="2"/>
      <c r="Q124" s="2"/>
      <c r="R124" s="2"/>
    </row>
    <row r="125" spans="1:18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2"/>
        <v>08,23</v>
      </c>
      <c r="L125" s="40"/>
      <c r="M125" s="40"/>
      <c r="N125" s="40"/>
      <c r="O125" s="2"/>
      <c r="P125" s="2"/>
      <c r="Q125" s="2"/>
      <c r="R125" s="2"/>
    </row>
    <row r="126" spans="1:18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2"/>
        <v>08,23</v>
      </c>
      <c r="L126" s="75"/>
      <c r="M126" s="75"/>
      <c r="N126" s="75"/>
      <c r="O126" s="2"/>
      <c r="P126" s="2"/>
      <c r="Q126" s="2"/>
      <c r="R126" s="2"/>
    </row>
    <row r="127" spans="1:18" ht="19.5" hidden="1" customHeight="1" thickBot="1" x14ac:dyDescent="0.3">
      <c r="A127" s="990">
        <v>72</v>
      </c>
      <c r="B127" s="1002" t="s">
        <v>65</v>
      </c>
      <c r="C127" s="119" t="s">
        <v>26</v>
      </c>
      <c r="D127" s="120">
        <v>3.3</v>
      </c>
      <c r="E127" s="121"/>
      <c r="F127" s="122" t="s">
        <v>30</v>
      </c>
      <c r="G127" s="1001" t="s">
        <v>72</v>
      </c>
      <c r="H127" s="122" t="s">
        <v>67</v>
      </c>
      <c r="I127" s="123" t="s">
        <v>67</v>
      </c>
      <c r="J127" s="124"/>
      <c r="K127" s="122" t="str">
        <f t="shared" si="2"/>
        <v>08,23</v>
      </c>
      <c r="L127" s="122"/>
      <c r="M127" s="122"/>
      <c r="N127" s="122"/>
      <c r="O127" s="2"/>
      <c r="P127" s="2"/>
      <c r="Q127" s="2"/>
      <c r="R127" s="2"/>
    </row>
    <row r="128" spans="1:18" ht="19.5" hidden="1" thickBot="1" x14ac:dyDescent="0.3">
      <c r="A128" s="990"/>
      <c r="B128" s="1002"/>
      <c r="C128" s="103" t="s">
        <v>26</v>
      </c>
      <c r="D128" s="88">
        <v>12.9</v>
      </c>
      <c r="E128" s="106"/>
      <c r="F128" s="107" t="s">
        <v>16</v>
      </c>
      <c r="G128" s="1001"/>
      <c r="H128" s="107" t="s">
        <v>67</v>
      </c>
      <c r="I128" s="115" t="s">
        <v>67</v>
      </c>
      <c r="J128" s="94"/>
      <c r="K128" s="107" t="str">
        <f t="shared" si="2"/>
        <v>08,23</v>
      </c>
      <c r="L128" s="107"/>
      <c r="M128" s="107"/>
      <c r="N128" s="107"/>
      <c r="O128" s="2"/>
      <c r="P128" s="2"/>
      <c r="Q128" s="2"/>
      <c r="R128" s="2"/>
    </row>
    <row r="129" spans="1:18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2"/>
        <v>08,23</v>
      </c>
      <c r="L129" s="75"/>
      <c r="M129" s="75"/>
      <c r="N129" s="75"/>
      <c r="O129" s="2"/>
      <c r="P129" s="2"/>
      <c r="Q129" s="2"/>
      <c r="R129" s="2"/>
    </row>
    <row r="130" spans="1:18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2"/>
        <v>08,23</v>
      </c>
      <c r="L130" s="40"/>
      <c r="M130" s="40"/>
      <c r="N130" s="40"/>
      <c r="O130" s="2"/>
      <c r="P130" s="2"/>
      <c r="Q130" s="2"/>
      <c r="R130" s="2"/>
    </row>
    <row r="131" spans="1:18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3">RIGHT(H131,5)</f>
        <v>08,23</v>
      </c>
      <c r="L131" s="75"/>
      <c r="M131" s="75"/>
      <c r="N131" s="75"/>
      <c r="O131" s="2"/>
      <c r="P131" s="2"/>
      <c r="Q131" s="2"/>
      <c r="R131" s="2"/>
    </row>
    <row r="132" spans="1:18" ht="19.5" hidden="1" customHeight="1" thickBot="1" x14ac:dyDescent="0.3">
      <c r="A132" s="990">
        <v>76</v>
      </c>
      <c r="B132" s="1003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3"/>
        <v>08,23</v>
      </c>
      <c r="L132" s="82"/>
      <c r="M132" s="82"/>
      <c r="N132" s="82"/>
      <c r="O132" s="2"/>
      <c r="P132" s="2"/>
      <c r="Q132" s="2"/>
      <c r="R132" s="2"/>
    </row>
    <row r="133" spans="1:18" ht="19.5" hidden="1" thickBot="1" x14ac:dyDescent="0.3">
      <c r="A133" s="990"/>
      <c r="B133" s="1003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3"/>
        <v>08,23</v>
      </c>
      <c r="L133" s="109"/>
      <c r="M133" s="109"/>
      <c r="N133" s="109"/>
      <c r="O133" s="2"/>
      <c r="P133" s="2"/>
      <c r="Q133" s="2"/>
      <c r="R133" s="2"/>
    </row>
    <row r="134" spans="1:18" ht="19.5" hidden="1" thickBot="1" x14ac:dyDescent="0.3">
      <c r="A134" s="990"/>
      <c r="B134" s="1003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3"/>
        <v>08,23</v>
      </c>
      <c r="L134" s="109"/>
      <c r="M134" s="109"/>
      <c r="N134" s="109"/>
      <c r="O134" s="2"/>
      <c r="P134" s="2"/>
      <c r="Q134" s="2"/>
      <c r="R134" s="2"/>
    </row>
    <row r="135" spans="1:18" ht="19.5" hidden="1" thickBot="1" x14ac:dyDescent="0.3">
      <c r="A135" s="990"/>
      <c r="B135" s="1003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3"/>
        <v>08,23</v>
      </c>
      <c r="L135" s="107"/>
      <c r="M135" s="107"/>
      <c r="N135" s="107"/>
      <c r="O135" s="2"/>
      <c r="P135" s="2"/>
      <c r="Q135" s="2"/>
      <c r="R135" s="2"/>
    </row>
    <row r="136" spans="1:18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3"/>
        <v>08,23</v>
      </c>
      <c r="L136" s="75"/>
      <c r="M136" s="75"/>
      <c r="N136" s="75"/>
      <c r="O136" s="2"/>
      <c r="P136" s="2"/>
      <c r="Q136" s="2"/>
      <c r="R136" s="2"/>
    </row>
    <row r="137" spans="1:18" ht="19.5" hidden="1" customHeight="1" thickBot="1" x14ac:dyDescent="0.3">
      <c r="A137" s="990">
        <v>78</v>
      </c>
      <c r="B137" s="1010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3"/>
        <v>08,23</v>
      </c>
      <c r="L137" s="82"/>
      <c r="M137" s="82"/>
      <c r="N137" s="82"/>
      <c r="O137" s="2"/>
      <c r="P137" s="2"/>
      <c r="Q137" s="2"/>
      <c r="R137" s="2"/>
    </row>
    <row r="138" spans="1:18" ht="19.5" hidden="1" thickBot="1" x14ac:dyDescent="0.3">
      <c r="A138" s="990"/>
      <c r="B138" s="1010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3"/>
        <v>08,23</v>
      </c>
      <c r="L138" s="129"/>
      <c r="M138" s="129"/>
      <c r="N138" s="129"/>
      <c r="O138" s="2"/>
      <c r="P138" s="2"/>
      <c r="Q138" s="2"/>
      <c r="R138" s="2"/>
    </row>
    <row r="139" spans="1:18" ht="19.5" hidden="1" thickBot="1" x14ac:dyDescent="0.3">
      <c r="A139" s="1005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3"/>
        <v>08,23</v>
      </c>
      <c r="L139" s="48"/>
      <c r="M139" s="48"/>
      <c r="N139" s="48"/>
      <c r="O139" s="2"/>
      <c r="P139" s="2"/>
      <c r="Q139" s="2"/>
      <c r="R139" s="2"/>
    </row>
    <row r="140" spans="1:18" ht="19.5" hidden="1" thickBot="1" x14ac:dyDescent="0.3">
      <c r="A140" s="1005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3"/>
        <v>08,23</v>
      </c>
      <c r="L140" s="31"/>
      <c r="M140" s="31"/>
      <c r="N140" s="31"/>
      <c r="O140" s="2"/>
      <c r="P140" s="2"/>
      <c r="Q140" s="2"/>
      <c r="R140" s="2"/>
    </row>
    <row r="141" spans="1:18" ht="19.5" hidden="1" thickBot="1" x14ac:dyDescent="0.3">
      <c r="A141" s="990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3"/>
        <v>08,23</v>
      </c>
      <c r="L141" s="98"/>
      <c r="M141" s="98"/>
      <c r="N141" s="98"/>
      <c r="O141" s="2"/>
      <c r="P141" s="2"/>
      <c r="Q141" s="2"/>
      <c r="R141" s="2"/>
    </row>
    <row r="142" spans="1:18" ht="19.5" hidden="1" thickBot="1" x14ac:dyDescent="0.3">
      <c r="A142" s="990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3"/>
        <v>08,23</v>
      </c>
      <c r="L142" s="109"/>
      <c r="M142" s="109"/>
      <c r="N142" s="109"/>
      <c r="O142" s="2"/>
      <c r="P142" s="2"/>
      <c r="Q142" s="2"/>
      <c r="R142" s="2"/>
    </row>
    <row r="143" spans="1:18" ht="19.5" hidden="1" thickBot="1" x14ac:dyDescent="0.3">
      <c r="A143" s="990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3"/>
        <v>08,23</v>
      </c>
      <c r="L143" s="107"/>
      <c r="M143" s="107"/>
      <c r="N143" s="107"/>
      <c r="O143" s="2"/>
      <c r="P143" s="2"/>
      <c r="Q143" s="2"/>
      <c r="R143" s="2"/>
    </row>
    <row r="144" spans="1:18" ht="19.5" hidden="1" thickBot="1" x14ac:dyDescent="0.3">
      <c r="A144" s="991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3"/>
        <v>08,23</v>
      </c>
      <c r="L144" s="48"/>
      <c r="M144" s="48"/>
      <c r="N144" s="48"/>
      <c r="O144" s="2"/>
      <c r="P144" s="2"/>
      <c r="Q144" s="2"/>
      <c r="R144" s="2"/>
    </row>
    <row r="145" spans="1:18" ht="19.5" hidden="1" thickBot="1" x14ac:dyDescent="0.3">
      <c r="A145" s="991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3"/>
        <v>08,23</v>
      </c>
      <c r="L145" s="31"/>
      <c r="M145" s="31"/>
      <c r="N145" s="31"/>
      <c r="O145" s="2"/>
      <c r="P145" s="2"/>
      <c r="Q145" s="2"/>
      <c r="R145" s="2"/>
    </row>
    <row r="146" spans="1:18" ht="19.5" hidden="1" thickBot="1" x14ac:dyDescent="0.3">
      <c r="A146" s="990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3"/>
        <v>08,23</v>
      </c>
      <c r="L146" s="82"/>
      <c r="M146" s="82"/>
      <c r="N146" s="82"/>
      <c r="O146" s="2"/>
      <c r="P146" s="2"/>
      <c r="Q146" s="2"/>
      <c r="R146" s="2"/>
    </row>
    <row r="147" spans="1:18" ht="19.5" hidden="1" thickBot="1" x14ac:dyDescent="0.3">
      <c r="A147" s="990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3"/>
        <v>08,23</v>
      </c>
      <c r="L147" s="107"/>
      <c r="M147" s="107"/>
      <c r="N147" s="107"/>
      <c r="O147" s="2"/>
      <c r="P147" s="2"/>
      <c r="Q147" s="2"/>
      <c r="R147" s="2"/>
    </row>
    <row r="148" spans="1:18" ht="19.5" hidden="1" thickBot="1" x14ac:dyDescent="0.3">
      <c r="A148" s="991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3"/>
        <v>08,23</v>
      </c>
      <c r="L148" s="48"/>
      <c r="M148" s="48"/>
      <c r="N148" s="48"/>
      <c r="O148" s="2"/>
      <c r="P148" s="2"/>
      <c r="Q148" s="2"/>
      <c r="R148" s="2"/>
    </row>
    <row r="149" spans="1:18" ht="19.5" hidden="1" thickBot="1" x14ac:dyDescent="0.3">
      <c r="A149" s="991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3"/>
        <v>08,23</v>
      </c>
      <c r="L149" s="56"/>
      <c r="M149" s="56"/>
      <c r="N149" s="56"/>
      <c r="O149" s="2"/>
      <c r="P149" s="2"/>
      <c r="Q149" s="2"/>
      <c r="R149" s="2"/>
    </row>
    <row r="150" spans="1:18" ht="19.5" hidden="1" thickBot="1" x14ac:dyDescent="0.3">
      <c r="A150" s="991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3"/>
        <v>08,23</v>
      </c>
      <c r="L150" s="56"/>
      <c r="M150" s="56"/>
      <c r="N150" s="56"/>
      <c r="O150" s="2"/>
      <c r="P150" s="2"/>
      <c r="Q150" s="2"/>
      <c r="R150" s="2"/>
    </row>
    <row r="151" spans="1:18" ht="19.5" hidden="1" thickBot="1" x14ac:dyDescent="0.3">
      <c r="A151" s="991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3"/>
        <v>08,23</v>
      </c>
      <c r="L151" s="31"/>
      <c r="M151" s="31"/>
      <c r="N151" s="31"/>
      <c r="O151" s="2"/>
      <c r="P151" s="2"/>
      <c r="Q151" s="2"/>
      <c r="R151" s="2"/>
    </row>
    <row r="152" spans="1:18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3"/>
        <v>08,23</v>
      </c>
      <c r="L152" s="40"/>
      <c r="M152" s="40"/>
      <c r="N152" s="40"/>
      <c r="O152" s="2"/>
      <c r="P152" s="2"/>
      <c r="Q152" s="2"/>
      <c r="R152" s="2"/>
    </row>
    <row r="153" spans="1:18" ht="19.5" hidden="1" thickBot="1" x14ac:dyDescent="0.3">
      <c r="A153" s="991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3"/>
        <v>08,23</v>
      </c>
      <c r="L153" s="48"/>
      <c r="M153" s="48"/>
      <c r="N153" s="48"/>
      <c r="O153" s="2"/>
      <c r="P153" s="2"/>
      <c r="Q153" s="2"/>
      <c r="R153" s="2"/>
    </row>
    <row r="154" spans="1:18" ht="19.5" hidden="1" thickBot="1" x14ac:dyDescent="0.3">
      <c r="A154" s="991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3"/>
        <v>08,23</v>
      </c>
      <c r="L154" s="31"/>
      <c r="M154" s="31"/>
      <c r="N154" s="31"/>
      <c r="O154" s="2"/>
      <c r="P154" s="2"/>
      <c r="Q154" s="2"/>
      <c r="R154" s="2"/>
    </row>
    <row r="155" spans="1:18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3"/>
        <v>08,23</v>
      </c>
      <c r="L155" s="40"/>
      <c r="M155" s="40"/>
      <c r="N155" s="40"/>
      <c r="O155" s="2"/>
      <c r="P155" s="2"/>
      <c r="Q155" s="2"/>
      <c r="R155" s="2"/>
    </row>
    <row r="156" spans="1:18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3"/>
        <v>08,23</v>
      </c>
      <c r="L156" s="75"/>
      <c r="M156" s="75"/>
      <c r="N156" s="75"/>
      <c r="O156" s="2"/>
      <c r="P156" s="2"/>
      <c r="Q156" s="2"/>
      <c r="R156" s="2"/>
    </row>
    <row r="157" spans="1:18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3"/>
        <v>08,23</v>
      </c>
      <c r="L157" s="40"/>
      <c r="M157" s="40"/>
      <c r="N157" s="40"/>
      <c r="O157" s="2"/>
      <c r="P157" s="2"/>
      <c r="Q157" s="2"/>
      <c r="R157" s="2"/>
    </row>
    <row r="158" spans="1:18" ht="19.5" hidden="1" thickBot="1" x14ac:dyDescent="0.3">
      <c r="A158" s="991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3"/>
        <v>08,23</v>
      </c>
      <c r="L158" s="48"/>
      <c r="M158" s="48"/>
      <c r="N158" s="48"/>
      <c r="O158" s="2"/>
      <c r="P158" s="2"/>
      <c r="Q158" s="2"/>
      <c r="R158" s="2"/>
    </row>
    <row r="159" spans="1:18" ht="19.5" hidden="1" thickBot="1" x14ac:dyDescent="0.3">
      <c r="A159" s="991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3"/>
        <v>08,23</v>
      </c>
      <c r="L159" s="31"/>
      <c r="M159" s="31"/>
      <c r="N159" s="31"/>
      <c r="O159" s="2"/>
      <c r="P159" s="2"/>
      <c r="Q159" s="2"/>
      <c r="R159" s="2"/>
    </row>
    <row r="160" spans="1:18" ht="19.5" hidden="1" thickBot="1" x14ac:dyDescent="0.3">
      <c r="A160" s="990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3"/>
        <v>08,23</v>
      </c>
      <c r="L160" s="82"/>
      <c r="M160" s="82"/>
      <c r="N160" s="82"/>
      <c r="O160" s="2"/>
      <c r="P160" s="2"/>
      <c r="Q160" s="2"/>
      <c r="R160" s="2"/>
    </row>
    <row r="161" spans="1:18" ht="19.5" hidden="1" thickBot="1" x14ac:dyDescent="0.3">
      <c r="A161" s="990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3"/>
        <v>08,23</v>
      </c>
      <c r="L161" s="107"/>
      <c r="M161" s="107"/>
      <c r="N161" s="107"/>
      <c r="O161" s="2"/>
      <c r="P161" s="2"/>
      <c r="Q161" s="2"/>
      <c r="R161" s="2"/>
    </row>
    <row r="162" spans="1:18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3"/>
        <v>08,23</v>
      </c>
      <c r="L162" s="75"/>
      <c r="M162" s="75"/>
      <c r="N162" s="75"/>
      <c r="O162" s="2"/>
      <c r="P162" s="2"/>
      <c r="Q162" s="2"/>
      <c r="R162" s="2"/>
    </row>
    <row r="163" spans="1:18" ht="19.5" hidden="1" thickBot="1" x14ac:dyDescent="0.3">
      <c r="A163" s="990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3"/>
        <v>08,23</v>
      </c>
      <c r="L163" s="82"/>
      <c r="M163" s="82"/>
      <c r="N163" s="82"/>
      <c r="O163" s="2"/>
      <c r="P163" s="2"/>
      <c r="Q163" s="2"/>
      <c r="R163" s="2"/>
    </row>
    <row r="164" spans="1:18" ht="19.5" hidden="1" thickBot="1" x14ac:dyDescent="0.3">
      <c r="A164" s="990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3"/>
        <v>08,23</v>
      </c>
      <c r="L164" s="98"/>
      <c r="M164" s="98"/>
      <c r="N164" s="98"/>
      <c r="O164" s="2"/>
      <c r="P164" s="2"/>
      <c r="Q164" s="2"/>
      <c r="R164" s="2"/>
    </row>
    <row r="165" spans="1:18" ht="19.5" hidden="1" thickBot="1" x14ac:dyDescent="0.3">
      <c r="A165" s="990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3"/>
        <v>08,23</v>
      </c>
      <c r="L165" s="98"/>
      <c r="M165" s="98"/>
      <c r="N165" s="98"/>
      <c r="O165" s="2"/>
      <c r="P165" s="2"/>
      <c r="Q165" s="2"/>
      <c r="R165" s="2"/>
    </row>
    <row r="166" spans="1:18" ht="19.5" hidden="1" thickBot="1" x14ac:dyDescent="0.3">
      <c r="A166" s="990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3"/>
        <v>08,23</v>
      </c>
      <c r="L166" s="90"/>
      <c r="M166" s="90"/>
      <c r="N166" s="90"/>
      <c r="O166" s="2"/>
      <c r="P166" s="2"/>
      <c r="Q166" s="2"/>
      <c r="R166" s="2"/>
    </row>
    <row r="167" spans="1:18" ht="19.5" hidden="1" customHeight="1" thickBot="1" x14ac:dyDescent="0.3">
      <c r="A167" s="991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1006" t="s">
        <v>72</v>
      </c>
      <c r="H167" s="48" t="s">
        <v>78</v>
      </c>
      <c r="I167" s="116" t="s">
        <v>78</v>
      </c>
      <c r="J167" s="52"/>
      <c r="K167" s="48" t="str">
        <f t="shared" si="3"/>
        <v>08,23</v>
      </c>
      <c r="L167" s="48"/>
      <c r="M167" s="48"/>
      <c r="N167" s="48"/>
      <c r="O167" s="2"/>
      <c r="P167" s="2"/>
      <c r="Q167" s="2"/>
      <c r="R167" s="2"/>
    </row>
    <row r="168" spans="1:18" ht="19.5" hidden="1" thickBot="1" x14ac:dyDescent="0.3">
      <c r="A168" s="991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1006"/>
      <c r="H168" s="31" t="s">
        <v>78</v>
      </c>
      <c r="I168" s="118" t="s">
        <v>78</v>
      </c>
      <c r="J168" s="35"/>
      <c r="K168" s="31" t="str">
        <f t="shared" si="3"/>
        <v>08,23</v>
      </c>
      <c r="L168" s="31"/>
      <c r="M168" s="31"/>
      <c r="N168" s="31"/>
      <c r="O168" s="2"/>
      <c r="P168" s="2"/>
      <c r="Q168" s="2"/>
      <c r="R168" s="2"/>
    </row>
    <row r="169" spans="1:18" ht="19.5" hidden="1" thickBot="1" x14ac:dyDescent="0.3">
      <c r="A169" s="990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3"/>
        <v>08,23</v>
      </c>
      <c r="L169" s="82"/>
      <c r="M169" s="82"/>
      <c r="N169" s="82"/>
      <c r="O169" s="2"/>
      <c r="P169" s="2"/>
      <c r="Q169" s="2"/>
      <c r="R169" s="2"/>
    </row>
    <row r="170" spans="1:18" ht="19.5" hidden="1" thickBot="1" x14ac:dyDescent="0.3">
      <c r="A170" s="990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3"/>
        <v>08,23</v>
      </c>
      <c r="L170" s="107"/>
      <c r="M170" s="107"/>
      <c r="N170" s="107"/>
      <c r="O170" s="2"/>
      <c r="P170" s="2"/>
      <c r="Q170" s="2"/>
      <c r="R170" s="2"/>
    </row>
    <row r="171" spans="1:18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3"/>
        <v>08,23</v>
      </c>
      <c r="L171" s="75"/>
      <c r="M171" s="75"/>
      <c r="N171" s="75"/>
      <c r="O171" s="2"/>
      <c r="P171" s="2"/>
      <c r="Q171" s="2"/>
      <c r="R171" s="2"/>
    </row>
    <row r="172" spans="1:18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3"/>
        <v>08,23</v>
      </c>
      <c r="L172" s="122"/>
      <c r="M172" s="122"/>
      <c r="N172" s="122"/>
      <c r="O172" s="2"/>
      <c r="P172" s="2"/>
      <c r="Q172" s="2"/>
      <c r="R172" s="2"/>
    </row>
    <row r="173" spans="1:18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3"/>
        <v>08,23</v>
      </c>
      <c r="L173" s="158"/>
      <c r="M173" s="158"/>
      <c r="N173" s="158"/>
      <c r="O173" s="2"/>
      <c r="P173" s="2"/>
      <c r="Q173" s="2"/>
      <c r="R173" s="2"/>
    </row>
    <row r="174" spans="1:18" ht="19.5" hidden="1" thickBot="1" x14ac:dyDescent="0.3">
      <c r="A174" s="990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3"/>
        <v>08,23</v>
      </c>
      <c r="L174" s="82"/>
      <c r="M174" s="82"/>
      <c r="N174" s="82"/>
      <c r="O174" s="2"/>
      <c r="P174" s="2"/>
      <c r="Q174" s="2"/>
      <c r="R174" s="2"/>
    </row>
    <row r="175" spans="1:18" ht="19.5" hidden="1" thickBot="1" x14ac:dyDescent="0.3">
      <c r="A175" s="990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3"/>
        <v>08,23</v>
      </c>
      <c r="L175" s="109"/>
      <c r="M175" s="109"/>
      <c r="N175" s="109"/>
      <c r="O175" s="2"/>
      <c r="P175" s="2"/>
      <c r="Q175" s="2"/>
      <c r="R175" s="2"/>
    </row>
    <row r="176" spans="1:18" ht="19.5" hidden="1" thickBot="1" x14ac:dyDescent="0.3">
      <c r="A176" s="990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3"/>
        <v>08,23</v>
      </c>
      <c r="L176" s="109"/>
      <c r="M176" s="109"/>
      <c r="N176" s="109"/>
      <c r="O176" s="2"/>
      <c r="P176" s="2"/>
      <c r="Q176" s="2"/>
      <c r="R176" s="2"/>
    </row>
    <row r="177" spans="1:18" ht="19.5" hidden="1" thickBot="1" x14ac:dyDescent="0.3">
      <c r="A177" s="990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3"/>
        <v>08,23</v>
      </c>
      <c r="L177" s="109"/>
      <c r="M177" s="109"/>
      <c r="N177" s="109"/>
      <c r="O177" s="2"/>
      <c r="P177" s="2"/>
      <c r="Q177" s="2"/>
      <c r="R177" s="2"/>
    </row>
    <row r="178" spans="1:18" ht="19.5" hidden="1" thickBot="1" x14ac:dyDescent="0.3">
      <c r="A178" s="990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3"/>
        <v>08,23</v>
      </c>
      <c r="L178" s="107"/>
      <c r="M178" s="107"/>
      <c r="N178" s="107"/>
      <c r="O178" s="2"/>
      <c r="P178" s="2"/>
      <c r="Q178" s="2"/>
      <c r="R178" s="2"/>
    </row>
    <row r="179" spans="1:18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3"/>
        <v>08,23</v>
      </c>
      <c r="L179" s="75"/>
      <c r="M179" s="75"/>
      <c r="N179" s="75"/>
      <c r="O179" s="2"/>
      <c r="P179" s="2"/>
      <c r="Q179" s="2"/>
      <c r="R179" s="2"/>
    </row>
    <row r="180" spans="1:18" ht="19.5" hidden="1" thickBot="1" x14ac:dyDescent="0.3">
      <c r="A180" s="990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3"/>
        <v>08,23</v>
      </c>
      <c r="L180" s="82"/>
      <c r="M180" s="82"/>
      <c r="N180" s="82"/>
      <c r="O180" s="2"/>
      <c r="P180" s="2"/>
      <c r="Q180" s="2"/>
      <c r="R180" s="2"/>
    </row>
    <row r="181" spans="1:18" ht="19.5" hidden="1" thickBot="1" x14ac:dyDescent="0.3">
      <c r="A181" s="990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3"/>
        <v>08,23</v>
      </c>
      <c r="L181" s="107"/>
      <c r="M181" s="107"/>
      <c r="N181" s="107"/>
      <c r="O181" s="2"/>
      <c r="P181" s="2"/>
      <c r="Q181" s="2"/>
      <c r="R181" s="2"/>
    </row>
    <row r="182" spans="1:18" ht="19.5" hidden="1" thickBot="1" x14ac:dyDescent="0.3">
      <c r="A182" s="991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3"/>
        <v>08,23</v>
      </c>
      <c r="L182" s="48"/>
      <c r="M182" s="48"/>
      <c r="N182" s="48"/>
      <c r="O182" s="2"/>
      <c r="P182" s="2"/>
      <c r="Q182" s="2"/>
      <c r="R182" s="2"/>
    </row>
    <row r="183" spans="1:18" ht="19.5" hidden="1" thickBot="1" x14ac:dyDescent="0.3">
      <c r="A183" s="991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3"/>
        <v>08,23</v>
      </c>
      <c r="L183" s="31"/>
      <c r="M183" s="31"/>
      <c r="N183" s="31"/>
      <c r="O183" s="2"/>
      <c r="P183" s="2"/>
      <c r="Q183" s="2"/>
      <c r="R183" s="2"/>
    </row>
    <row r="184" spans="1:18" ht="19.5" hidden="1" thickBot="1" x14ac:dyDescent="0.3">
      <c r="A184" s="990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3"/>
        <v>08,23</v>
      </c>
      <c r="L184" s="82"/>
      <c r="M184" s="82"/>
      <c r="N184" s="82"/>
      <c r="O184" s="2"/>
      <c r="P184" s="2"/>
      <c r="Q184" s="2"/>
      <c r="R184" s="2"/>
    </row>
    <row r="185" spans="1:18" ht="19.5" hidden="1" thickBot="1" x14ac:dyDescent="0.3">
      <c r="A185" s="990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3"/>
        <v>08,23</v>
      </c>
      <c r="L185" s="107"/>
      <c r="M185" s="107"/>
      <c r="N185" s="107"/>
      <c r="O185" s="2"/>
      <c r="P185" s="2"/>
      <c r="Q185" s="2"/>
      <c r="R185" s="2"/>
    </row>
    <row r="186" spans="1:18" ht="19.5" hidden="1" thickBot="1" x14ac:dyDescent="0.3">
      <c r="A186" s="991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3"/>
        <v>08,23</v>
      </c>
      <c r="L186" s="48"/>
      <c r="M186" s="48"/>
      <c r="N186" s="48"/>
      <c r="O186" s="2"/>
      <c r="P186" s="2"/>
      <c r="Q186" s="2"/>
      <c r="R186" s="2"/>
    </row>
    <row r="187" spans="1:18" ht="19.5" hidden="1" thickBot="1" x14ac:dyDescent="0.3">
      <c r="A187" s="991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3"/>
        <v>08,23</v>
      </c>
      <c r="L187" s="31"/>
      <c r="M187" s="31"/>
      <c r="N187" s="31"/>
      <c r="O187" s="2"/>
      <c r="P187" s="2"/>
      <c r="Q187" s="2"/>
      <c r="R187" s="2"/>
    </row>
    <row r="188" spans="1:18" ht="19.5" hidden="1" thickBot="1" x14ac:dyDescent="0.3">
      <c r="A188" s="990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3"/>
        <v>08,23</v>
      </c>
      <c r="L188" s="82"/>
      <c r="M188" s="82"/>
      <c r="N188" s="82"/>
      <c r="O188" s="2"/>
      <c r="P188" s="2"/>
      <c r="Q188" s="2"/>
      <c r="R188" s="2"/>
    </row>
    <row r="189" spans="1:18" ht="19.5" hidden="1" thickBot="1" x14ac:dyDescent="0.3">
      <c r="A189" s="990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3"/>
        <v>08,23</v>
      </c>
      <c r="L189" s="107"/>
      <c r="M189" s="107"/>
      <c r="N189" s="107"/>
      <c r="O189" s="2"/>
      <c r="P189" s="2"/>
      <c r="Q189" s="2"/>
      <c r="R189" s="2"/>
    </row>
    <row r="190" spans="1:18" ht="19.5" hidden="1" thickBot="1" x14ac:dyDescent="0.3">
      <c r="A190" s="991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3"/>
        <v>08,23</v>
      </c>
      <c r="L190" s="48"/>
      <c r="M190" s="48"/>
      <c r="N190" s="48"/>
      <c r="O190" s="2"/>
      <c r="P190" s="2"/>
      <c r="Q190" s="2"/>
      <c r="R190" s="2"/>
    </row>
    <row r="191" spans="1:18" ht="19.5" hidden="1" thickBot="1" x14ac:dyDescent="0.3">
      <c r="A191" s="991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3"/>
        <v>08,23</v>
      </c>
      <c r="L191" s="56"/>
      <c r="M191" s="56"/>
      <c r="N191" s="56"/>
      <c r="O191" s="2"/>
      <c r="P191" s="2"/>
      <c r="Q191" s="2"/>
      <c r="R191" s="2"/>
    </row>
    <row r="192" spans="1:18" ht="19.5" hidden="1" thickBot="1" x14ac:dyDescent="0.3">
      <c r="A192" s="991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3"/>
        <v>08,23</v>
      </c>
      <c r="L192" s="31"/>
      <c r="M192" s="31"/>
      <c r="N192" s="31"/>
      <c r="O192" s="2"/>
      <c r="P192" s="2"/>
      <c r="Q192" s="2"/>
      <c r="R192" s="2"/>
    </row>
    <row r="193" spans="1:18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3"/>
        <v>08,23</v>
      </c>
      <c r="L193" s="40"/>
      <c r="M193" s="40"/>
      <c r="N193" s="40"/>
      <c r="O193" s="2"/>
      <c r="P193" s="2"/>
      <c r="Q193" s="2"/>
      <c r="R193" s="2"/>
    </row>
    <row r="194" spans="1:18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3"/>
        <v>08,23</v>
      </c>
      <c r="L194" s="75"/>
      <c r="M194" s="75"/>
      <c r="N194" s="75"/>
      <c r="O194" s="2"/>
      <c r="P194" s="2"/>
      <c r="Q194" s="2"/>
      <c r="R194" s="2"/>
    </row>
    <row r="195" spans="1:18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4">RIGHT(H195,5)</f>
        <v>08,23</v>
      </c>
      <c r="L195" s="40"/>
      <c r="M195" s="40"/>
      <c r="N195" s="40"/>
      <c r="O195" s="2"/>
      <c r="P195" s="2"/>
      <c r="Q195" s="2"/>
      <c r="R195" s="2"/>
    </row>
    <row r="196" spans="1:18" ht="19.5" hidden="1" thickBot="1" x14ac:dyDescent="0.3">
      <c r="A196" s="991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4"/>
        <v>08,23</v>
      </c>
      <c r="L196" s="48"/>
      <c r="M196" s="48"/>
      <c r="N196" s="48"/>
      <c r="O196" s="2"/>
      <c r="P196" s="2"/>
      <c r="Q196" s="2"/>
      <c r="R196" s="2"/>
    </row>
    <row r="197" spans="1:18" ht="19.5" hidden="1" thickBot="1" x14ac:dyDescent="0.3">
      <c r="A197" s="991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4"/>
        <v>08,23</v>
      </c>
      <c r="L197" s="31"/>
      <c r="M197" s="31"/>
      <c r="N197" s="31"/>
      <c r="O197" s="2"/>
      <c r="P197" s="2"/>
      <c r="Q197" s="2"/>
      <c r="R197" s="2"/>
    </row>
    <row r="198" spans="1:18" ht="19.5" hidden="1" thickBot="1" x14ac:dyDescent="0.3">
      <c r="A198" s="990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4"/>
        <v>08,23</v>
      </c>
      <c r="L198" s="82"/>
      <c r="M198" s="82"/>
      <c r="N198" s="82"/>
      <c r="O198" s="2"/>
      <c r="P198" s="2"/>
      <c r="Q198" s="2"/>
      <c r="R198" s="2"/>
    </row>
    <row r="199" spans="1:18" ht="19.5" hidden="1" thickBot="1" x14ac:dyDescent="0.3">
      <c r="A199" s="990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4"/>
        <v>08,23</v>
      </c>
      <c r="L199" s="107"/>
      <c r="M199" s="107"/>
      <c r="N199" s="107"/>
      <c r="O199" s="2"/>
      <c r="P199" s="2"/>
      <c r="Q199" s="2"/>
      <c r="R199" s="2"/>
    </row>
    <row r="200" spans="1:18" ht="19.5" hidden="1" thickBot="1" x14ac:dyDescent="0.3">
      <c r="A200" s="991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4"/>
        <v>08,23</v>
      </c>
      <c r="L200" s="48"/>
      <c r="M200" s="48"/>
      <c r="N200" s="48"/>
      <c r="O200" s="2"/>
      <c r="P200" s="2"/>
      <c r="Q200" s="2"/>
      <c r="R200" s="2"/>
    </row>
    <row r="201" spans="1:18" ht="19.5" hidden="1" thickBot="1" x14ac:dyDescent="0.3">
      <c r="A201" s="991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4"/>
        <v>08,23</v>
      </c>
      <c r="L201" s="56"/>
      <c r="M201" s="56"/>
      <c r="N201" s="56"/>
      <c r="O201" s="2"/>
      <c r="P201" s="2"/>
      <c r="Q201" s="2"/>
      <c r="R201" s="2"/>
    </row>
    <row r="202" spans="1:18" ht="19.5" hidden="1" thickBot="1" x14ac:dyDescent="0.3">
      <c r="A202" s="991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4"/>
        <v>08,23</v>
      </c>
      <c r="L202" s="31"/>
      <c r="M202" s="31"/>
      <c r="N202" s="31"/>
      <c r="O202" s="2"/>
      <c r="P202" s="2"/>
      <c r="Q202" s="2"/>
      <c r="R202" s="2"/>
    </row>
    <row r="203" spans="1:18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4"/>
        <v>08,23</v>
      </c>
      <c r="L203" s="40"/>
      <c r="M203" s="40"/>
      <c r="N203" s="40"/>
      <c r="O203" s="2"/>
      <c r="P203" s="2"/>
      <c r="Q203" s="2"/>
      <c r="R203" s="2"/>
    </row>
    <row r="204" spans="1:18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4"/>
        <v>08,23</v>
      </c>
      <c r="L204" s="75"/>
      <c r="M204" s="75"/>
      <c r="N204" s="75"/>
      <c r="O204" s="2"/>
      <c r="P204" s="2"/>
      <c r="Q204" s="2"/>
      <c r="R204" s="2"/>
    </row>
    <row r="205" spans="1:18" ht="19.5" hidden="1" thickBot="1" x14ac:dyDescent="0.3">
      <c r="A205" s="990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4"/>
        <v>08,23</v>
      </c>
      <c r="L205" s="82"/>
      <c r="M205" s="82"/>
      <c r="N205" s="82"/>
      <c r="O205" s="2"/>
      <c r="P205" s="2"/>
      <c r="Q205" s="2"/>
      <c r="R205" s="2"/>
    </row>
    <row r="206" spans="1:18" ht="19.5" hidden="1" thickBot="1" x14ac:dyDescent="0.3">
      <c r="A206" s="990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4"/>
        <v>08,23</v>
      </c>
      <c r="L206" s="107"/>
      <c r="M206" s="107"/>
      <c r="N206" s="107"/>
      <c r="O206" s="2"/>
      <c r="P206" s="2"/>
      <c r="Q206" s="2"/>
      <c r="R206" s="2"/>
    </row>
    <row r="207" spans="1:18" ht="19.5" hidden="1" thickBot="1" x14ac:dyDescent="0.3">
      <c r="A207" s="991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4"/>
        <v>08,23</v>
      </c>
      <c r="L207" s="48"/>
      <c r="M207" s="48"/>
      <c r="N207" s="48"/>
      <c r="O207" s="2"/>
      <c r="P207" s="2"/>
      <c r="Q207" s="2"/>
      <c r="R207" s="2"/>
    </row>
    <row r="208" spans="1:18" ht="19.5" hidden="1" thickBot="1" x14ac:dyDescent="0.3">
      <c r="A208" s="991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4"/>
        <v>08,23</v>
      </c>
      <c r="L208" s="31"/>
      <c r="M208" s="31"/>
      <c r="N208" s="31"/>
      <c r="O208" s="2"/>
      <c r="P208" s="2"/>
      <c r="Q208" s="2"/>
      <c r="R208" s="2"/>
    </row>
    <row r="209" spans="1:18" ht="19.5" hidden="1" thickBot="1" x14ac:dyDescent="0.3">
      <c r="A209" s="990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4"/>
        <v>08,23</v>
      </c>
      <c r="L209" s="82"/>
      <c r="M209" s="82"/>
      <c r="N209" s="82"/>
      <c r="O209" s="2"/>
      <c r="P209" s="2"/>
      <c r="Q209" s="2"/>
      <c r="R209" s="2"/>
    </row>
    <row r="210" spans="1:18" ht="19.5" hidden="1" thickBot="1" x14ac:dyDescent="0.3">
      <c r="A210" s="990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4"/>
        <v>08,23</v>
      </c>
      <c r="L210" s="107"/>
      <c r="M210" s="107"/>
      <c r="N210" s="107"/>
      <c r="O210" s="2"/>
      <c r="P210" s="2"/>
      <c r="Q210" s="2"/>
      <c r="R210" s="2"/>
    </row>
    <row r="211" spans="1:18" ht="19.5" hidden="1" thickBot="1" x14ac:dyDescent="0.3">
      <c r="A211" s="991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4"/>
        <v>08,23</v>
      </c>
      <c r="L211" s="48"/>
      <c r="M211" s="48"/>
      <c r="N211" s="48"/>
      <c r="O211" s="2"/>
      <c r="P211" s="2"/>
      <c r="Q211" s="2"/>
      <c r="R211" s="2"/>
    </row>
    <row r="212" spans="1:18" ht="19.5" hidden="1" thickBot="1" x14ac:dyDescent="0.3">
      <c r="A212" s="991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4"/>
        <v>08,23</v>
      </c>
      <c r="L212" s="31"/>
      <c r="M212" s="31"/>
      <c r="N212" s="31"/>
      <c r="O212" s="2"/>
      <c r="P212" s="2"/>
      <c r="Q212" s="2"/>
      <c r="R212" s="2"/>
    </row>
    <row r="213" spans="1:18" ht="19.5" hidden="1" thickBot="1" x14ac:dyDescent="0.3">
      <c r="A213" s="990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4"/>
        <v>08,23</v>
      </c>
      <c r="L213" s="82"/>
      <c r="M213" s="82"/>
      <c r="N213" s="82"/>
      <c r="O213" s="2"/>
      <c r="P213" s="2"/>
      <c r="Q213" s="2"/>
      <c r="R213" s="2"/>
    </row>
    <row r="214" spans="1:18" ht="19.5" hidden="1" thickBot="1" x14ac:dyDescent="0.3">
      <c r="A214" s="990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4"/>
        <v>08,23</v>
      </c>
      <c r="L214" s="109"/>
      <c r="M214" s="109"/>
      <c r="N214" s="109"/>
      <c r="O214" s="2"/>
      <c r="P214" s="2"/>
      <c r="Q214" s="2"/>
      <c r="R214" s="2"/>
    </row>
    <row r="215" spans="1:18" ht="19.5" hidden="1" thickBot="1" x14ac:dyDescent="0.3">
      <c r="A215" s="990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4"/>
        <v>08,23</v>
      </c>
      <c r="L215" s="107"/>
      <c r="M215" s="107"/>
      <c r="N215" s="107"/>
      <c r="O215" s="2"/>
      <c r="P215" s="2"/>
      <c r="Q215" s="2"/>
      <c r="R215" s="2"/>
    </row>
    <row r="216" spans="1:18" ht="19.5" hidden="1" thickBot="1" x14ac:dyDescent="0.3">
      <c r="A216" s="991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4"/>
        <v>08,23</v>
      </c>
      <c r="L216" s="48"/>
      <c r="M216" s="48"/>
      <c r="N216" s="48"/>
      <c r="O216" s="2"/>
      <c r="P216" s="2"/>
      <c r="Q216" s="2"/>
      <c r="R216" s="2"/>
    </row>
    <row r="217" spans="1:18" ht="19.5" hidden="1" thickBot="1" x14ac:dyDescent="0.3">
      <c r="A217" s="991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4"/>
        <v>08,23</v>
      </c>
      <c r="L217" s="31"/>
      <c r="M217" s="31"/>
      <c r="N217" s="31"/>
      <c r="O217" s="2"/>
      <c r="P217" s="2"/>
      <c r="Q217" s="2"/>
      <c r="R217" s="2"/>
    </row>
    <row r="218" spans="1:18" ht="19.5" hidden="1" customHeight="1" thickBot="1" x14ac:dyDescent="0.3">
      <c r="A218" s="990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1001" t="s">
        <v>72</v>
      </c>
      <c r="H218" s="82" t="s">
        <v>86</v>
      </c>
      <c r="I218" s="114" t="s">
        <v>86</v>
      </c>
      <c r="J218" s="86"/>
      <c r="K218" s="82" t="str">
        <f t="shared" si="4"/>
        <v>08,23</v>
      </c>
      <c r="L218" s="82"/>
      <c r="M218" s="82"/>
      <c r="N218" s="82"/>
      <c r="O218" s="2"/>
      <c r="P218" s="2"/>
      <c r="Q218" s="2"/>
      <c r="R218" s="2"/>
    </row>
    <row r="219" spans="1:18" ht="19.5" hidden="1" thickBot="1" x14ac:dyDescent="0.3">
      <c r="A219" s="990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1001"/>
      <c r="H219" s="107" t="s">
        <v>86</v>
      </c>
      <c r="I219" s="115" t="s">
        <v>86</v>
      </c>
      <c r="J219" s="94"/>
      <c r="K219" s="107" t="str">
        <f t="shared" si="4"/>
        <v>08,23</v>
      </c>
      <c r="L219" s="107"/>
      <c r="M219" s="107"/>
      <c r="N219" s="107"/>
      <c r="O219" s="2"/>
      <c r="P219" s="2"/>
      <c r="Q219" s="2"/>
      <c r="R219" s="2"/>
    </row>
    <row r="220" spans="1:18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4"/>
        <v>08,23</v>
      </c>
      <c r="L220" s="75"/>
      <c r="M220" s="75"/>
      <c r="N220" s="75"/>
      <c r="O220" s="2"/>
      <c r="P220" s="2"/>
      <c r="Q220" s="2"/>
      <c r="R220" s="2"/>
    </row>
    <row r="221" spans="1:18" ht="19.5" hidden="1" thickBot="1" x14ac:dyDescent="0.3">
      <c r="A221" s="990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4"/>
        <v>08,23</v>
      </c>
      <c r="L221" s="82"/>
      <c r="M221" s="82"/>
      <c r="N221" s="82"/>
      <c r="O221" s="2"/>
      <c r="P221" s="2"/>
      <c r="Q221" s="2"/>
      <c r="R221" s="2"/>
    </row>
    <row r="222" spans="1:18" ht="19.5" hidden="1" thickBot="1" x14ac:dyDescent="0.3">
      <c r="A222" s="990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4"/>
        <v>08,23</v>
      </c>
      <c r="L222" s="107"/>
      <c r="M222" s="107"/>
      <c r="N222" s="107"/>
      <c r="O222" s="2"/>
      <c r="P222" s="2"/>
      <c r="Q222" s="2"/>
      <c r="R222" s="2"/>
    </row>
    <row r="223" spans="1:18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4"/>
        <v>08,23</v>
      </c>
      <c r="L223" s="75"/>
      <c r="M223" s="75"/>
      <c r="N223" s="75"/>
      <c r="O223" s="2"/>
      <c r="P223" s="2"/>
      <c r="Q223" s="2"/>
      <c r="R223" s="2"/>
    </row>
    <row r="224" spans="1:18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4"/>
        <v>08,23</v>
      </c>
      <c r="L224" s="40"/>
      <c r="M224" s="40"/>
      <c r="N224" s="40"/>
      <c r="O224" s="2"/>
      <c r="P224" s="2"/>
      <c r="Q224" s="2"/>
      <c r="R224" s="2"/>
    </row>
    <row r="225" spans="1:18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4"/>
        <v>08,23</v>
      </c>
      <c r="L225" s="75"/>
      <c r="M225" s="75"/>
      <c r="N225" s="75"/>
      <c r="O225" s="2"/>
      <c r="P225" s="2"/>
      <c r="Q225" s="2"/>
      <c r="R225" s="2"/>
    </row>
    <row r="226" spans="1:18" ht="75.75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4"/>
        <v>08,23</v>
      </c>
      <c r="L226" s="40"/>
      <c r="M226" s="40"/>
      <c r="N226" s="40"/>
      <c r="O226" s="2"/>
      <c r="P226" s="2"/>
      <c r="Q226" s="2"/>
      <c r="R226" s="2"/>
    </row>
    <row r="227" spans="1:18" ht="19.5" hidden="1" thickBot="1" x14ac:dyDescent="0.3">
      <c r="A227" s="991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4"/>
        <v>08,23</v>
      </c>
      <c r="L227" s="48"/>
      <c r="M227" s="48"/>
      <c r="N227" s="48"/>
      <c r="O227" s="2"/>
      <c r="P227" s="2"/>
      <c r="Q227" s="2"/>
      <c r="R227" s="2"/>
    </row>
    <row r="228" spans="1:18" ht="19.5" hidden="1" thickBot="1" x14ac:dyDescent="0.3">
      <c r="A228" s="991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4"/>
        <v>08,23</v>
      </c>
      <c r="L228" s="56"/>
      <c r="M228" s="56"/>
      <c r="N228" s="56"/>
      <c r="O228" s="2"/>
      <c r="P228" s="2"/>
      <c r="Q228" s="2"/>
      <c r="R228" s="2"/>
    </row>
    <row r="229" spans="1:18" ht="19.5" hidden="1" thickBot="1" x14ac:dyDescent="0.3">
      <c r="A229" s="991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4"/>
        <v>08,23</v>
      </c>
      <c r="L229" s="56"/>
      <c r="M229" s="56"/>
      <c r="N229" s="56"/>
      <c r="O229" s="2"/>
      <c r="P229" s="2"/>
      <c r="Q229" s="2"/>
      <c r="R229" s="2"/>
    </row>
    <row r="230" spans="1:18" ht="19.5" hidden="1" thickBot="1" x14ac:dyDescent="0.3">
      <c r="A230" s="991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4"/>
        <v>08,23</v>
      </c>
      <c r="L230" s="31"/>
      <c r="M230" s="31"/>
      <c r="N230" s="31"/>
      <c r="O230" s="2"/>
      <c r="P230" s="2"/>
      <c r="Q230" s="2"/>
      <c r="R230" s="2"/>
    </row>
    <row r="231" spans="1:18" ht="19.5" hidden="1" thickBot="1" x14ac:dyDescent="0.3">
      <c r="A231" s="990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4"/>
        <v>08,23</v>
      </c>
      <c r="L231" s="82"/>
      <c r="M231" s="82"/>
      <c r="N231" s="82"/>
      <c r="O231" s="2"/>
      <c r="P231" s="2"/>
      <c r="Q231" s="2"/>
      <c r="R231" s="2"/>
    </row>
    <row r="232" spans="1:18" ht="19.5" hidden="1" thickBot="1" x14ac:dyDescent="0.3">
      <c r="A232" s="990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4"/>
        <v>08,23</v>
      </c>
      <c r="L232" s="107"/>
      <c r="M232" s="107"/>
      <c r="N232" s="107"/>
      <c r="O232" s="2"/>
      <c r="P232" s="2"/>
      <c r="Q232" s="2"/>
      <c r="R232" s="2"/>
    </row>
    <row r="233" spans="1:18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4"/>
        <v>08,23</v>
      </c>
      <c r="L233" s="75"/>
      <c r="M233" s="75"/>
      <c r="N233" s="75"/>
      <c r="O233" s="2"/>
      <c r="P233" s="2"/>
      <c r="Q233" s="2"/>
      <c r="R233" s="2"/>
    </row>
    <row r="234" spans="1:18" ht="19.5" hidden="1" thickBot="1" x14ac:dyDescent="0.3">
      <c r="A234" s="990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4"/>
        <v>08,23</v>
      </c>
      <c r="L234" s="82"/>
      <c r="M234" s="82"/>
      <c r="N234" s="82"/>
      <c r="O234" s="2"/>
      <c r="P234" s="2"/>
      <c r="Q234" s="2"/>
      <c r="R234" s="2"/>
    </row>
    <row r="235" spans="1:18" ht="19.5" hidden="1" thickBot="1" x14ac:dyDescent="0.3">
      <c r="A235" s="990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4"/>
        <v>08,23</v>
      </c>
      <c r="L235" s="109"/>
      <c r="M235" s="109"/>
      <c r="N235" s="109"/>
      <c r="O235" s="2"/>
      <c r="P235" s="2"/>
      <c r="Q235" s="2"/>
      <c r="R235" s="2"/>
    </row>
    <row r="236" spans="1:18" ht="19.5" hidden="1" thickBot="1" x14ac:dyDescent="0.3">
      <c r="A236" s="990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4"/>
        <v>08,23</v>
      </c>
      <c r="L236" s="109"/>
      <c r="M236" s="109"/>
      <c r="N236" s="109"/>
      <c r="O236" s="2"/>
      <c r="P236" s="2"/>
      <c r="Q236" s="2"/>
      <c r="R236" s="2"/>
    </row>
    <row r="237" spans="1:18" ht="19.5" hidden="1" thickBot="1" x14ac:dyDescent="0.3">
      <c r="A237" s="990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4"/>
        <v>08,23</v>
      </c>
      <c r="L237" s="107"/>
      <c r="M237" s="107"/>
      <c r="N237" s="107"/>
      <c r="O237" s="2"/>
      <c r="P237" s="2"/>
      <c r="Q237" s="2"/>
      <c r="R237" s="2"/>
    </row>
    <row r="238" spans="1:18" ht="19.5" hidden="1" thickBot="1" x14ac:dyDescent="0.3">
      <c r="A238" s="991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4"/>
        <v>08,23</v>
      </c>
      <c r="L238" s="48"/>
      <c r="M238" s="48"/>
      <c r="N238" s="48"/>
      <c r="O238" s="2"/>
      <c r="P238" s="2"/>
      <c r="Q238" s="2"/>
      <c r="R238" s="2"/>
    </row>
    <row r="239" spans="1:18" ht="19.5" hidden="1" thickBot="1" x14ac:dyDescent="0.3">
      <c r="A239" s="991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4"/>
        <v>08,23</v>
      </c>
      <c r="L239" s="31"/>
      <c r="M239" s="31"/>
      <c r="N239" s="31"/>
      <c r="O239" s="2"/>
      <c r="P239" s="2"/>
      <c r="Q239" s="2"/>
      <c r="R239" s="2"/>
    </row>
    <row r="240" spans="1:18" ht="19.5" hidden="1" thickBot="1" x14ac:dyDescent="0.3">
      <c r="A240" s="990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4"/>
        <v>08,23</v>
      </c>
      <c r="L240" s="82"/>
      <c r="M240" s="82"/>
      <c r="N240" s="82"/>
      <c r="O240" s="2"/>
      <c r="P240" s="2"/>
      <c r="Q240" s="2"/>
      <c r="R240" s="2"/>
    </row>
    <row r="241" spans="1:18" ht="19.5" hidden="1" thickBot="1" x14ac:dyDescent="0.3">
      <c r="A241" s="990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4"/>
        <v>08,23</v>
      </c>
      <c r="L241" s="107"/>
      <c r="M241" s="107"/>
      <c r="N241" s="107"/>
      <c r="O241" s="2"/>
      <c r="P241" s="2"/>
      <c r="Q241" s="2"/>
      <c r="R241" s="2"/>
    </row>
    <row r="242" spans="1:18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4"/>
        <v>08,23</v>
      </c>
      <c r="L242" s="75"/>
      <c r="M242" s="75"/>
      <c r="N242" s="75"/>
      <c r="O242" s="2"/>
      <c r="P242" s="2"/>
      <c r="Q242" s="2"/>
      <c r="R242" s="2"/>
    </row>
    <row r="243" spans="1:18" ht="19.5" hidden="1" thickBot="1" x14ac:dyDescent="0.3">
      <c r="A243" s="990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4"/>
        <v>08,23</v>
      </c>
      <c r="L243" s="82"/>
      <c r="M243" s="82"/>
      <c r="N243" s="82"/>
      <c r="O243" s="2"/>
      <c r="P243" s="2"/>
      <c r="Q243" s="2"/>
      <c r="R243" s="2"/>
    </row>
    <row r="244" spans="1:18" ht="19.5" hidden="1" thickBot="1" x14ac:dyDescent="0.3">
      <c r="A244" s="990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4"/>
        <v>08,23</v>
      </c>
      <c r="L244" s="107"/>
      <c r="M244" s="107"/>
      <c r="N244" s="107"/>
      <c r="O244" s="2"/>
      <c r="P244" s="2"/>
      <c r="Q244" s="2"/>
      <c r="R244" s="2"/>
    </row>
    <row r="245" spans="1:18" ht="19.5" hidden="1" thickBot="1" x14ac:dyDescent="0.3">
      <c r="A245" s="991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4"/>
        <v>08,23</v>
      </c>
      <c r="L245" s="48"/>
      <c r="M245" s="48"/>
      <c r="N245" s="48"/>
      <c r="O245" s="2"/>
      <c r="P245" s="2"/>
      <c r="Q245" s="2"/>
      <c r="R245" s="2"/>
    </row>
    <row r="246" spans="1:18" ht="19.5" hidden="1" thickBot="1" x14ac:dyDescent="0.3">
      <c r="A246" s="991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4"/>
        <v>08,23</v>
      </c>
      <c r="L246" s="31"/>
      <c r="M246" s="31"/>
      <c r="N246" s="31"/>
      <c r="O246" s="2"/>
      <c r="P246" s="2"/>
      <c r="Q246" s="2"/>
      <c r="R246" s="2"/>
    </row>
    <row r="247" spans="1:18" ht="19.5" hidden="1" thickBot="1" x14ac:dyDescent="0.3">
      <c r="A247" s="990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4"/>
        <v>08,23</v>
      </c>
      <c r="L247" s="82"/>
      <c r="M247" s="82"/>
      <c r="N247" s="82"/>
      <c r="O247" s="2"/>
      <c r="P247" s="2"/>
      <c r="Q247" s="2"/>
      <c r="R247" s="2"/>
    </row>
    <row r="248" spans="1:18" ht="19.5" hidden="1" thickBot="1" x14ac:dyDescent="0.3">
      <c r="A248" s="990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4"/>
        <v>08,23</v>
      </c>
      <c r="L248" s="109"/>
      <c r="M248" s="109"/>
      <c r="N248" s="109"/>
      <c r="O248" s="2"/>
      <c r="P248" s="2"/>
      <c r="Q248" s="2"/>
      <c r="R248" s="2"/>
    </row>
    <row r="249" spans="1:18" ht="19.5" hidden="1" thickBot="1" x14ac:dyDescent="0.3">
      <c r="A249" s="990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4"/>
        <v>08,23</v>
      </c>
      <c r="L249" s="109"/>
      <c r="M249" s="109"/>
      <c r="N249" s="109"/>
      <c r="O249" s="2"/>
      <c r="P249" s="2"/>
      <c r="Q249" s="2"/>
      <c r="R249" s="2"/>
    </row>
    <row r="250" spans="1:18" ht="19.5" hidden="1" thickBot="1" x14ac:dyDescent="0.3">
      <c r="A250" s="990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4"/>
        <v>08,23</v>
      </c>
      <c r="L250" s="109"/>
      <c r="M250" s="109"/>
      <c r="N250" s="109"/>
      <c r="O250" s="2"/>
      <c r="P250" s="2"/>
      <c r="Q250" s="2"/>
      <c r="R250" s="2"/>
    </row>
    <row r="251" spans="1:18" ht="19.5" hidden="1" thickBot="1" x14ac:dyDescent="0.3">
      <c r="A251" s="990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4"/>
        <v>08,23</v>
      </c>
      <c r="L251" s="107"/>
      <c r="M251" s="107"/>
      <c r="N251" s="107"/>
      <c r="O251" s="2"/>
      <c r="P251" s="2"/>
      <c r="Q251" s="2"/>
      <c r="R251" s="2"/>
    </row>
    <row r="252" spans="1:18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4"/>
        <v>08,23</v>
      </c>
      <c r="L252" s="75"/>
      <c r="M252" s="75"/>
      <c r="N252" s="75"/>
      <c r="O252" s="2"/>
      <c r="P252" s="2"/>
      <c r="Q252" s="2"/>
      <c r="R252" s="2"/>
    </row>
    <row r="253" spans="1:18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4"/>
        <v>08,23</v>
      </c>
      <c r="L253" s="40"/>
      <c r="M253" s="40"/>
      <c r="N253" s="40"/>
      <c r="O253" s="2"/>
      <c r="P253" s="2"/>
      <c r="Q253" s="2"/>
      <c r="R253" s="2"/>
    </row>
    <row r="254" spans="1:18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4"/>
        <v>09,23</v>
      </c>
      <c r="L254" s="75"/>
      <c r="M254" s="75"/>
      <c r="N254" s="75"/>
      <c r="O254" s="2"/>
      <c r="P254" s="2"/>
      <c r="Q254" s="2"/>
      <c r="R254" s="2"/>
    </row>
    <row r="255" spans="1:18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4"/>
        <v>08,23</v>
      </c>
      <c r="L255" s="40"/>
      <c r="M255" s="40"/>
      <c r="N255" s="40"/>
      <c r="O255" s="2"/>
      <c r="P255" s="2"/>
      <c r="Q255" s="2"/>
      <c r="R255" s="2"/>
    </row>
    <row r="256" spans="1:18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4"/>
        <v>08,23</v>
      </c>
      <c r="L256" s="75"/>
      <c r="M256" s="75"/>
      <c r="N256" s="75"/>
      <c r="O256" s="2"/>
      <c r="P256" s="2"/>
      <c r="Q256" s="2"/>
      <c r="R256" s="2"/>
    </row>
    <row r="257" spans="1:18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4"/>
        <v>08,23</v>
      </c>
      <c r="L257" s="40"/>
      <c r="M257" s="40"/>
      <c r="N257" s="40"/>
      <c r="O257" s="2"/>
      <c r="P257" s="2"/>
      <c r="Q257" s="2"/>
      <c r="R257" s="2"/>
    </row>
    <row r="258" spans="1:18" ht="19.5" hidden="1" thickBot="1" x14ac:dyDescent="0.3">
      <c r="A258" s="991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4"/>
        <v>08,23</v>
      </c>
      <c r="L258" s="48"/>
      <c r="M258" s="48"/>
      <c r="N258" s="48"/>
      <c r="O258" s="2"/>
      <c r="P258" s="2"/>
      <c r="Q258" s="2"/>
      <c r="R258" s="2"/>
    </row>
    <row r="259" spans="1:18" ht="19.5" hidden="1" thickBot="1" x14ac:dyDescent="0.3">
      <c r="A259" s="991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5">RIGHT(H259,5)</f>
        <v>08,23</v>
      </c>
      <c r="L259" s="71"/>
      <c r="M259" s="71"/>
      <c r="N259" s="71"/>
      <c r="O259" s="2"/>
      <c r="P259" s="2"/>
      <c r="Q259" s="2"/>
      <c r="R259" s="2"/>
    </row>
    <row r="260" spans="1:18" ht="19.5" hidden="1" thickBot="1" x14ac:dyDescent="0.3">
      <c r="A260" s="990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5"/>
        <v>08,23</v>
      </c>
      <c r="L260" s="82"/>
      <c r="M260" s="82"/>
      <c r="N260" s="82"/>
      <c r="O260" s="2"/>
      <c r="P260" s="2"/>
      <c r="Q260" s="2"/>
      <c r="R260" s="2"/>
    </row>
    <row r="261" spans="1:18" ht="19.5" hidden="1" thickBot="1" x14ac:dyDescent="0.3">
      <c r="A261" s="990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5"/>
        <v>08,23</v>
      </c>
      <c r="L261" s="90"/>
      <c r="M261" s="90"/>
      <c r="N261" s="90"/>
      <c r="O261" s="2"/>
      <c r="P261" s="2"/>
      <c r="Q261" s="2"/>
      <c r="R261" s="2"/>
    </row>
    <row r="262" spans="1:18" ht="19.5" hidden="1" thickBot="1" x14ac:dyDescent="0.3">
      <c r="A262" s="991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5"/>
        <v>08,23</v>
      </c>
      <c r="L262" s="48"/>
      <c r="M262" s="48"/>
      <c r="N262" s="48"/>
      <c r="O262" s="2"/>
      <c r="P262" s="2"/>
      <c r="Q262" s="2"/>
      <c r="R262" s="2"/>
    </row>
    <row r="263" spans="1:18" ht="19.5" hidden="1" thickBot="1" x14ac:dyDescent="0.3">
      <c r="A263" s="991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5"/>
        <v>08,23</v>
      </c>
      <c r="L263" s="71"/>
      <c r="M263" s="71"/>
      <c r="N263" s="71"/>
      <c r="O263" s="2"/>
      <c r="P263" s="2"/>
      <c r="Q263" s="2"/>
      <c r="R263" s="2"/>
    </row>
    <row r="264" spans="1:18" ht="19.5" hidden="1" customHeight="1" thickBot="1" x14ac:dyDescent="0.3">
      <c r="A264" s="990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1011" t="s">
        <v>103</v>
      </c>
      <c r="K264" s="82" t="str">
        <f t="shared" si="5"/>
        <v>08,23</v>
      </c>
      <c r="L264" s="82"/>
      <c r="M264" s="82"/>
      <c r="N264" s="82"/>
      <c r="O264" s="2"/>
      <c r="P264" s="2"/>
      <c r="Q264" s="2"/>
      <c r="R264" s="2"/>
    </row>
    <row r="265" spans="1:18" ht="19.5" hidden="1" thickBot="1" x14ac:dyDescent="0.3">
      <c r="A265" s="990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1011"/>
      <c r="K265" s="90" t="str">
        <f t="shared" si="5"/>
        <v>08,23</v>
      </c>
      <c r="L265" s="90"/>
      <c r="M265" s="90"/>
      <c r="N265" s="90"/>
      <c r="O265" s="2"/>
      <c r="P265" s="2"/>
      <c r="Q265" s="2"/>
      <c r="R265" s="2"/>
    </row>
    <row r="266" spans="1:18" ht="19.5" hidden="1" thickBot="1" x14ac:dyDescent="0.3">
      <c r="A266" s="991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5"/>
        <v>08,23</v>
      </c>
      <c r="L266" s="48"/>
      <c r="M266" s="48"/>
      <c r="N266" s="48"/>
      <c r="O266" s="2"/>
      <c r="P266" s="2"/>
      <c r="Q266" s="2"/>
      <c r="R266" s="2"/>
    </row>
    <row r="267" spans="1:18" ht="19.5" hidden="1" thickBot="1" x14ac:dyDescent="0.3">
      <c r="A267" s="991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5"/>
        <v>08,23</v>
      </c>
      <c r="L267" s="71"/>
      <c r="M267" s="71"/>
      <c r="N267" s="71"/>
      <c r="O267" s="2"/>
      <c r="P267" s="2"/>
      <c r="Q267" s="2"/>
      <c r="R267" s="2"/>
    </row>
    <row r="268" spans="1:18" ht="19.5" hidden="1" customHeight="1" thickBot="1" x14ac:dyDescent="0.3">
      <c r="A268" s="990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1001" t="s">
        <v>72</v>
      </c>
      <c r="H268" s="82" t="s">
        <v>95</v>
      </c>
      <c r="I268" s="147" t="s">
        <v>95</v>
      </c>
      <c r="J268" s="86"/>
      <c r="K268" s="82" t="str">
        <f t="shared" si="5"/>
        <v>08,23</v>
      </c>
      <c r="L268" s="82"/>
      <c r="M268" s="82"/>
      <c r="N268" s="82"/>
      <c r="O268" s="2"/>
      <c r="P268" s="2"/>
      <c r="Q268" s="2"/>
      <c r="R268" s="2"/>
    </row>
    <row r="269" spans="1:18" ht="19.5" hidden="1" thickBot="1" x14ac:dyDescent="0.3">
      <c r="A269" s="990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1001"/>
      <c r="H269" s="90" t="s">
        <v>95</v>
      </c>
      <c r="I269" s="172" t="s">
        <v>95</v>
      </c>
      <c r="J269" s="173"/>
      <c r="K269" s="90" t="str">
        <f t="shared" si="5"/>
        <v>08,23</v>
      </c>
      <c r="L269" s="90"/>
      <c r="M269" s="90"/>
      <c r="N269" s="90"/>
      <c r="O269" s="2"/>
      <c r="P269" s="2"/>
      <c r="Q269" s="2"/>
      <c r="R269" s="2"/>
    </row>
    <row r="270" spans="1:18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5"/>
        <v>08,23</v>
      </c>
      <c r="L270" s="75"/>
      <c r="M270" s="75"/>
      <c r="N270" s="75"/>
      <c r="O270" s="2"/>
      <c r="P270" s="2"/>
      <c r="Q270" s="2"/>
      <c r="R270" s="2"/>
    </row>
    <row r="271" spans="1:18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5"/>
        <v>08,23</v>
      </c>
      <c r="L271" s="40"/>
      <c r="M271" s="40"/>
      <c r="N271" s="40"/>
      <c r="O271" s="2"/>
      <c r="P271" s="2"/>
      <c r="Q271" s="2"/>
      <c r="R271" s="2"/>
    </row>
    <row r="272" spans="1:18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5"/>
        <v>08,23</v>
      </c>
      <c r="L272" s="75"/>
      <c r="M272" s="75"/>
      <c r="N272" s="75"/>
      <c r="O272" s="2"/>
      <c r="P272" s="2"/>
      <c r="Q272" s="2"/>
      <c r="R272" s="2"/>
    </row>
    <row r="273" spans="1:18" ht="19.5" hidden="1" thickBot="1" x14ac:dyDescent="0.3">
      <c r="A273" s="990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5"/>
        <v>08,23</v>
      </c>
      <c r="L273" s="82"/>
      <c r="M273" s="82"/>
      <c r="N273" s="82"/>
      <c r="O273" s="2"/>
      <c r="P273" s="2"/>
      <c r="Q273" s="2"/>
      <c r="R273" s="2"/>
    </row>
    <row r="274" spans="1:18" ht="19.5" hidden="1" thickBot="1" x14ac:dyDescent="0.3">
      <c r="A274" s="990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5"/>
        <v>08,23</v>
      </c>
      <c r="L274" s="109"/>
      <c r="M274" s="109"/>
      <c r="N274" s="109"/>
      <c r="O274" s="2"/>
      <c r="P274" s="2"/>
      <c r="Q274" s="2"/>
      <c r="R274" s="2"/>
    </row>
    <row r="275" spans="1:18" ht="19.5" hidden="1" thickBot="1" x14ac:dyDescent="0.3">
      <c r="A275" s="990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5"/>
        <v>08,23</v>
      </c>
      <c r="L275" s="107"/>
      <c r="M275" s="107"/>
      <c r="N275" s="107"/>
      <c r="O275" s="2"/>
      <c r="P275" s="2"/>
      <c r="Q275" s="2"/>
      <c r="R275" s="2"/>
    </row>
    <row r="276" spans="1:18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5"/>
        <v>08,23</v>
      </c>
      <c r="L276" s="75"/>
      <c r="M276" s="75"/>
      <c r="N276" s="75"/>
      <c r="O276" s="2"/>
      <c r="P276" s="2"/>
      <c r="Q276" s="2"/>
      <c r="R276" s="2"/>
    </row>
    <row r="277" spans="1:18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5"/>
        <v>08,23</v>
      </c>
      <c r="L277" s="40"/>
      <c r="M277" s="40"/>
      <c r="N277" s="40"/>
      <c r="O277" s="2"/>
      <c r="P277" s="2"/>
      <c r="Q277" s="2"/>
      <c r="R277" s="2"/>
    </row>
    <row r="278" spans="1:18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5"/>
        <v>08,23</v>
      </c>
      <c r="L278" s="75"/>
      <c r="M278" s="75"/>
      <c r="N278" s="75"/>
      <c r="O278" s="2"/>
      <c r="P278" s="2"/>
      <c r="Q278" s="2"/>
      <c r="R278" s="2"/>
    </row>
    <row r="279" spans="1:18" ht="19.5" hidden="1" thickBot="1" x14ac:dyDescent="0.3">
      <c r="A279" s="990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5"/>
        <v>08,23</v>
      </c>
      <c r="L279" s="82"/>
      <c r="M279" s="82"/>
      <c r="N279" s="82"/>
      <c r="O279" s="2"/>
      <c r="P279" s="2"/>
      <c r="Q279" s="2"/>
      <c r="R279" s="2"/>
    </row>
    <row r="280" spans="1:18" ht="19.5" hidden="1" thickBot="1" x14ac:dyDescent="0.3">
      <c r="A280" s="990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5"/>
        <v>08,23</v>
      </c>
      <c r="L280" s="109"/>
      <c r="M280" s="109"/>
      <c r="N280" s="109"/>
      <c r="O280" s="2"/>
      <c r="P280" s="2"/>
      <c r="Q280" s="2"/>
      <c r="R280" s="2"/>
    </row>
    <row r="281" spans="1:18" ht="19.5" hidden="1" thickBot="1" x14ac:dyDescent="0.3">
      <c r="A281" s="990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5"/>
        <v>08,23</v>
      </c>
      <c r="L281" s="109"/>
      <c r="M281" s="109"/>
      <c r="N281" s="109"/>
      <c r="O281" s="2"/>
      <c r="P281" s="2"/>
      <c r="Q281" s="2"/>
      <c r="R281" s="2"/>
    </row>
    <row r="282" spans="1:18" ht="19.5" hidden="1" thickBot="1" x14ac:dyDescent="0.3">
      <c r="A282" s="990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5"/>
        <v>08,23</v>
      </c>
      <c r="L282" s="109"/>
      <c r="M282" s="109"/>
      <c r="N282" s="109"/>
      <c r="O282" s="2"/>
      <c r="P282" s="2"/>
      <c r="Q282" s="2"/>
      <c r="R282" s="2"/>
    </row>
    <row r="283" spans="1:18" ht="19.5" hidden="1" thickBot="1" x14ac:dyDescent="0.3">
      <c r="A283" s="990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5"/>
        <v>08,23</v>
      </c>
      <c r="L283" s="107"/>
      <c r="M283" s="107"/>
      <c r="N283" s="107"/>
      <c r="O283" s="2"/>
      <c r="P283" s="2"/>
      <c r="Q283" s="2"/>
      <c r="R283" s="2"/>
    </row>
    <row r="284" spans="1:18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5"/>
        <v>08,23</v>
      </c>
      <c r="L284" s="75"/>
      <c r="M284" s="75"/>
      <c r="N284" s="75"/>
      <c r="O284" s="2"/>
      <c r="P284" s="2"/>
      <c r="Q284" s="2"/>
      <c r="R284" s="2"/>
    </row>
    <row r="285" spans="1:18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5"/>
        <v>08,23</v>
      </c>
      <c r="L285" s="40"/>
      <c r="M285" s="40"/>
      <c r="N285" s="40"/>
      <c r="O285" s="2"/>
      <c r="P285" s="2"/>
      <c r="Q285" s="2"/>
      <c r="R285" s="2"/>
    </row>
    <row r="286" spans="1:18" ht="19.5" hidden="1" thickBot="1" x14ac:dyDescent="0.3">
      <c r="A286" s="991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5"/>
        <v>09,23</v>
      </c>
      <c r="L286" s="48"/>
      <c r="M286" s="48"/>
      <c r="N286" s="48"/>
      <c r="O286" s="2"/>
      <c r="P286" s="2"/>
      <c r="Q286" s="2"/>
      <c r="R286" s="2"/>
    </row>
    <row r="287" spans="1:18" ht="19.5" hidden="1" thickBot="1" x14ac:dyDescent="0.3">
      <c r="A287" s="991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5"/>
        <v>09,23</v>
      </c>
      <c r="L287" s="71"/>
      <c r="M287" s="71"/>
      <c r="N287" s="71"/>
      <c r="O287" s="2"/>
      <c r="P287" s="2"/>
      <c r="Q287" s="2"/>
      <c r="R287" s="2"/>
    </row>
    <row r="288" spans="1:18" ht="19.5" hidden="1" thickBot="1" x14ac:dyDescent="0.3">
      <c r="A288" s="990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5"/>
        <v>09,23</v>
      </c>
      <c r="L288" s="82"/>
      <c r="M288" s="82"/>
      <c r="N288" s="82"/>
      <c r="O288" s="2"/>
      <c r="P288" s="2"/>
      <c r="Q288" s="2"/>
      <c r="R288" s="2"/>
    </row>
    <row r="289" spans="1:18" ht="19.5" hidden="1" thickBot="1" x14ac:dyDescent="0.3">
      <c r="A289" s="990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5"/>
        <v>09,23</v>
      </c>
      <c r="L289" s="90"/>
      <c r="M289" s="90"/>
      <c r="N289" s="90"/>
      <c r="O289" s="2"/>
      <c r="P289" s="2"/>
      <c r="Q289" s="2"/>
      <c r="R289" s="2"/>
    </row>
    <row r="290" spans="1:18" ht="19.5" hidden="1" thickBot="1" x14ac:dyDescent="0.3">
      <c r="A290" s="991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5"/>
        <v>09,23</v>
      </c>
      <c r="L290" s="48"/>
      <c r="M290" s="48"/>
      <c r="N290" s="48"/>
      <c r="O290" s="2"/>
      <c r="P290" s="2"/>
      <c r="Q290" s="2"/>
      <c r="R290" s="2"/>
    </row>
    <row r="291" spans="1:18" ht="19.5" hidden="1" thickBot="1" x14ac:dyDescent="0.3">
      <c r="A291" s="991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5"/>
        <v>09,23</v>
      </c>
      <c r="L291" s="71"/>
      <c r="M291" s="71"/>
      <c r="N291" s="71"/>
      <c r="O291" s="2"/>
      <c r="P291" s="2"/>
      <c r="Q291" s="2"/>
      <c r="R291" s="2"/>
    </row>
    <row r="292" spans="1:18" ht="19.5" hidden="1" thickBot="1" x14ac:dyDescent="0.3">
      <c r="A292" s="990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5"/>
        <v>09,23</v>
      </c>
      <c r="L292" s="82"/>
      <c r="M292" s="82"/>
      <c r="N292" s="82"/>
      <c r="O292" s="2"/>
      <c r="P292" s="2"/>
      <c r="Q292" s="2"/>
      <c r="R292" s="2"/>
    </row>
    <row r="293" spans="1:18" ht="19.5" hidden="1" thickBot="1" x14ac:dyDescent="0.3">
      <c r="A293" s="990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5"/>
        <v>09,23</v>
      </c>
      <c r="L293" s="98"/>
      <c r="M293" s="98"/>
      <c r="N293" s="98"/>
      <c r="O293" s="2"/>
      <c r="P293" s="2"/>
      <c r="Q293" s="2"/>
      <c r="R293" s="2"/>
    </row>
    <row r="294" spans="1:18" ht="19.5" hidden="1" thickBot="1" x14ac:dyDescent="0.3">
      <c r="A294" s="990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5"/>
        <v>09,23</v>
      </c>
      <c r="L294" s="98"/>
      <c r="M294" s="98"/>
      <c r="N294" s="98"/>
      <c r="O294" s="2"/>
      <c r="P294" s="2"/>
      <c r="Q294" s="2"/>
      <c r="R294" s="2"/>
    </row>
    <row r="295" spans="1:18" ht="19.5" hidden="1" thickBot="1" x14ac:dyDescent="0.3">
      <c r="A295" s="990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5"/>
        <v>09,23</v>
      </c>
      <c r="L295" s="90"/>
      <c r="M295" s="90"/>
      <c r="N295" s="90"/>
      <c r="O295" s="2"/>
      <c r="P295" s="2"/>
      <c r="Q295" s="2"/>
      <c r="R295" s="2"/>
    </row>
    <row r="296" spans="1:18" ht="19.5" hidden="1" thickBot="1" x14ac:dyDescent="0.3">
      <c r="A296" s="991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5"/>
        <v>09,23</v>
      </c>
      <c r="L296" s="48"/>
      <c r="M296" s="48"/>
      <c r="N296" s="48"/>
      <c r="O296" s="2"/>
      <c r="P296" s="2"/>
      <c r="Q296" s="2"/>
      <c r="R296" s="2"/>
    </row>
    <row r="297" spans="1:18" ht="19.5" hidden="1" thickBot="1" x14ac:dyDescent="0.3">
      <c r="A297" s="991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5"/>
        <v>09,23</v>
      </c>
      <c r="L297" s="23"/>
      <c r="M297" s="23"/>
      <c r="N297" s="23"/>
      <c r="O297" s="2"/>
      <c r="P297" s="2"/>
      <c r="Q297" s="2"/>
      <c r="R297" s="2"/>
    </row>
    <row r="298" spans="1:18" ht="19.5" hidden="1" thickBot="1" x14ac:dyDescent="0.3">
      <c r="A298" s="991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5"/>
        <v>09,23</v>
      </c>
      <c r="L298" s="23"/>
      <c r="M298" s="23"/>
      <c r="N298" s="23"/>
      <c r="O298" s="2"/>
      <c r="P298" s="2"/>
      <c r="Q298" s="2"/>
      <c r="R298" s="2"/>
    </row>
    <row r="299" spans="1:18" ht="19.5" hidden="1" thickBot="1" x14ac:dyDescent="0.3">
      <c r="A299" s="991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5"/>
        <v>09,23</v>
      </c>
      <c r="L299" s="71"/>
      <c r="M299" s="71"/>
      <c r="N299" s="71"/>
      <c r="O299" s="2"/>
      <c r="P299" s="2"/>
      <c r="Q299" s="2"/>
      <c r="R299" s="2"/>
    </row>
    <row r="300" spans="1:18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5"/>
        <v>09,23</v>
      </c>
      <c r="L300" s="40"/>
      <c r="M300" s="40"/>
      <c r="N300" s="40"/>
      <c r="O300" s="2"/>
      <c r="P300" s="2"/>
      <c r="Q300" s="2"/>
      <c r="R300" s="2"/>
    </row>
    <row r="301" spans="1:18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5"/>
        <v>09,23</v>
      </c>
      <c r="L301" s="75"/>
      <c r="M301" s="75"/>
      <c r="N301" s="75"/>
      <c r="O301" s="2"/>
      <c r="P301" s="2"/>
      <c r="Q301" s="2"/>
      <c r="R301" s="2"/>
    </row>
    <row r="302" spans="1:18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5"/>
        <v>09,23</v>
      </c>
      <c r="L302" s="40"/>
      <c r="M302" s="40"/>
      <c r="N302" s="40"/>
      <c r="O302" s="2"/>
      <c r="P302" s="2"/>
      <c r="Q302" s="2"/>
      <c r="R302" s="2"/>
    </row>
    <row r="303" spans="1:18" ht="38.25" hidden="1" thickBot="1" x14ac:dyDescent="0.3">
      <c r="A303" s="991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5"/>
        <v>09,23</v>
      </c>
      <c r="L303" s="48"/>
      <c r="M303" s="48"/>
      <c r="N303" s="48"/>
      <c r="O303" s="2"/>
      <c r="P303" s="2"/>
      <c r="Q303" s="2"/>
      <c r="R303" s="2"/>
    </row>
    <row r="304" spans="1:18" ht="38.25" hidden="1" thickBot="1" x14ac:dyDescent="0.3">
      <c r="A304" s="991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5"/>
        <v>09,23</v>
      </c>
      <c r="L304" s="71"/>
      <c r="M304" s="71"/>
      <c r="N304" s="71"/>
      <c r="O304" s="2"/>
      <c r="P304" s="2"/>
      <c r="Q304" s="2"/>
      <c r="R304" s="2"/>
    </row>
    <row r="305" spans="1:18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5"/>
        <v>09,23</v>
      </c>
      <c r="L305" s="40"/>
      <c r="M305" s="40"/>
      <c r="N305" s="40"/>
      <c r="O305" s="2"/>
      <c r="P305" s="2"/>
      <c r="Q305" s="2"/>
      <c r="R305" s="2"/>
    </row>
    <row r="306" spans="1:18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5"/>
        <v>09,23</v>
      </c>
      <c r="L306" s="75"/>
      <c r="M306" s="75"/>
      <c r="N306" s="75"/>
      <c r="O306" s="2"/>
      <c r="P306" s="2"/>
      <c r="Q306" s="2"/>
      <c r="R306" s="2"/>
    </row>
    <row r="307" spans="1:18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5"/>
        <v>09,23</v>
      </c>
      <c r="L307" s="40"/>
      <c r="M307" s="40"/>
      <c r="N307" s="40"/>
      <c r="O307" s="2"/>
      <c r="P307" s="2"/>
      <c r="Q307" s="2"/>
      <c r="R307" s="2"/>
    </row>
    <row r="308" spans="1:18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5"/>
        <v>09,23</v>
      </c>
      <c r="L308" s="75"/>
      <c r="M308" s="75"/>
      <c r="N308" s="75"/>
      <c r="O308" s="2"/>
      <c r="P308" s="2"/>
      <c r="Q308" s="2"/>
      <c r="R308" s="2"/>
    </row>
    <row r="309" spans="1:18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5"/>
        <v>09,23</v>
      </c>
      <c r="L309" s="40"/>
      <c r="M309" s="40"/>
      <c r="N309" s="40"/>
      <c r="O309" s="2"/>
      <c r="P309" s="2"/>
      <c r="Q309" s="2"/>
      <c r="R309" s="2"/>
    </row>
    <row r="310" spans="1:18" ht="19.5" hidden="1" thickBot="1" x14ac:dyDescent="0.3">
      <c r="A310" s="991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5"/>
        <v>09,23</v>
      </c>
      <c r="L310" s="48"/>
      <c r="M310" s="48"/>
      <c r="N310" s="48"/>
      <c r="O310" s="2"/>
      <c r="P310" s="2"/>
      <c r="Q310" s="2"/>
      <c r="R310" s="2"/>
    </row>
    <row r="311" spans="1:18" ht="19.5" hidden="1" thickBot="1" x14ac:dyDescent="0.3">
      <c r="A311" s="991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5"/>
        <v>09,23</v>
      </c>
      <c r="L311" s="71"/>
      <c r="M311" s="71"/>
      <c r="N311" s="71"/>
      <c r="O311" s="2"/>
      <c r="P311" s="2"/>
      <c r="Q311" s="2"/>
      <c r="R311" s="2"/>
    </row>
    <row r="312" spans="1:18" ht="19.5" hidden="1" thickBot="1" x14ac:dyDescent="0.3">
      <c r="A312" s="990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5"/>
        <v>09,23</v>
      </c>
      <c r="L312" s="82"/>
      <c r="M312" s="82"/>
      <c r="N312" s="82"/>
      <c r="O312" s="2"/>
      <c r="P312" s="2"/>
      <c r="Q312" s="2"/>
      <c r="R312" s="2"/>
    </row>
    <row r="313" spans="1:18" ht="19.5" hidden="1" thickBot="1" x14ac:dyDescent="0.3">
      <c r="A313" s="990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5"/>
        <v>09,23</v>
      </c>
      <c r="L313" s="90"/>
      <c r="M313" s="90"/>
      <c r="N313" s="90"/>
      <c r="O313" s="2"/>
      <c r="P313" s="2"/>
      <c r="Q313" s="2"/>
      <c r="R313" s="2"/>
    </row>
    <row r="314" spans="1:18" ht="19.5" hidden="1" customHeight="1" thickBot="1" x14ac:dyDescent="0.3">
      <c r="A314" s="991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1006" t="s">
        <v>72</v>
      </c>
      <c r="H314" s="48" t="s">
        <v>108</v>
      </c>
      <c r="I314" s="116" t="s">
        <v>108</v>
      </c>
      <c r="J314" s="52"/>
      <c r="K314" s="48" t="str">
        <f t="shared" si="5"/>
        <v>09,23</v>
      </c>
      <c r="L314" s="48"/>
      <c r="M314" s="48"/>
      <c r="N314" s="48"/>
      <c r="O314" s="2"/>
      <c r="P314" s="2"/>
      <c r="Q314" s="2"/>
      <c r="R314" s="2"/>
    </row>
    <row r="315" spans="1:18" ht="19.5" hidden="1" thickBot="1" x14ac:dyDescent="0.3">
      <c r="A315" s="991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1006"/>
      <c r="H315" s="71" t="s">
        <v>108</v>
      </c>
      <c r="I315" s="175" t="s">
        <v>108</v>
      </c>
      <c r="J315" s="168"/>
      <c r="K315" s="71" t="str">
        <f t="shared" si="5"/>
        <v>09,23</v>
      </c>
      <c r="L315" s="71"/>
      <c r="M315" s="71"/>
      <c r="N315" s="71"/>
      <c r="O315" s="2"/>
      <c r="P315" s="2"/>
      <c r="Q315" s="2"/>
      <c r="R315" s="2"/>
    </row>
    <row r="316" spans="1:18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5"/>
        <v>09,23</v>
      </c>
      <c r="L316" s="40"/>
      <c r="M316" s="40"/>
      <c r="N316" s="40"/>
      <c r="O316" s="2"/>
      <c r="P316" s="2"/>
      <c r="Q316" s="2"/>
      <c r="R316" s="2"/>
    </row>
    <row r="317" spans="1:18" ht="38.25" hidden="1" thickBot="1" x14ac:dyDescent="0.3">
      <c r="A317" s="991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5"/>
        <v>09,23</v>
      </c>
      <c r="L317" s="48"/>
      <c r="M317" s="48"/>
      <c r="N317" s="48"/>
      <c r="O317" s="2"/>
      <c r="P317" s="2"/>
      <c r="Q317" s="2"/>
      <c r="R317" s="2"/>
    </row>
    <row r="318" spans="1:18" ht="38.25" hidden="1" thickBot="1" x14ac:dyDescent="0.3">
      <c r="A318" s="991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5"/>
        <v>09,23</v>
      </c>
      <c r="L318" s="71"/>
      <c r="M318" s="71"/>
      <c r="N318" s="71"/>
      <c r="O318" s="2"/>
      <c r="P318" s="2"/>
      <c r="Q318" s="2"/>
      <c r="R318" s="2"/>
    </row>
    <row r="319" spans="1:18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5"/>
        <v>09,23</v>
      </c>
      <c r="L319" s="40"/>
      <c r="M319" s="40"/>
      <c r="N319" s="40"/>
      <c r="O319" s="2"/>
      <c r="P319" s="2"/>
      <c r="Q319" s="2"/>
      <c r="R319" s="2"/>
    </row>
    <row r="320" spans="1:18" ht="19.5" hidden="1" thickBot="1" x14ac:dyDescent="0.3">
      <c r="A320" s="991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5"/>
        <v>09,23</v>
      </c>
      <c r="L320" s="48"/>
      <c r="M320" s="48"/>
      <c r="N320" s="48"/>
      <c r="O320" s="2"/>
      <c r="P320" s="2"/>
      <c r="Q320" s="2"/>
      <c r="R320" s="2"/>
    </row>
    <row r="321" spans="1:18" ht="19.5" hidden="1" thickBot="1" x14ac:dyDescent="0.3">
      <c r="A321" s="991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5"/>
        <v>09,23</v>
      </c>
      <c r="L321" s="23"/>
      <c r="M321" s="23"/>
      <c r="N321" s="23"/>
      <c r="O321" s="2"/>
      <c r="P321" s="2"/>
      <c r="Q321" s="2"/>
      <c r="R321" s="2"/>
    </row>
    <row r="322" spans="1:18" ht="19.5" hidden="1" thickBot="1" x14ac:dyDescent="0.3">
      <c r="A322" s="991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5"/>
        <v>09,23</v>
      </c>
      <c r="L322" s="23"/>
      <c r="M322" s="23"/>
      <c r="N322" s="23"/>
      <c r="O322" s="2"/>
      <c r="P322" s="2"/>
      <c r="Q322" s="2"/>
      <c r="R322" s="2"/>
    </row>
    <row r="323" spans="1:18" ht="19.5" hidden="1" thickBot="1" x14ac:dyDescent="0.3">
      <c r="A323" s="991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6">RIGHT(H323,5)</f>
        <v>09,23</v>
      </c>
      <c r="L323" s="71"/>
      <c r="M323" s="71"/>
      <c r="N323" s="71"/>
      <c r="O323" s="2"/>
      <c r="P323" s="2"/>
      <c r="Q323" s="2"/>
      <c r="R323" s="2"/>
    </row>
    <row r="324" spans="1:18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6"/>
        <v>09,23</v>
      </c>
      <c r="L324" s="40"/>
      <c r="M324" s="40"/>
      <c r="N324" s="40"/>
      <c r="O324" s="2"/>
      <c r="P324" s="2"/>
      <c r="Q324" s="2"/>
      <c r="R324" s="2"/>
    </row>
    <row r="325" spans="1:18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6"/>
        <v>09,23</v>
      </c>
      <c r="L325" s="75"/>
      <c r="M325" s="75"/>
      <c r="N325" s="75"/>
      <c r="O325" s="2"/>
      <c r="P325" s="2"/>
      <c r="Q325" s="2"/>
      <c r="R325" s="2"/>
    </row>
    <row r="326" spans="1:18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6"/>
        <v>09,23</v>
      </c>
      <c r="L326" s="40"/>
      <c r="M326" s="40"/>
      <c r="N326" s="40"/>
      <c r="O326" s="2"/>
      <c r="P326" s="2"/>
      <c r="Q326" s="2"/>
      <c r="R326" s="2"/>
    </row>
    <row r="327" spans="1:18" ht="19.5" hidden="1" thickBot="1" x14ac:dyDescent="0.3">
      <c r="A327" s="991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6"/>
        <v>09,23</v>
      </c>
      <c r="L327" s="48"/>
      <c r="M327" s="48"/>
      <c r="N327" s="48"/>
      <c r="O327" s="2"/>
      <c r="P327" s="2"/>
      <c r="Q327" s="2"/>
      <c r="R327" s="2"/>
    </row>
    <row r="328" spans="1:18" ht="19.5" hidden="1" thickBot="1" x14ac:dyDescent="0.3">
      <c r="A328" s="991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6"/>
        <v>09,23</v>
      </c>
      <c r="L328" s="23"/>
      <c r="M328" s="23"/>
      <c r="N328" s="23"/>
      <c r="O328" s="2"/>
      <c r="P328" s="2"/>
      <c r="Q328" s="2"/>
      <c r="R328" s="2"/>
    </row>
    <row r="329" spans="1:18" ht="19.5" hidden="1" thickBot="1" x14ac:dyDescent="0.3">
      <c r="A329" s="991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6"/>
        <v>09,23</v>
      </c>
      <c r="L329" s="23"/>
      <c r="M329" s="23"/>
      <c r="N329" s="23"/>
      <c r="O329" s="2"/>
      <c r="P329" s="2"/>
      <c r="Q329" s="2"/>
      <c r="R329" s="2"/>
    </row>
    <row r="330" spans="1:18" ht="19.5" hidden="1" thickBot="1" x14ac:dyDescent="0.3">
      <c r="A330" s="991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6"/>
        <v>09,23</v>
      </c>
      <c r="L330" s="71"/>
      <c r="M330" s="71"/>
      <c r="N330" s="71"/>
      <c r="O330" s="2"/>
      <c r="P330" s="2"/>
      <c r="Q330" s="2"/>
      <c r="R330" s="2"/>
    </row>
    <row r="331" spans="1:18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6"/>
        <v>09,23</v>
      </c>
      <c r="L331" s="40"/>
      <c r="M331" s="40"/>
      <c r="N331" s="40"/>
      <c r="O331" s="2"/>
      <c r="P331" s="2"/>
      <c r="Q331" s="2"/>
      <c r="R331" s="2"/>
    </row>
    <row r="332" spans="1:18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6"/>
        <v>09,23</v>
      </c>
      <c r="L332" s="75"/>
      <c r="M332" s="75"/>
      <c r="N332" s="75"/>
      <c r="O332" s="2"/>
      <c r="P332" s="2"/>
      <c r="Q332" s="2"/>
      <c r="R332" s="2"/>
    </row>
    <row r="333" spans="1:18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6"/>
        <v>09,23</v>
      </c>
      <c r="L333" s="40"/>
      <c r="M333" s="40"/>
      <c r="N333" s="40"/>
      <c r="O333" s="2"/>
      <c r="P333" s="2"/>
      <c r="Q333" s="2"/>
      <c r="R333" s="2"/>
    </row>
    <row r="334" spans="1:18" ht="19.5" hidden="1" thickBot="1" x14ac:dyDescent="0.3">
      <c r="A334" s="991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6"/>
        <v>09,23</v>
      </c>
      <c r="L334" s="48"/>
      <c r="M334" s="48"/>
      <c r="N334" s="48"/>
      <c r="O334" s="2"/>
      <c r="P334" s="2"/>
      <c r="Q334" s="2"/>
      <c r="R334" s="2"/>
    </row>
    <row r="335" spans="1:18" ht="19.5" hidden="1" thickBot="1" x14ac:dyDescent="0.3">
      <c r="A335" s="991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6"/>
        <v>09,23</v>
      </c>
      <c r="L335" s="71"/>
      <c r="M335" s="71"/>
      <c r="N335" s="71"/>
      <c r="O335" s="2"/>
      <c r="P335" s="2"/>
      <c r="Q335" s="2"/>
      <c r="R335" s="2"/>
    </row>
    <row r="336" spans="1:18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6"/>
        <v>09,23</v>
      </c>
      <c r="L336" s="40"/>
      <c r="M336" s="40"/>
      <c r="N336" s="40"/>
      <c r="O336" s="2"/>
      <c r="P336" s="2"/>
      <c r="Q336" s="2"/>
      <c r="R336" s="2"/>
    </row>
    <row r="337" spans="1:18" ht="19.5" hidden="1" thickBot="1" x14ac:dyDescent="0.3">
      <c r="A337" s="991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6"/>
        <v>09,23</v>
      </c>
      <c r="L337" s="48"/>
      <c r="M337" s="48"/>
      <c r="N337" s="48"/>
      <c r="O337" s="2"/>
      <c r="P337" s="2"/>
      <c r="Q337" s="2"/>
      <c r="R337" s="2"/>
    </row>
    <row r="338" spans="1:18" ht="19.5" hidden="1" thickBot="1" x14ac:dyDescent="0.3">
      <c r="A338" s="991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6"/>
        <v>09,23</v>
      </c>
      <c r="L338" s="71"/>
      <c r="M338" s="71"/>
      <c r="N338" s="71"/>
      <c r="O338" s="2"/>
      <c r="P338" s="2"/>
      <c r="Q338" s="2"/>
      <c r="R338" s="2"/>
    </row>
    <row r="339" spans="1:18" ht="19.5" hidden="1" thickBot="1" x14ac:dyDescent="0.3">
      <c r="A339" s="990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6"/>
        <v>09,23</v>
      </c>
      <c r="L339" s="82"/>
      <c r="M339" s="82"/>
      <c r="N339" s="82"/>
      <c r="O339" s="2"/>
      <c r="P339" s="2"/>
      <c r="Q339" s="2"/>
      <c r="R339" s="2"/>
    </row>
    <row r="340" spans="1:18" ht="19.5" hidden="1" thickBot="1" x14ac:dyDescent="0.3">
      <c r="A340" s="990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6"/>
        <v>09,23</v>
      </c>
      <c r="L340" s="90"/>
      <c r="M340" s="90"/>
      <c r="N340" s="90"/>
      <c r="O340" s="2"/>
      <c r="P340" s="2"/>
      <c r="Q340" s="2"/>
      <c r="R340" s="2"/>
    </row>
    <row r="341" spans="1:18" ht="19.5" hidden="1" thickBot="1" x14ac:dyDescent="0.3">
      <c r="A341" s="991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6"/>
        <v>09,23</v>
      </c>
      <c r="L341" s="48"/>
      <c r="M341" s="48"/>
      <c r="N341" s="48"/>
      <c r="O341" s="2"/>
      <c r="P341" s="2"/>
      <c r="Q341" s="2"/>
      <c r="R341" s="2"/>
    </row>
    <row r="342" spans="1:18" ht="19.5" hidden="1" thickBot="1" x14ac:dyDescent="0.3">
      <c r="A342" s="991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6"/>
        <v>09,23</v>
      </c>
      <c r="L342" s="71"/>
      <c r="M342" s="71"/>
      <c r="N342" s="71"/>
      <c r="O342" s="2"/>
      <c r="P342" s="2"/>
      <c r="Q342" s="2"/>
      <c r="R342" s="2"/>
    </row>
    <row r="343" spans="1:18" ht="19.5" hidden="1" thickBot="1" x14ac:dyDescent="0.3">
      <c r="A343" s="990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6"/>
        <v>09,23</v>
      </c>
      <c r="L343" s="82"/>
      <c r="M343" s="82"/>
      <c r="N343" s="82"/>
      <c r="O343" s="2"/>
      <c r="P343" s="2"/>
      <c r="Q343" s="2"/>
      <c r="R343" s="2"/>
    </row>
    <row r="344" spans="1:18" ht="19.5" hidden="1" thickBot="1" x14ac:dyDescent="0.3">
      <c r="A344" s="990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6"/>
        <v>09,23</v>
      </c>
      <c r="L344" s="98"/>
      <c r="M344" s="98"/>
      <c r="N344" s="98"/>
      <c r="O344" s="2"/>
      <c r="P344" s="2"/>
      <c r="Q344" s="2"/>
      <c r="R344" s="2"/>
    </row>
    <row r="345" spans="1:18" ht="19.5" hidden="1" thickBot="1" x14ac:dyDescent="0.3">
      <c r="A345" s="990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6"/>
        <v>09,23</v>
      </c>
      <c r="L345" s="98"/>
      <c r="M345" s="98"/>
      <c r="N345" s="98"/>
      <c r="O345" s="2"/>
      <c r="P345" s="2"/>
      <c r="Q345" s="2"/>
      <c r="R345" s="2"/>
    </row>
    <row r="346" spans="1:18" ht="19.5" hidden="1" thickBot="1" x14ac:dyDescent="0.3">
      <c r="A346" s="990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6"/>
        <v>09,23</v>
      </c>
      <c r="L346" s="90"/>
      <c r="M346" s="90"/>
      <c r="N346" s="90"/>
      <c r="O346" s="2"/>
      <c r="P346" s="2"/>
      <c r="Q346" s="2"/>
      <c r="R346" s="2"/>
    </row>
    <row r="347" spans="1:18" ht="19.5" hidden="1" thickBot="1" x14ac:dyDescent="0.3">
      <c r="A347" s="991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6"/>
        <v>09,23</v>
      </c>
      <c r="L347" s="48"/>
      <c r="M347" s="48"/>
      <c r="N347" s="48"/>
      <c r="O347" s="2"/>
      <c r="P347" s="2"/>
      <c r="Q347" s="2"/>
      <c r="R347" s="2"/>
    </row>
    <row r="348" spans="1:18" ht="19.5" hidden="1" thickBot="1" x14ac:dyDescent="0.3">
      <c r="A348" s="991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6"/>
        <v>09,23</v>
      </c>
      <c r="L348" s="56"/>
      <c r="M348" s="56"/>
      <c r="N348" s="56"/>
      <c r="O348" s="2"/>
      <c r="P348" s="2"/>
      <c r="Q348" s="2"/>
      <c r="R348" s="2"/>
    </row>
    <row r="349" spans="1:18" ht="19.5" hidden="1" thickBot="1" x14ac:dyDescent="0.3">
      <c r="A349" s="991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6"/>
        <v>09,23</v>
      </c>
      <c r="L349" s="56"/>
      <c r="M349" s="56"/>
      <c r="N349" s="56"/>
      <c r="O349" s="2"/>
      <c r="P349" s="2"/>
      <c r="Q349" s="2"/>
      <c r="R349" s="2"/>
    </row>
    <row r="350" spans="1:18" ht="19.5" hidden="1" thickBot="1" x14ac:dyDescent="0.3">
      <c r="A350" s="991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6"/>
        <v>09,23</v>
      </c>
      <c r="L350" s="31"/>
      <c r="M350" s="31"/>
      <c r="N350" s="31"/>
      <c r="O350" s="2"/>
      <c r="P350" s="2"/>
      <c r="Q350" s="2"/>
      <c r="R350" s="2"/>
    </row>
    <row r="351" spans="1:18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6"/>
        <v>09,23</v>
      </c>
      <c r="L351" s="40"/>
      <c r="M351" s="40"/>
      <c r="N351" s="40"/>
      <c r="O351" s="2"/>
      <c r="P351" s="2"/>
      <c r="Q351" s="2"/>
      <c r="R351" s="2"/>
    </row>
    <row r="352" spans="1:18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6"/>
        <v>09,23</v>
      </c>
      <c r="L352" s="75"/>
      <c r="M352" s="75"/>
      <c r="N352" s="75"/>
      <c r="O352" s="2"/>
      <c r="P352" s="2"/>
      <c r="Q352" s="2"/>
      <c r="R352" s="2"/>
    </row>
    <row r="353" spans="1:18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6"/>
        <v>09,23</v>
      </c>
      <c r="L353" s="40"/>
      <c r="M353" s="40"/>
      <c r="N353" s="40"/>
      <c r="O353" s="2"/>
      <c r="P353" s="2"/>
      <c r="Q353" s="2"/>
      <c r="R353" s="2"/>
    </row>
    <row r="354" spans="1:18" ht="38.25" hidden="1" thickBot="1" x14ac:dyDescent="0.3">
      <c r="A354" s="991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6"/>
        <v>09,23</v>
      </c>
      <c r="L354" s="48"/>
      <c r="M354" s="48"/>
      <c r="N354" s="48"/>
      <c r="O354" s="2"/>
      <c r="P354" s="2"/>
      <c r="Q354" s="2"/>
      <c r="R354" s="2"/>
    </row>
    <row r="355" spans="1:18" ht="38.25" hidden="1" thickBot="1" x14ac:dyDescent="0.3">
      <c r="A355" s="991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6"/>
        <v>09,23</v>
      </c>
      <c r="L355" s="71"/>
      <c r="M355" s="71"/>
      <c r="N355" s="71"/>
      <c r="O355" s="2"/>
      <c r="P355" s="2"/>
      <c r="Q355" s="2"/>
      <c r="R355" s="2"/>
    </row>
    <row r="356" spans="1:18" ht="19.5" hidden="1" thickBot="1" x14ac:dyDescent="0.3">
      <c r="A356" s="990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6"/>
        <v>09,23</v>
      </c>
      <c r="L356" s="82"/>
      <c r="M356" s="82"/>
      <c r="N356" s="82"/>
      <c r="O356" s="2"/>
      <c r="P356" s="2"/>
      <c r="Q356" s="2"/>
      <c r="R356" s="2"/>
    </row>
    <row r="357" spans="1:18" ht="19.5" hidden="1" thickBot="1" x14ac:dyDescent="0.3">
      <c r="A357" s="990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6"/>
        <v>09,23</v>
      </c>
      <c r="L357" s="90"/>
      <c r="M357" s="90"/>
      <c r="N357" s="90"/>
      <c r="O357" s="2"/>
      <c r="P357" s="2"/>
      <c r="Q357" s="2"/>
      <c r="R357" s="2"/>
    </row>
    <row r="358" spans="1:18" ht="19.5" hidden="1" thickBot="1" x14ac:dyDescent="0.3">
      <c r="A358" s="991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6"/>
        <v>09,23</v>
      </c>
      <c r="L358" s="48"/>
      <c r="M358" s="48"/>
      <c r="N358" s="48"/>
      <c r="O358" s="2"/>
      <c r="P358" s="2"/>
      <c r="Q358" s="2"/>
      <c r="R358" s="2"/>
    </row>
    <row r="359" spans="1:18" ht="19.5" hidden="1" thickBot="1" x14ac:dyDescent="0.3">
      <c r="A359" s="991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6"/>
        <v>09,23</v>
      </c>
      <c r="L359" s="23"/>
      <c r="M359" s="23"/>
      <c r="N359" s="23"/>
      <c r="O359" s="2"/>
      <c r="P359" s="2"/>
      <c r="Q359" s="2"/>
      <c r="R359" s="2"/>
    </row>
    <row r="360" spans="1:18" ht="19.5" hidden="1" thickBot="1" x14ac:dyDescent="0.3">
      <c r="A360" s="991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6"/>
        <v>09,23</v>
      </c>
      <c r="L360" s="71"/>
      <c r="M360" s="71"/>
      <c r="N360" s="71"/>
      <c r="O360" s="2"/>
      <c r="P360" s="2"/>
      <c r="Q360" s="2"/>
      <c r="R360" s="2"/>
    </row>
    <row r="361" spans="1:18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6"/>
        <v>09,23</v>
      </c>
      <c r="L361" s="40"/>
      <c r="M361" s="40"/>
      <c r="N361" s="40"/>
      <c r="O361" s="2"/>
      <c r="P361" s="2"/>
      <c r="Q361" s="2"/>
      <c r="R361" s="2"/>
    </row>
    <row r="362" spans="1:18" ht="19.5" hidden="1" customHeight="1" thickBot="1" x14ac:dyDescent="0.3">
      <c r="A362" s="991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993" t="s">
        <v>72</v>
      </c>
      <c r="H362" s="48" t="s">
        <v>118</v>
      </c>
      <c r="I362" s="116" t="s">
        <v>118</v>
      </c>
      <c r="J362" s="52"/>
      <c r="K362" s="48" t="str">
        <f t="shared" si="6"/>
        <v>09,23</v>
      </c>
      <c r="L362" s="48"/>
      <c r="M362" s="48"/>
      <c r="N362" s="48"/>
      <c r="O362" s="2"/>
      <c r="P362" s="2"/>
      <c r="Q362" s="2"/>
      <c r="R362" s="2"/>
    </row>
    <row r="363" spans="1:18" ht="19.5" hidden="1" thickBot="1" x14ac:dyDescent="0.3">
      <c r="A363" s="991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993"/>
      <c r="H363" s="71" t="s">
        <v>118</v>
      </c>
      <c r="I363" s="175" t="s">
        <v>118</v>
      </c>
      <c r="J363" s="168"/>
      <c r="K363" s="71" t="str">
        <f t="shared" si="6"/>
        <v>09,23</v>
      </c>
      <c r="L363" s="71"/>
      <c r="M363" s="71"/>
      <c r="N363" s="71"/>
      <c r="O363" s="2"/>
      <c r="P363" s="2"/>
      <c r="Q363" s="2"/>
      <c r="R363" s="2"/>
    </row>
    <row r="364" spans="1:18" ht="19.5" hidden="1" thickBot="1" x14ac:dyDescent="0.3">
      <c r="A364" s="990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6"/>
        <v>09,23</v>
      </c>
      <c r="L364" s="82"/>
      <c r="M364" s="82"/>
      <c r="N364" s="82"/>
      <c r="O364" s="2"/>
      <c r="P364" s="2"/>
      <c r="Q364" s="2"/>
      <c r="R364" s="2"/>
    </row>
    <row r="365" spans="1:18" ht="19.5" hidden="1" thickBot="1" x14ac:dyDescent="0.3">
      <c r="A365" s="990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6"/>
        <v>09,23</v>
      </c>
      <c r="L365" s="98"/>
      <c r="M365" s="98"/>
      <c r="N365" s="98"/>
      <c r="O365" s="2"/>
      <c r="P365" s="2"/>
      <c r="Q365" s="2"/>
      <c r="R365" s="2"/>
    </row>
    <row r="366" spans="1:18" ht="19.5" hidden="1" thickBot="1" x14ac:dyDescent="0.3">
      <c r="A366" s="990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6"/>
        <v>09,23</v>
      </c>
      <c r="L366" s="98"/>
      <c r="M366" s="98"/>
      <c r="N366" s="98"/>
      <c r="O366" s="2"/>
      <c r="P366" s="2"/>
      <c r="Q366" s="2"/>
      <c r="R366" s="2"/>
    </row>
    <row r="367" spans="1:18" ht="19.5" hidden="1" thickBot="1" x14ac:dyDescent="0.3">
      <c r="A367" s="990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6"/>
        <v>09,23</v>
      </c>
      <c r="L367" s="90"/>
      <c r="M367" s="90"/>
      <c r="N367" s="90"/>
      <c r="O367" s="2"/>
      <c r="P367" s="2"/>
      <c r="Q367" s="2"/>
      <c r="R367" s="2"/>
    </row>
    <row r="368" spans="1:18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6"/>
        <v>09,23</v>
      </c>
      <c r="L368" s="75"/>
      <c r="M368" s="75"/>
      <c r="N368" s="75"/>
      <c r="O368" s="2"/>
      <c r="P368" s="2"/>
      <c r="Q368" s="2"/>
      <c r="R368" s="2"/>
    </row>
    <row r="369" spans="1:18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6"/>
        <v>09,23</v>
      </c>
      <c r="L369" s="40"/>
      <c r="M369" s="40"/>
      <c r="N369" s="40"/>
      <c r="O369" s="2"/>
      <c r="P369" s="2"/>
      <c r="Q369" s="2"/>
      <c r="R369" s="2"/>
    </row>
    <row r="370" spans="1:18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6"/>
        <v>09,23</v>
      </c>
      <c r="L370" s="75"/>
      <c r="M370" s="75"/>
      <c r="N370" s="75"/>
      <c r="O370" s="2"/>
      <c r="P370" s="2"/>
      <c r="Q370" s="2"/>
      <c r="R370" s="2"/>
    </row>
    <row r="371" spans="1:18" ht="19.5" hidden="1" thickBot="1" x14ac:dyDescent="0.3">
      <c r="A371" s="990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6"/>
        <v>09,23</v>
      </c>
      <c r="L371" s="82"/>
      <c r="M371" s="82"/>
      <c r="N371" s="82"/>
      <c r="O371" s="2"/>
      <c r="P371" s="2"/>
      <c r="Q371" s="2"/>
      <c r="R371" s="2"/>
    </row>
    <row r="372" spans="1:18" ht="19.5" hidden="1" thickBot="1" x14ac:dyDescent="0.3">
      <c r="A372" s="990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6"/>
        <v>09,23</v>
      </c>
      <c r="L372" s="98"/>
      <c r="M372" s="98"/>
      <c r="N372" s="98"/>
      <c r="O372" s="2"/>
      <c r="P372" s="2"/>
      <c r="Q372" s="2"/>
      <c r="R372" s="2"/>
    </row>
    <row r="373" spans="1:18" ht="19.5" hidden="1" thickBot="1" x14ac:dyDescent="0.3">
      <c r="A373" s="990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6"/>
        <v>09,23</v>
      </c>
      <c r="L373" s="98"/>
      <c r="M373" s="98"/>
      <c r="N373" s="98"/>
      <c r="O373" s="2"/>
      <c r="P373" s="2"/>
      <c r="Q373" s="2"/>
      <c r="R373" s="2"/>
    </row>
    <row r="374" spans="1:18" ht="19.5" hidden="1" thickBot="1" x14ac:dyDescent="0.3">
      <c r="A374" s="990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6"/>
        <v>09,23</v>
      </c>
      <c r="L374" s="90"/>
      <c r="M374" s="90"/>
      <c r="N374" s="90"/>
      <c r="O374" s="2"/>
      <c r="P374" s="2"/>
      <c r="Q374" s="2"/>
      <c r="R374" s="2"/>
    </row>
    <row r="375" spans="1:18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6"/>
        <v>09,23</v>
      </c>
      <c r="L375" s="75"/>
      <c r="M375" s="75"/>
      <c r="N375" s="75"/>
      <c r="O375" s="2"/>
      <c r="P375" s="2"/>
      <c r="Q375" s="2"/>
      <c r="R375" s="2"/>
    </row>
    <row r="376" spans="1:18" ht="57" hidden="1" thickBot="1" x14ac:dyDescent="0.3">
      <c r="A376" s="990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6"/>
        <v>09,23</v>
      </c>
      <c r="L376" s="82"/>
      <c r="M376" s="82"/>
      <c r="N376" s="82"/>
      <c r="O376" s="2"/>
      <c r="P376" s="2"/>
      <c r="Q376" s="2"/>
      <c r="R376" s="2"/>
    </row>
    <row r="377" spans="1:18" ht="57" hidden="1" thickBot="1" x14ac:dyDescent="0.3">
      <c r="A377" s="990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6"/>
        <v>09,23</v>
      </c>
      <c r="L377" s="90"/>
      <c r="M377" s="90"/>
      <c r="N377" s="90"/>
      <c r="O377" s="2"/>
      <c r="P377" s="2"/>
      <c r="Q377" s="2"/>
      <c r="R377" s="2"/>
    </row>
    <row r="378" spans="1:18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6"/>
        <v>09,23</v>
      </c>
      <c r="L378" s="75"/>
      <c r="M378" s="75"/>
      <c r="N378" s="75"/>
      <c r="O378" s="2"/>
      <c r="P378" s="2"/>
      <c r="Q378" s="2"/>
      <c r="R378" s="2"/>
    </row>
    <row r="379" spans="1:18" ht="19.5" hidden="1" thickBot="1" x14ac:dyDescent="0.3">
      <c r="A379" s="990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6"/>
        <v>09,23</v>
      </c>
      <c r="L379" s="82"/>
      <c r="M379" s="82"/>
      <c r="N379" s="82"/>
      <c r="O379" s="2"/>
      <c r="P379" s="2"/>
      <c r="Q379" s="2"/>
      <c r="R379" s="2"/>
    </row>
    <row r="380" spans="1:18" ht="19.5" hidden="1" thickBot="1" x14ac:dyDescent="0.3">
      <c r="A380" s="990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6"/>
        <v>09,23</v>
      </c>
      <c r="L380" s="90"/>
      <c r="M380" s="90"/>
      <c r="N380" s="90"/>
      <c r="O380" s="2"/>
      <c r="P380" s="2"/>
      <c r="Q380" s="2"/>
      <c r="R380" s="2"/>
    </row>
    <row r="381" spans="1:18" ht="19.5" hidden="1" thickBot="1" x14ac:dyDescent="0.3">
      <c r="A381" s="991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6"/>
        <v>09,23</v>
      </c>
      <c r="L381" s="48"/>
      <c r="M381" s="48"/>
      <c r="N381" s="48"/>
      <c r="O381" s="2"/>
      <c r="P381" s="2"/>
      <c r="Q381" s="2"/>
      <c r="R381" s="2"/>
    </row>
    <row r="382" spans="1:18" ht="19.5" hidden="1" thickBot="1" x14ac:dyDescent="0.3">
      <c r="A382" s="991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6"/>
        <v>09,23</v>
      </c>
      <c r="L382" s="71"/>
      <c r="M382" s="71"/>
      <c r="N382" s="71"/>
      <c r="O382" s="2"/>
      <c r="P382" s="2"/>
      <c r="Q382" s="2"/>
      <c r="R382" s="2"/>
    </row>
    <row r="383" spans="1:18" ht="19.5" hidden="1" thickBot="1" x14ac:dyDescent="0.3">
      <c r="A383" s="990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6"/>
        <v>09,23</v>
      </c>
      <c r="L383" s="82"/>
      <c r="M383" s="82"/>
      <c r="N383" s="82"/>
      <c r="O383" s="2"/>
      <c r="P383" s="2"/>
      <c r="Q383" s="2"/>
      <c r="R383" s="2"/>
    </row>
    <row r="384" spans="1:18" ht="19.5" hidden="1" thickBot="1" x14ac:dyDescent="0.3">
      <c r="A384" s="990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6"/>
        <v>09,23</v>
      </c>
      <c r="L384" s="90"/>
      <c r="M384" s="90"/>
      <c r="N384" s="90"/>
      <c r="O384" s="2"/>
      <c r="P384" s="2"/>
      <c r="Q384" s="2"/>
      <c r="R384" s="2"/>
    </row>
    <row r="385" spans="1:18" ht="19.5" hidden="1" thickBot="1" x14ac:dyDescent="0.3">
      <c r="A385" s="991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6"/>
        <v>09,23</v>
      </c>
      <c r="L385" s="48"/>
      <c r="M385" s="48"/>
      <c r="N385" s="48"/>
      <c r="O385" s="2"/>
      <c r="P385" s="2"/>
      <c r="Q385" s="2"/>
      <c r="R385" s="2"/>
    </row>
    <row r="386" spans="1:18" ht="19.5" hidden="1" thickBot="1" x14ac:dyDescent="0.3">
      <c r="A386" s="991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6"/>
        <v>09,23</v>
      </c>
      <c r="L386" s="23"/>
      <c r="M386" s="23"/>
      <c r="N386" s="23"/>
      <c r="O386" s="2"/>
      <c r="P386" s="2"/>
      <c r="Q386" s="2"/>
      <c r="R386" s="2"/>
    </row>
    <row r="387" spans="1:18" ht="19.5" hidden="1" thickBot="1" x14ac:dyDescent="0.3">
      <c r="A387" s="991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7">RIGHT(H387,5)</f>
        <v>09,23</v>
      </c>
      <c r="L387" s="23"/>
      <c r="M387" s="23"/>
      <c r="N387" s="23"/>
      <c r="O387" s="2"/>
      <c r="P387" s="2"/>
      <c r="Q387" s="2"/>
      <c r="R387" s="2"/>
    </row>
    <row r="388" spans="1:18" ht="19.5" hidden="1" thickBot="1" x14ac:dyDescent="0.3">
      <c r="A388" s="991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7"/>
        <v>09,23</v>
      </c>
      <c r="L388" s="23"/>
      <c r="M388" s="23"/>
      <c r="N388" s="23"/>
      <c r="O388" s="2"/>
      <c r="P388" s="2"/>
      <c r="Q388" s="2"/>
      <c r="R388" s="2"/>
    </row>
    <row r="389" spans="1:18" ht="19.5" hidden="1" thickBot="1" x14ac:dyDescent="0.3">
      <c r="A389" s="991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7"/>
        <v>09,23</v>
      </c>
      <c r="L389" s="23"/>
      <c r="M389" s="23"/>
      <c r="N389" s="23"/>
      <c r="O389" s="2"/>
      <c r="P389" s="2"/>
      <c r="Q389" s="2"/>
      <c r="R389" s="2"/>
    </row>
    <row r="390" spans="1:18" ht="19.5" hidden="1" thickBot="1" x14ac:dyDescent="0.3">
      <c r="A390" s="991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7"/>
        <v>09,23</v>
      </c>
      <c r="L390" s="71"/>
      <c r="M390" s="71"/>
      <c r="N390" s="71"/>
      <c r="O390" s="2"/>
      <c r="P390" s="2"/>
      <c r="Q390" s="2"/>
      <c r="R390" s="2"/>
    </row>
    <row r="391" spans="1:18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7"/>
        <v>09,23</v>
      </c>
      <c r="L391" s="40"/>
      <c r="M391" s="40"/>
      <c r="N391" s="40"/>
      <c r="O391" s="2"/>
      <c r="P391" s="2"/>
      <c r="Q391" s="2"/>
      <c r="R391" s="2"/>
    </row>
    <row r="392" spans="1:18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7"/>
        <v>09,23</v>
      </c>
      <c r="L392" s="75"/>
      <c r="M392" s="75"/>
      <c r="N392" s="75"/>
      <c r="O392" s="2"/>
      <c r="P392" s="2"/>
      <c r="Q392" s="2"/>
      <c r="R392" s="2"/>
    </row>
    <row r="393" spans="1:18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7"/>
        <v>09,23</v>
      </c>
      <c r="L393" s="40"/>
      <c r="M393" s="40"/>
      <c r="N393" s="40"/>
      <c r="O393" s="2"/>
      <c r="P393" s="2"/>
      <c r="Q393" s="2"/>
      <c r="R393" s="2"/>
    </row>
    <row r="394" spans="1:18" ht="38.25" hidden="1" thickBot="1" x14ac:dyDescent="0.3">
      <c r="A394" s="991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7"/>
        <v>09,23</v>
      </c>
      <c r="L394" s="48"/>
      <c r="M394" s="48"/>
      <c r="N394" s="48"/>
      <c r="O394" s="2"/>
      <c r="P394" s="2"/>
      <c r="Q394" s="2"/>
      <c r="R394" s="2"/>
    </row>
    <row r="395" spans="1:18" ht="38.25" hidden="1" thickBot="1" x14ac:dyDescent="0.3">
      <c r="A395" s="991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7"/>
        <v>09,23</v>
      </c>
      <c r="L395" s="71"/>
      <c r="M395" s="71"/>
      <c r="N395" s="71"/>
      <c r="O395" s="2"/>
      <c r="P395" s="2"/>
      <c r="Q395" s="2"/>
      <c r="R395" s="2"/>
    </row>
    <row r="396" spans="1:18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7"/>
        <v>09,23</v>
      </c>
      <c r="L396" s="40"/>
      <c r="M396" s="40"/>
      <c r="N396" s="40"/>
      <c r="O396" s="2"/>
      <c r="P396" s="2"/>
      <c r="Q396" s="2"/>
      <c r="R396" s="2"/>
    </row>
    <row r="397" spans="1:18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7"/>
        <v>09,23</v>
      </c>
      <c r="L397" s="75"/>
      <c r="M397" s="75"/>
      <c r="N397" s="75"/>
      <c r="O397" s="2"/>
      <c r="P397" s="2"/>
      <c r="Q397" s="2"/>
      <c r="R397" s="2"/>
    </row>
    <row r="398" spans="1:18" ht="19.5" hidden="1" thickBot="1" x14ac:dyDescent="0.3">
      <c r="A398" s="990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7"/>
        <v>09,23</v>
      </c>
      <c r="L398" s="82"/>
      <c r="M398" s="82"/>
      <c r="N398" s="82"/>
      <c r="O398" s="2"/>
      <c r="P398" s="2"/>
      <c r="Q398" s="2"/>
      <c r="R398" s="2"/>
    </row>
    <row r="399" spans="1:18" ht="19.5" hidden="1" thickBot="1" x14ac:dyDescent="0.3">
      <c r="A399" s="990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7"/>
        <v>09,23</v>
      </c>
      <c r="L399" s="90"/>
      <c r="M399" s="90"/>
      <c r="N399" s="90"/>
      <c r="O399" s="2"/>
      <c r="P399" s="2"/>
      <c r="Q399" s="2"/>
      <c r="R399" s="2"/>
    </row>
    <row r="400" spans="1:18" ht="19.5" hidden="1" thickBot="1" x14ac:dyDescent="0.3">
      <c r="A400" s="991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7"/>
        <v>09,23</v>
      </c>
      <c r="L400" s="48"/>
      <c r="M400" s="48"/>
      <c r="N400" s="48"/>
      <c r="O400" s="2"/>
      <c r="P400" s="2"/>
      <c r="Q400" s="2"/>
      <c r="R400" s="2"/>
    </row>
    <row r="401" spans="1:18" ht="19.5" hidden="1" thickBot="1" x14ac:dyDescent="0.3">
      <c r="A401" s="991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7"/>
        <v>09,23</v>
      </c>
      <c r="L401" s="23"/>
      <c r="M401" s="23"/>
      <c r="N401" s="23"/>
      <c r="O401" s="2"/>
      <c r="P401" s="2"/>
      <c r="Q401" s="2"/>
      <c r="R401" s="2"/>
    </row>
    <row r="402" spans="1:18" ht="19.5" hidden="1" thickBot="1" x14ac:dyDescent="0.3">
      <c r="A402" s="991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7"/>
        <v>09,23</v>
      </c>
      <c r="L402" s="71"/>
      <c r="M402" s="71"/>
      <c r="N402" s="71"/>
      <c r="O402" s="2"/>
      <c r="P402" s="2"/>
      <c r="Q402" s="2"/>
      <c r="R402" s="2"/>
    </row>
    <row r="403" spans="1:18" ht="19.5" hidden="1" thickBot="1" x14ac:dyDescent="0.3">
      <c r="A403" s="990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7"/>
        <v>09,23</v>
      </c>
      <c r="L403" s="82"/>
      <c r="M403" s="82"/>
      <c r="N403" s="82"/>
      <c r="O403" s="2"/>
      <c r="P403" s="2"/>
      <c r="Q403" s="2"/>
      <c r="R403" s="2"/>
    </row>
    <row r="404" spans="1:18" ht="19.5" hidden="1" thickBot="1" x14ac:dyDescent="0.3">
      <c r="A404" s="990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7"/>
        <v>09,23</v>
      </c>
      <c r="L404" s="90"/>
      <c r="M404" s="90"/>
      <c r="N404" s="90"/>
      <c r="O404" s="2"/>
      <c r="P404" s="2"/>
      <c r="Q404" s="2"/>
      <c r="R404" s="2"/>
    </row>
    <row r="405" spans="1:18" ht="19.5" hidden="1" thickBot="1" x14ac:dyDescent="0.3">
      <c r="A405" s="991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7"/>
        <v>09,23</v>
      </c>
      <c r="L405" s="48"/>
      <c r="M405" s="48"/>
      <c r="N405" s="48"/>
      <c r="O405" s="2"/>
      <c r="P405" s="2"/>
      <c r="Q405" s="2"/>
      <c r="R405" s="2"/>
    </row>
    <row r="406" spans="1:18" ht="19.5" hidden="1" thickBot="1" x14ac:dyDescent="0.3">
      <c r="A406" s="991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7"/>
        <v>09,23</v>
      </c>
      <c r="L406" s="71"/>
      <c r="M406" s="71"/>
      <c r="N406" s="71"/>
      <c r="O406" s="2"/>
      <c r="P406" s="2"/>
      <c r="Q406" s="2"/>
      <c r="R406" s="2"/>
    </row>
    <row r="407" spans="1:18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7"/>
        <v>09,23</v>
      </c>
      <c r="L407" s="40"/>
      <c r="M407" s="40"/>
      <c r="N407" s="40"/>
      <c r="O407" s="2"/>
      <c r="P407" s="2"/>
      <c r="Q407" s="2"/>
      <c r="R407" s="2"/>
    </row>
    <row r="408" spans="1:18" ht="19.5" hidden="1" customHeight="1" thickBot="1" x14ac:dyDescent="0.3">
      <c r="A408" s="991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993" t="s">
        <v>72</v>
      </c>
      <c r="H408" s="48" t="s">
        <v>128</v>
      </c>
      <c r="I408" s="116" t="s">
        <v>128</v>
      </c>
      <c r="J408" s="52"/>
      <c r="K408" s="48" t="str">
        <f t="shared" si="7"/>
        <v>09,23</v>
      </c>
      <c r="L408" s="48"/>
      <c r="M408" s="48"/>
      <c r="N408" s="48"/>
      <c r="O408" s="2"/>
      <c r="P408" s="2"/>
      <c r="Q408" s="2"/>
      <c r="R408" s="2"/>
    </row>
    <row r="409" spans="1:18" ht="19.5" hidden="1" thickBot="1" x14ac:dyDescent="0.3">
      <c r="A409" s="991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993"/>
      <c r="H409" s="71" t="s">
        <v>128</v>
      </c>
      <c r="I409" s="175" t="s">
        <v>128</v>
      </c>
      <c r="J409" s="168"/>
      <c r="K409" s="71" t="str">
        <f t="shared" si="7"/>
        <v>09,23</v>
      </c>
      <c r="L409" s="71"/>
      <c r="M409" s="71"/>
      <c r="N409" s="71"/>
      <c r="O409" s="2"/>
      <c r="P409" s="2"/>
      <c r="Q409" s="2"/>
      <c r="R409" s="2"/>
    </row>
    <row r="410" spans="1:18" ht="19.5" hidden="1" thickBot="1" x14ac:dyDescent="0.3">
      <c r="A410" s="990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7"/>
        <v>09,23</v>
      </c>
      <c r="L410" s="82"/>
      <c r="M410" s="82"/>
      <c r="N410" s="82"/>
      <c r="O410" s="2"/>
      <c r="P410" s="2"/>
      <c r="Q410" s="2"/>
      <c r="R410" s="2"/>
    </row>
    <row r="411" spans="1:18" ht="19.5" hidden="1" thickBot="1" x14ac:dyDescent="0.3">
      <c r="A411" s="990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7"/>
        <v>09,23</v>
      </c>
      <c r="L411" s="90"/>
      <c r="M411" s="90"/>
      <c r="N411" s="90"/>
      <c r="O411" s="2"/>
      <c r="P411" s="2"/>
      <c r="Q411" s="2"/>
      <c r="R411" s="2"/>
    </row>
    <row r="412" spans="1:18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7"/>
        <v>09,23</v>
      </c>
      <c r="L412" s="75"/>
      <c r="M412" s="75"/>
      <c r="N412" s="75"/>
      <c r="O412" s="2"/>
      <c r="P412" s="2"/>
      <c r="Q412" s="2"/>
      <c r="R412" s="2"/>
    </row>
    <row r="413" spans="1:18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7"/>
        <v>09,23</v>
      </c>
      <c r="L413" s="40"/>
      <c r="M413" s="40"/>
      <c r="N413" s="40"/>
      <c r="O413" s="2"/>
      <c r="P413" s="2"/>
      <c r="Q413" s="2"/>
      <c r="R413" s="2"/>
    </row>
    <row r="414" spans="1:18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7"/>
        <v>09,23</v>
      </c>
      <c r="L414" s="75"/>
      <c r="M414" s="75"/>
      <c r="N414" s="75"/>
      <c r="O414" s="2"/>
      <c r="P414" s="2"/>
      <c r="Q414" s="2"/>
      <c r="R414" s="2"/>
    </row>
    <row r="415" spans="1:18" ht="19.5" hidden="1" thickBot="1" x14ac:dyDescent="0.3">
      <c r="A415" s="990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7"/>
        <v>09,23</v>
      </c>
      <c r="L415" s="82"/>
      <c r="M415" s="82"/>
      <c r="N415" s="82"/>
      <c r="O415" s="2"/>
      <c r="P415" s="2"/>
      <c r="Q415" s="2"/>
      <c r="R415" s="2"/>
    </row>
    <row r="416" spans="1:18" ht="19.5" hidden="1" thickBot="1" x14ac:dyDescent="0.3">
      <c r="A416" s="990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7"/>
        <v>09,23</v>
      </c>
      <c r="L416" s="98"/>
      <c r="M416" s="98"/>
      <c r="N416" s="98"/>
      <c r="O416" s="2"/>
      <c r="P416" s="2"/>
      <c r="Q416" s="2"/>
      <c r="R416" s="2"/>
    </row>
    <row r="417" spans="1:18" ht="19.5" hidden="1" thickBot="1" x14ac:dyDescent="0.3">
      <c r="A417" s="990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7"/>
        <v>09,23</v>
      </c>
      <c r="L417" s="98"/>
      <c r="M417" s="98"/>
      <c r="N417" s="98"/>
      <c r="O417" s="2"/>
      <c r="P417" s="2"/>
      <c r="Q417" s="2"/>
      <c r="R417" s="2"/>
    </row>
    <row r="418" spans="1:18" ht="19.5" hidden="1" thickBot="1" x14ac:dyDescent="0.3">
      <c r="A418" s="990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7"/>
        <v>09,23</v>
      </c>
      <c r="L418" s="90"/>
      <c r="M418" s="90"/>
      <c r="N418" s="90"/>
      <c r="O418" s="2"/>
      <c r="P418" s="2"/>
      <c r="Q418" s="2"/>
      <c r="R418" s="2"/>
    </row>
    <row r="419" spans="1:18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7"/>
        <v>09,23</v>
      </c>
      <c r="L419" s="75"/>
      <c r="M419" s="75"/>
      <c r="N419" s="75"/>
      <c r="O419" s="2"/>
      <c r="P419" s="2"/>
      <c r="Q419" s="2"/>
      <c r="R419" s="2"/>
    </row>
    <row r="420" spans="1:18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1009" t="s">
        <v>133</v>
      </c>
      <c r="J420" s="1009"/>
      <c r="K420" s="187" t="str">
        <f t="shared" si="7"/>
        <v>09,23</v>
      </c>
      <c r="L420" s="187"/>
      <c r="M420" s="187"/>
      <c r="N420" s="187"/>
      <c r="O420" s="2"/>
      <c r="P420" s="2"/>
      <c r="Q420" s="2"/>
      <c r="R420" s="2"/>
    </row>
    <row r="421" spans="1:18" ht="19.5" hidden="1" thickBot="1" x14ac:dyDescent="0.3">
      <c r="A421" s="991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7"/>
        <v>09,23</v>
      </c>
      <c r="L421" s="48"/>
      <c r="M421" s="48"/>
      <c r="N421" s="48"/>
      <c r="O421" s="2"/>
      <c r="P421" s="2"/>
      <c r="Q421" s="2"/>
      <c r="R421" s="2"/>
    </row>
    <row r="422" spans="1:18" ht="19.5" hidden="1" thickBot="1" x14ac:dyDescent="0.3">
      <c r="A422" s="991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7"/>
        <v>09,23</v>
      </c>
      <c r="L422" s="71"/>
      <c r="M422" s="71"/>
      <c r="N422" s="71"/>
      <c r="O422" s="2"/>
      <c r="P422" s="2"/>
      <c r="Q422" s="2"/>
      <c r="R422" s="2"/>
    </row>
    <row r="423" spans="1:18" ht="19.5" hidden="1" thickBot="1" x14ac:dyDescent="0.3">
      <c r="A423" s="990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7"/>
        <v>09,23</v>
      </c>
      <c r="L423" s="82"/>
      <c r="M423" s="82"/>
      <c r="N423" s="82"/>
      <c r="O423" s="2"/>
      <c r="P423" s="2"/>
      <c r="Q423" s="2"/>
      <c r="R423" s="2"/>
    </row>
    <row r="424" spans="1:18" ht="38.25" hidden="1" thickBot="1" x14ac:dyDescent="0.3">
      <c r="A424" s="990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7"/>
        <v>09,23</v>
      </c>
      <c r="L424" s="90"/>
      <c r="M424" s="90"/>
      <c r="N424" s="90"/>
      <c r="O424" s="2"/>
      <c r="P424" s="2"/>
      <c r="Q424" s="2"/>
      <c r="R424" s="2"/>
    </row>
    <row r="425" spans="1:18" ht="19.5" hidden="1" thickBot="1" x14ac:dyDescent="0.3">
      <c r="A425" s="991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7"/>
        <v>09,23</v>
      </c>
      <c r="L425" s="48"/>
      <c r="M425" s="48"/>
      <c r="N425" s="48"/>
      <c r="O425" s="2"/>
      <c r="P425" s="2"/>
      <c r="Q425" s="2"/>
      <c r="R425" s="2"/>
    </row>
    <row r="426" spans="1:18" ht="19.5" hidden="1" thickBot="1" x14ac:dyDescent="0.3">
      <c r="A426" s="991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7"/>
        <v>09,23</v>
      </c>
      <c r="L426" s="71"/>
      <c r="M426" s="71"/>
      <c r="N426" s="71"/>
      <c r="O426" s="2"/>
      <c r="P426" s="2"/>
      <c r="Q426" s="2"/>
      <c r="R426" s="2"/>
    </row>
    <row r="427" spans="1:18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7"/>
        <v>09,23</v>
      </c>
      <c r="L427" s="40"/>
      <c r="M427" s="40"/>
      <c r="N427" s="40"/>
      <c r="O427" s="2"/>
      <c r="P427" s="2"/>
      <c r="Q427" s="2"/>
      <c r="R427" s="2"/>
    </row>
    <row r="428" spans="1:18" ht="75.7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7"/>
        <v>09,23</v>
      </c>
      <c r="L428" s="75"/>
      <c r="M428" s="75"/>
      <c r="N428" s="75"/>
      <c r="O428" s="2"/>
      <c r="P428" s="2"/>
      <c r="Q428" s="2"/>
      <c r="R428" s="2"/>
    </row>
    <row r="429" spans="1:18" ht="19.5" hidden="1" thickBot="1" x14ac:dyDescent="0.3">
      <c r="A429" s="990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7"/>
        <v>09,23</v>
      </c>
      <c r="L429" s="82"/>
      <c r="M429" s="82"/>
      <c r="N429" s="82"/>
      <c r="O429" s="2"/>
      <c r="P429" s="2"/>
      <c r="Q429" s="2"/>
      <c r="R429" s="2"/>
    </row>
    <row r="430" spans="1:18" ht="19.5" hidden="1" thickBot="1" x14ac:dyDescent="0.3">
      <c r="A430" s="990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7"/>
        <v>09,23</v>
      </c>
      <c r="L430" s="98"/>
      <c r="M430" s="98"/>
      <c r="N430" s="98"/>
      <c r="O430" s="2"/>
      <c r="P430" s="2"/>
      <c r="Q430" s="2"/>
      <c r="R430" s="2"/>
    </row>
    <row r="431" spans="1:18" ht="19.5" hidden="1" thickBot="1" x14ac:dyDescent="0.3">
      <c r="A431" s="990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7"/>
        <v>09,23</v>
      </c>
      <c r="L431" s="98"/>
      <c r="M431" s="98"/>
      <c r="N431" s="98"/>
      <c r="O431" s="2"/>
      <c r="P431" s="2"/>
      <c r="Q431" s="2"/>
      <c r="R431" s="2"/>
    </row>
    <row r="432" spans="1:18" ht="19.5" hidden="1" thickBot="1" x14ac:dyDescent="0.3">
      <c r="A432" s="990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7"/>
        <v>09,23</v>
      </c>
      <c r="L432" s="90"/>
      <c r="M432" s="90"/>
      <c r="N432" s="90"/>
      <c r="O432" s="2"/>
      <c r="P432" s="2"/>
      <c r="Q432" s="2"/>
      <c r="R432" s="2"/>
    </row>
    <row r="433" spans="1:18" ht="19.5" hidden="1" thickBot="1" x14ac:dyDescent="0.3">
      <c r="A433" s="991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7"/>
        <v>09,23</v>
      </c>
      <c r="L433" s="48"/>
      <c r="M433" s="48"/>
      <c r="N433" s="48"/>
      <c r="O433" s="2"/>
      <c r="P433" s="2"/>
      <c r="Q433" s="2"/>
      <c r="R433" s="2"/>
    </row>
    <row r="434" spans="1:18" ht="19.5" hidden="1" thickBot="1" x14ac:dyDescent="0.3">
      <c r="A434" s="991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7"/>
        <v>09,23</v>
      </c>
      <c r="L434" s="23"/>
      <c r="M434" s="23"/>
      <c r="N434" s="23"/>
      <c r="O434" s="2"/>
      <c r="P434" s="2"/>
      <c r="Q434" s="2"/>
      <c r="R434" s="2"/>
    </row>
    <row r="435" spans="1:18" ht="19.5" hidden="1" thickBot="1" x14ac:dyDescent="0.3">
      <c r="A435" s="991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7"/>
        <v>09,23</v>
      </c>
      <c r="L435" s="23"/>
      <c r="M435" s="23"/>
      <c r="N435" s="23"/>
      <c r="O435" s="2"/>
      <c r="P435" s="2"/>
      <c r="Q435" s="2"/>
      <c r="R435" s="2"/>
    </row>
    <row r="436" spans="1:18" ht="38.25" hidden="1" thickBot="1" x14ac:dyDescent="0.3">
      <c r="A436" s="991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7"/>
        <v>09,23</v>
      </c>
      <c r="L436" s="23"/>
      <c r="M436" s="23"/>
      <c r="N436" s="23"/>
      <c r="O436" s="2"/>
      <c r="P436" s="2"/>
      <c r="Q436" s="2"/>
      <c r="R436" s="2"/>
    </row>
    <row r="437" spans="1:18" ht="19.5" hidden="1" thickBot="1" x14ac:dyDescent="0.3">
      <c r="A437" s="991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7"/>
        <v>09,23</v>
      </c>
      <c r="L437" s="71"/>
      <c r="M437" s="71"/>
      <c r="N437" s="71"/>
      <c r="O437" s="2"/>
      <c r="P437" s="2"/>
      <c r="Q437" s="2"/>
      <c r="R437" s="2"/>
    </row>
    <row r="438" spans="1:18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7"/>
        <v>09,23</v>
      </c>
      <c r="L438" s="40"/>
      <c r="M438" s="40"/>
      <c r="N438" s="40"/>
      <c r="O438" s="2"/>
      <c r="P438" s="2"/>
      <c r="Q438" s="2"/>
      <c r="R438" s="2"/>
    </row>
    <row r="439" spans="1:18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7"/>
        <v>09,23</v>
      </c>
      <c r="L439" s="75"/>
      <c r="M439" s="75"/>
      <c r="N439" s="75"/>
      <c r="O439" s="2"/>
      <c r="P439" s="2"/>
      <c r="Q439" s="2"/>
      <c r="R439" s="2"/>
    </row>
    <row r="440" spans="1:18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7"/>
        <v>09,23</v>
      </c>
      <c r="L440" s="40"/>
      <c r="M440" s="40"/>
      <c r="N440" s="40"/>
      <c r="O440" s="2"/>
      <c r="P440" s="2"/>
      <c r="Q440" s="2"/>
      <c r="R440" s="2"/>
    </row>
    <row r="441" spans="1:18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7"/>
        <v>09,23</v>
      </c>
      <c r="L441" s="75"/>
      <c r="M441" s="75"/>
      <c r="N441" s="75"/>
      <c r="O441" s="2"/>
      <c r="P441" s="2"/>
      <c r="Q441" s="2"/>
      <c r="R441" s="2"/>
    </row>
    <row r="442" spans="1:18" ht="19.5" hidden="1" thickBot="1" x14ac:dyDescent="0.3">
      <c r="A442" s="990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7"/>
        <v>09,23</v>
      </c>
      <c r="L442" s="82"/>
      <c r="M442" s="82"/>
      <c r="N442" s="82"/>
      <c r="O442" s="2"/>
      <c r="P442" s="2"/>
      <c r="Q442" s="2"/>
      <c r="R442" s="2"/>
    </row>
    <row r="443" spans="1:18" ht="19.5" hidden="1" thickBot="1" x14ac:dyDescent="0.3">
      <c r="A443" s="990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7"/>
        <v>09,23</v>
      </c>
      <c r="L443" s="109"/>
      <c r="M443" s="109"/>
      <c r="N443" s="109"/>
      <c r="O443" s="2"/>
      <c r="P443" s="2"/>
      <c r="Q443" s="2"/>
      <c r="R443" s="2"/>
    </row>
    <row r="444" spans="1:18" ht="19.5" hidden="1" thickBot="1" x14ac:dyDescent="0.3">
      <c r="A444" s="990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7"/>
        <v>09,23</v>
      </c>
      <c r="L444" s="107"/>
      <c r="M444" s="107"/>
      <c r="N444" s="107"/>
      <c r="O444" s="2"/>
      <c r="P444" s="2"/>
      <c r="Q444" s="2"/>
      <c r="R444" s="2"/>
    </row>
    <row r="445" spans="1:18" ht="19.5" hidden="1" thickBot="1" x14ac:dyDescent="0.3">
      <c r="A445" s="991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7"/>
        <v>09,23</v>
      </c>
      <c r="L445" s="48"/>
      <c r="M445" s="48"/>
      <c r="N445" s="48"/>
      <c r="O445" s="2"/>
      <c r="P445" s="2"/>
      <c r="Q445" s="2"/>
      <c r="R445" s="2"/>
    </row>
    <row r="446" spans="1:18" ht="19.5" hidden="1" thickBot="1" x14ac:dyDescent="0.3">
      <c r="A446" s="991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7"/>
        <v>09,23</v>
      </c>
      <c r="L446" s="31"/>
      <c r="M446" s="31"/>
      <c r="N446" s="31"/>
      <c r="O446" s="2"/>
      <c r="P446" s="2"/>
      <c r="Q446" s="2"/>
      <c r="R446" s="2"/>
    </row>
    <row r="447" spans="1:18" ht="19.5" hidden="1" thickBot="1" x14ac:dyDescent="0.3">
      <c r="A447" s="990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7"/>
        <v>09,23</v>
      </c>
      <c r="L447" s="82"/>
      <c r="M447" s="82"/>
      <c r="N447" s="82"/>
      <c r="O447" s="2"/>
      <c r="P447" s="2"/>
      <c r="Q447" s="2"/>
      <c r="R447" s="2"/>
    </row>
    <row r="448" spans="1:18" ht="19.5" hidden="1" thickBot="1" x14ac:dyDescent="0.3">
      <c r="A448" s="990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7"/>
        <v>09,23</v>
      </c>
      <c r="L448" s="107"/>
      <c r="M448" s="107"/>
      <c r="N448" s="107"/>
      <c r="O448" s="2"/>
      <c r="P448" s="2"/>
      <c r="Q448" s="2"/>
      <c r="R448" s="2"/>
    </row>
    <row r="449" spans="1:18" ht="19.5" hidden="1" thickBot="1" x14ac:dyDescent="0.3">
      <c r="A449" s="991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7"/>
        <v>09,23</v>
      </c>
      <c r="L449" s="48"/>
      <c r="M449" s="48"/>
      <c r="N449" s="48"/>
      <c r="O449" s="2"/>
      <c r="P449" s="2"/>
      <c r="Q449" s="2"/>
      <c r="R449" s="2"/>
    </row>
    <row r="450" spans="1:18" ht="19.5" hidden="1" thickBot="1" x14ac:dyDescent="0.3">
      <c r="A450" s="991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7"/>
        <v>09,23</v>
      </c>
      <c r="L450" s="31"/>
      <c r="M450" s="31"/>
      <c r="N450" s="31"/>
      <c r="O450" s="2"/>
      <c r="P450" s="2"/>
      <c r="Q450" s="2"/>
      <c r="R450" s="2"/>
    </row>
    <row r="451" spans="1:18" ht="19.5" hidden="1" customHeight="1" thickBot="1" x14ac:dyDescent="0.3">
      <c r="A451" s="990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992" t="s">
        <v>72</v>
      </c>
      <c r="H451" s="82" t="s">
        <v>142</v>
      </c>
      <c r="I451" s="114" t="s">
        <v>142</v>
      </c>
      <c r="J451" s="86"/>
      <c r="K451" s="82" t="str">
        <f t="shared" ref="K451:K514" si="8">RIGHT(H451,5)</f>
        <v>09,23</v>
      </c>
      <c r="L451" s="82"/>
      <c r="M451" s="82"/>
      <c r="N451" s="82"/>
      <c r="O451" s="2"/>
      <c r="P451" s="2"/>
      <c r="Q451" s="2"/>
      <c r="R451" s="2"/>
    </row>
    <row r="452" spans="1:18" ht="19.5" hidden="1" thickBot="1" x14ac:dyDescent="0.3">
      <c r="A452" s="990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992"/>
      <c r="H452" s="107" t="s">
        <v>142</v>
      </c>
      <c r="I452" s="115" t="s">
        <v>142</v>
      </c>
      <c r="J452" s="94"/>
      <c r="K452" s="107" t="str">
        <f t="shared" si="8"/>
        <v>09,23</v>
      </c>
      <c r="L452" s="107"/>
      <c r="M452" s="107"/>
      <c r="N452" s="107"/>
      <c r="O452" s="2"/>
      <c r="P452" s="2"/>
      <c r="Q452" s="2"/>
      <c r="R452" s="2"/>
    </row>
    <row r="453" spans="1:18" ht="57" hidden="1" thickBot="1" x14ac:dyDescent="0.3">
      <c r="A453" s="991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8"/>
        <v>09,23</v>
      </c>
      <c r="L453" s="48"/>
      <c r="M453" s="48"/>
      <c r="N453" s="48"/>
      <c r="O453" s="2"/>
      <c r="P453" s="2"/>
      <c r="Q453" s="2"/>
      <c r="R453" s="2"/>
    </row>
    <row r="454" spans="1:18" ht="57" hidden="1" thickBot="1" x14ac:dyDescent="0.3">
      <c r="A454" s="991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8"/>
        <v>09,23</v>
      </c>
      <c r="L454" s="31"/>
      <c r="M454" s="31"/>
      <c r="N454" s="31"/>
      <c r="O454" s="2"/>
      <c r="P454" s="2"/>
      <c r="Q454" s="2"/>
      <c r="R454" s="2"/>
    </row>
    <row r="455" spans="1:18" ht="38.25" hidden="1" thickBot="1" x14ac:dyDescent="0.3">
      <c r="A455" s="990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8"/>
        <v>09,23</v>
      </c>
      <c r="L455" s="82"/>
      <c r="M455" s="82"/>
      <c r="N455" s="82"/>
      <c r="O455" s="2"/>
      <c r="P455" s="2"/>
      <c r="Q455" s="2"/>
      <c r="R455" s="2"/>
    </row>
    <row r="456" spans="1:18" ht="38.25" hidden="1" thickBot="1" x14ac:dyDescent="0.3">
      <c r="A456" s="990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8"/>
        <v>09,23</v>
      </c>
      <c r="L456" s="107"/>
      <c r="M456" s="107"/>
      <c r="N456" s="107"/>
      <c r="O456" s="2"/>
      <c r="P456" s="2"/>
      <c r="Q456" s="2"/>
      <c r="R456" s="2"/>
    </row>
    <row r="457" spans="1:18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8"/>
        <v>09,23</v>
      </c>
      <c r="L457" s="75"/>
      <c r="M457" s="75"/>
      <c r="N457" s="75"/>
      <c r="O457" s="2"/>
      <c r="P457" s="2"/>
      <c r="Q457" s="2"/>
      <c r="R457" s="2"/>
    </row>
    <row r="458" spans="1:18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8"/>
        <v>09,23</v>
      </c>
      <c r="L458" s="40"/>
      <c r="M458" s="40"/>
      <c r="N458" s="40"/>
      <c r="O458" s="2"/>
      <c r="P458" s="2"/>
      <c r="Q458" s="2"/>
      <c r="R458" s="2"/>
    </row>
    <row r="459" spans="1:18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8"/>
        <v>09,23</v>
      </c>
      <c r="L459" s="75"/>
      <c r="M459" s="75"/>
      <c r="N459" s="75"/>
      <c r="O459" s="2"/>
      <c r="P459" s="2"/>
      <c r="Q459" s="2"/>
      <c r="R459" s="2"/>
    </row>
    <row r="460" spans="1:18" ht="19.5" hidden="1" thickBot="1" x14ac:dyDescent="0.3">
      <c r="A460" s="990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8"/>
        <v>09,23</v>
      </c>
      <c r="L460" s="82"/>
      <c r="M460" s="82"/>
      <c r="N460" s="82"/>
      <c r="O460" s="2"/>
      <c r="P460" s="2"/>
      <c r="Q460" s="2"/>
      <c r="R460" s="2"/>
    </row>
    <row r="461" spans="1:18" ht="19.5" hidden="1" thickBot="1" x14ac:dyDescent="0.3">
      <c r="A461" s="990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8"/>
        <v>09,23</v>
      </c>
      <c r="L461" s="109"/>
      <c r="M461" s="109"/>
      <c r="N461" s="109"/>
      <c r="O461" s="2"/>
      <c r="P461" s="2"/>
      <c r="Q461" s="2"/>
      <c r="R461" s="2"/>
    </row>
    <row r="462" spans="1:18" ht="19.5" hidden="1" thickBot="1" x14ac:dyDescent="0.3">
      <c r="A462" s="990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8"/>
        <v>09,23</v>
      </c>
      <c r="L462" s="109"/>
      <c r="M462" s="109"/>
      <c r="N462" s="109"/>
      <c r="O462" s="2"/>
      <c r="P462" s="2"/>
      <c r="Q462" s="2"/>
      <c r="R462" s="2"/>
    </row>
    <row r="463" spans="1:18" ht="19.5" hidden="1" thickBot="1" x14ac:dyDescent="0.3">
      <c r="A463" s="990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8"/>
        <v>09,23</v>
      </c>
      <c r="L463" s="107"/>
      <c r="M463" s="107"/>
      <c r="N463" s="107"/>
      <c r="O463" s="2"/>
      <c r="P463" s="2"/>
      <c r="Q463" s="2"/>
      <c r="R463" s="2"/>
    </row>
    <row r="464" spans="1:18" ht="19.5" hidden="1" thickBot="1" x14ac:dyDescent="0.3">
      <c r="A464" s="995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8"/>
        <v>09,23</v>
      </c>
      <c r="L464" s="48"/>
      <c r="M464" s="48"/>
      <c r="N464" s="48"/>
      <c r="O464" s="2"/>
      <c r="P464" s="2"/>
      <c r="Q464" s="2"/>
      <c r="R464" s="2"/>
    </row>
    <row r="465" spans="1:18" ht="19.5" hidden="1" thickBot="1" x14ac:dyDescent="0.3">
      <c r="A465" s="995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8"/>
        <v>09,23</v>
      </c>
      <c r="L465" s="56"/>
      <c r="M465" s="56"/>
      <c r="N465" s="56"/>
      <c r="O465" s="2"/>
      <c r="P465" s="2"/>
      <c r="Q465" s="2"/>
      <c r="R465" s="2"/>
    </row>
    <row r="466" spans="1:18" ht="19.5" hidden="1" thickBot="1" x14ac:dyDescent="0.3">
      <c r="A466" s="995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8"/>
        <v>09,23</v>
      </c>
      <c r="L466" s="195"/>
      <c r="M466" s="195"/>
      <c r="N466" s="195"/>
      <c r="O466" s="2"/>
      <c r="P466" s="2"/>
      <c r="Q466" s="2"/>
      <c r="R466" s="2"/>
    </row>
    <row r="467" spans="1:18" ht="19.5" hidden="1" thickBot="1" x14ac:dyDescent="0.3">
      <c r="A467" s="990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8"/>
        <v>09,23</v>
      </c>
      <c r="L467" s="82"/>
      <c r="M467" s="82"/>
      <c r="N467" s="82"/>
      <c r="O467" s="2"/>
      <c r="P467" s="2"/>
      <c r="Q467" s="2"/>
      <c r="R467" s="2"/>
    </row>
    <row r="468" spans="1:18" ht="19.5" hidden="1" thickBot="1" x14ac:dyDescent="0.3">
      <c r="A468" s="990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8"/>
        <v>09,23</v>
      </c>
      <c r="L468" s="203"/>
      <c r="M468" s="203"/>
      <c r="N468" s="203"/>
      <c r="O468" s="2"/>
      <c r="P468" s="2"/>
      <c r="Q468" s="2"/>
      <c r="R468" s="2"/>
    </row>
    <row r="469" spans="1:18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8"/>
        <v>09,23</v>
      </c>
      <c r="L469" s="71"/>
      <c r="M469" s="71"/>
      <c r="N469" s="71"/>
      <c r="O469" s="2"/>
      <c r="P469" s="2"/>
      <c r="Q469" s="2"/>
      <c r="R469" s="2"/>
    </row>
    <row r="470" spans="1:18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8"/>
        <v>09,23</v>
      </c>
      <c r="L470" s="40"/>
      <c r="M470" s="40"/>
      <c r="N470" s="40"/>
      <c r="O470" s="2"/>
      <c r="P470" s="2"/>
      <c r="Q470" s="2"/>
      <c r="R470" s="2"/>
    </row>
    <row r="471" spans="1:18" ht="19.5" hidden="1" thickBot="1" x14ac:dyDescent="0.3">
      <c r="A471" s="991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8"/>
        <v>09,23</v>
      </c>
      <c r="L471" s="48"/>
      <c r="M471" s="48"/>
      <c r="N471" s="48"/>
      <c r="O471" s="2"/>
      <c r="P471" s="2"/>
      <c r="Q471" s="2"/>
      <c r="R471" s="2"/>
    </row>
    <row r="472" spans="1:18" ht="19.5" hidden="1" thickBot="1" x14ac:dyDescent="0.3">
      <c r="A472" s="991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8"/>
        <v>09,23</v>
      </c>
      <c r="L472" s="31"/>
      <c r="M472" s="31"/>
      <c r="N472" s="31"/>
      <c r="O472" s="2"/>
      <c r="P472" s="2"/>
      <c r="Q472" s="2"/>
      <c r="R472" s="2"/>
    </row>
    <row r="473" spans="1:18" ht="19.5" hidden="1" thickBot="1" x14ac:dyDescent="0.3">
      <c r="A473" s="990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8"/>
        <v>09,23</v>
      </c>
      <c r="L473" s="82"/>
      <c r="M473" s="82"/>
      <c r="N473" s="82"/>
      <c r="O473" s="2"/>
      <c r="P473" s="2"/>
      <c r="Q473" s="2"/>
      <c r="R473" s="2"/>
    </row>
    <row r="474" spans="1:18" ht="19.5" hidden="1" thickBot="1" x14ac:dyDescent="0.3">
      <c r="A474" s="990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8"/>
        <v>09,23</v>
      </c>
      <c r="L474" s="109"/>
      <c r="M474" s="109"/>
      <c r="N474" s="109"/>
      <c r="O474" s="2"/>
      <c r="P474" s="2"/>
      <c r="Q474" s="2"/>
      <c r="R474" s="2"/>
    </row>
    <row r="475" spans="1:18" ht="19.5" hidden="1" thickBot="1" x14ac:dyDescent="0.3">
      <c r="A475" s="990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8"/>
        <v>09,23</v>
      </c>
      <c r="L475" s="109"/>
      <c r="M475" s="109"/>
      <c r="N475" s="109"/>
      <c r="O475" s="2"/>
      <c r="P475" s="2"/>
      <c r="Q475" s="2"/>
      <c r="R475" s="2"/>
    </row>
    <row r="476" spans="1:18" ht="19.5" hidden="1" thickBot="1" x14ac:dyDescent="0.3">
      <c r="A476" s="990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8"/>
        <v>09,23</v>
      </c>
      <c r="L476" s="107"/>
      <c r="M476" s="107"/>
      <c r="N476" s="107"/>
      <c r="O476" s="2"/>
      <c r="P476" s="2"/>
      <c r="Q476" s="2"/>
      <c r="R476" s="2"/>
    </row>
    <row r="477" spans="1:18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8"/>
        <v>09,23</v>
      </c>
      <c r="L477" s="75"/>
      <c r="M477" s="75"/>
      <c r="N477" s="75"/>
      <c r="O477" s="2"/>
      <c r="P477" s="2"/>
      <c r="Q477" s="2"/>
      <c r="R477" s="2"/>
    </row>
    <row r="478" spans="1:18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8"/>
        <v>09,23</v>
      </c>
      <c r="L478" s="40"/>
      <c r="M478" s="40"/>
      <c r="N478" s="40"/>
      <c r="O478" s="2"/>
      <c r="P478" s="2"/>
      <c r="Q478" s="2"/>
      <c r="R478" s="2"/>
    </row>
    <row r="479" spans="1:18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8"/>
        <v>09,23</v>
      </c>
      <c r="L479" s="75"/>
      <c r="M479" s="75"/>
      <c r="N479" s="75"/>
      <c r="O479" s="2"/>
      <c r="P479" s="2"/>
      <c r="Q479" s="2"/>
      <c r="R479" s="2"/>
    </row>
    <row r="480" spans="1:18" ht="19.5" hidden="1" thickBot="1" x14ac:dyDescent="0.3">
      <c r="A480" s="990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8"/>
        <v>09,23</v>
      </c>
      <c r="L480" s="82"/>
      <c r="M480" s="82"/>
      <c r="N480" s="82"/>
      <c r="O480" s="2"/>
      <c r="P480" s="2"/>
      <c r="Q480" s="2"/>
      <c r="R480" s="2"/>
    </row>
    <row r="481" spans="1:18" ht="19.5" hidden="1" thickBot="1" x14ac:dyDescent="0.3">
      <c r="A481" s="990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8"/>
        <v>09,23</v>
      </c>
      <c r="L481" s="109"/>
      <c r="M481" s="109"/>
      <c r="N481" s="109"/>
      <c r="O481" s="2"/>
      <c r="P481" s="2"/>
      <c r="Q481" s="2"/>
      <c r="R481" s="2"/>
    </row>
    <row r="482" spans="1:18" ht="19.5" hidden="1" thickBot="1" x14ac:dyDescent="0.3">
      <c r="A482" s="990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8"/>
        <v>09,23</v>
      </c>
      <c r="L482" s="109"/>
      <c r="M482" s="109"/>
      <c r="N482" s="109"/>
      <c r="O482" s="2"/>
      <c r="P482" s="2"/>
      <c r="Q482" s="2"/>
      <c r="R482" s="2"/>
    </row>
    <row r="483" spans="1:18" ht="19.5" hidden="1" thickBot="1" x14ac:dyDescent="0.3">
      <c r="A483" s="990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8"/>
        <v>09,23</v>
      </c>
      <c r="L483" s="107"/>
      <c r="M483" s="107"/>
      <c r="N483" s="107"/>
      <c r="O483" s="2"/>
      <c r="P483" s="2"/>
      <c r="Q483" s="2"/>
      <c r="R483" s="2"/>
    </row>
    <row r="484" spans="1:18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8"/>
        <v>10,23</v>
      </c>
      <c r="L484" s="75"/>
      <c r="M484" s="75"/>
      <c r="N484" s="75"/>
      <c r="O484" s="2"/>
      <c r="P484" s="2"/>
      <c r="Q484" s="2"/>
      <c r="R484" s="2"/>
    </row>
    <row r="485" spans="1:18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8"/>
        <v>09,23</v>
      </c>
      <c r="L485" s="40"/>
      <c r="M485" s="40"/>
      <c r="N485" s="40"/>
      <c r="O485" s="2"/>
      <c r="P485" s="2"/>
      <c r="Q485" s="2"/>
      <c r="R485" s="2"/>
    </row>
    <row r="486" spans="1:18" ht="19.5" hidden="1" thickBot="1" x14ac:dyDescent="0.3">
      <c r="A486" s="991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8"/>
        <v>09,23</v>
      </c>
      <c r="L486" s="48"/>
      <c r="M486" s="48"/>
      <c r="N486" s="48"/>
      <c r="O486" s="2"/>
      <c r="P486" s="2"/>
      <c r="Q486" s="2"/>
      <c r="R486" s="2"/>
    </row>
    <row r="487" spans="1:18" ht="19.5" hidden="1" thickBot="1" x14ac:dyDescent="0.3">
      <c r="A487" s="991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8"/>
        <v>09,23</v>
      </c>
      <c r="L487" s="56"/>
      <c r="M487" s="56"/>
      <c r="N487" s="56"/>
      <c r="O487" s="2"/>
      <c r="P487" s="2"/>
      <c r="Q487" s="2"/>
      <c r="R487" s="2"/>
    </row>
    <row r="488" spans="1:18" ht="19.5" hidden="1" thickBot="1" x14ac:dyDescent="0.3">
      <c r="A488" s="991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8"/>
        <v>09,23</v>
      </c>
      <c r="L488" s="56"/>
      <c r="M488" s="56"/>
      <c r="N488" s="56"/>
      <c r="O488" s="2"/>
      <c r="P488" s="2"/>
      <c r="Q488" s="2"/>
      <c r="R488" s="2"/>
    </row>
    <row r="489" spans="1:18" ht="19.5" hidden="1" thickBot="1" x14ac:dyDescent="0.3">
      <c r="A489" s="991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8"/>
        <v>09,23</v>
      </c>
      <c r="L489" s="31"/>
      <c r="M489" s="31"/>
      <c r="N489" s="31"/>
      <c r="O489" s="2"/>
      <c r="P489" s="2"/>
      <c r="Q489" s="2"/>
      <c r="R489" s="2"/>
    </row>
    <row r="490" spans="1:18" ht="19.5" hidden="1" thickBot="1" x14ac:dyDescent="0.3">
      <c r="A490" s="990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8"/>
        <v>09,23</v>
      </c>
      <c r="L490" s="82"/>
      <c r="M490" s="82"/>
      <c r="N490" s="82"/>
      <c r="O490" s="2"/>
      <c r="P490" s="2"/>
      <c r="Q490" s="2"/>
      <c r="R490" s="2"/>
    </row>
    <row r="491" spans="1:18" ht="19.5" hidden="1" thickBot="1" x14ac:dyDescent="0.3">
      <c r="A491" s="990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8"/>
        <v>09,23</v>
      </c>
      <c r="L491" s="109"/>
      <c r="M491" s="109"/>
      <c r="N491" s="109"/>
      <c r="O491" s="2"/>
      <c r="P491" s="2"/>
      <c r="Q491" s="2"/>
      <c r="R491" s="2"/>
    </row>
    <row r="492" spans="1:18" ht="19.5" hidden="1" thickBot="1" x14ac:dyDescent="0.3">
      <c r="A492" s="990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8"/>
        <v>09,23</v>
      </c>
      <c r="L492" s="107"/>
      <c r="M492" s="107"/>
      <c r="N492" s="107"/>
      <c r="O492" s="2"/>
      <c r="P492" s="2"/>
      <c r="Q492" s="2"/>
      <c r="R492" s="2"/>
    </row>
    <row r="493" spans="1:18" ht="19.5" hidden="1" thickBot="1" x14ac:dyDescent="0.3">
      <c r="A493" s="991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8"/>
        <v>09,23</v>
      </c>
      <c r="L493" s="48"/>
      <c r="M493" s="48"/>
      <c r="N493" s="48"/>
      <c r="O493" s="2"/>
      <c r="P493" s="2"/>
      <c r="Q493" s="2"/>
      <c r="R493" s="2"/>
    </row>
    <row r="494" spans="1:18" ht="19.5" hidden="1" thickBot="1" x14ac:dyDescent="0.3">
      <c r="A494" s="991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8"/>
        <v>09,23</v>
      </c>
      <c r="L494" s="31"/>
      <c r="M494" s="31"/>
      <c r="N494" s="31"/>
      <c r="O494" s="2"/>
      <c r="P494" s="2"/>
      <c r="Q494" s="2"/>
      <c r="R494" s="2"/>
    </row>
    <row r="495" spans="1:18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8"/>
        <v>09,23</v>
      </c>
      <c r="L495" s="40"/>
      <c r="M495" s="40"/>
      <c r="N495" s="40"/>
      <c r="O495" s="2"/>
      <c r="P495" s="2"/>
      <c r="Q495" s="2"/>
      <c r="R495" s="2"/>
    </row>
    <row r="496" spans="1:18" ht="19.5" hidden="1" customHeight="1" thickBot="1" x14ac:dyDescent="0.3">
      <c r="A496" s="991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993" t="s">
        <v>72</v>
      </c>
      <c r="H496" s="48" t="s">
        <v>156</v>
      </c>
      <c r="I496" s="163" t="s">
        <v>156</v>
      </c>
      <c r="J496" s="52"/>
      <c r="K496" s="48" t="str">
        <f t="shared" si="8"/>
        <v>10,23</v>
      </c>
      <c r="L496" s="48"/>
      <c r="M496" s="48"/>
      <c r="N496" s="48"/>
      <c r="O496" s="2"/>
      <c r="P496" s="2"/>
      <c r="Q496" s="2"/>
      <c r="R496" s="2"/>
    </row>
    <row r="497" spans="1:18" ht="19.5" hidden="1" thickBot="1" x14ac:dyDescent="0.3">
      <c r="A497" s="991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993"/>
      <c r="H497" s="31" t="s">
        <v>156</v>
      </c>
      <c r="I497" s="189" t="s">
        <v>156</v>
      </c>
      <c r="J497" s="35"/>
      <c r="K497" s="31" t="str">
        <f t="shared" si="8"/>
        <v>10,23</v>
      </c>
      <c r="L497" s="31"/>
      <c r="M497" s="31"/>
      <c r="N497" s="31"/>
      <c r="O497" s="2"/>
      <c r="P497" s="2"/>
      <c r="Q497" s="2"/>
      <c r="R497" s="2"/>
    </row>
    <row r="498" spans="1:18" ht="38.25" hidden="1" thickBot="1" x14ac:dyDescent="0.3">
      <c r="A498" s="990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8"/>
        <v>10,23</v>
      </c>
      <c r="L498" s="82"/>
      <c r="M498" s="82"/>
      <c r="N498" s="82"/>
      <c r="O498" s="2"/>
      <c r="P498" s="2"/>
      <c r="Q498" s="2"/>
      <c r="R498" s="2"/>
    </row>
    <row r="499" spans="1:18" ht="38.25" hidden="1" thickBot="1" x14ac:dyDescent="0.3">
      <c r="A499" s="990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8"/>
        <v>10,23</v>
      </c>
      <c r="L499" s="107"/>
      <c r="M499" s="107"/>
      <c r="N499" s="107"/>
      <c r="O499" s="2"/>
      <c r="P499" s="2"/>
      <c r="Q499" s="2"/>
      <c r="R499" s="2"/>
    </row>
    <row r="500" spans="1:18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8"/>
        <v>10,23</v>
      </c>
      <c r="L500" s="75"/>
      <c r="M500" s="75"/>
      <c r="N500" s="75"/>
      <c r="O500" s="2"/>
      <c r="P500" s="2"/>
      <c r="Q500" s="2"/>
      <c r="R500" s="2"/>
    </row>
    <row r="501" spans="1:18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8"/>
        <v>10,23</v>
      </c>
      <c r="L501" s="40"/>
      <c r="M501" s="40"/>
      <c r="N501" s="40"/>
      <c r="O501" s="2"/>
      <c r="P501" s="2"/>
      <c r="Q501" s="2"/>
      <c r="R501" s="2"/>
    </row>
    <row r="502" spans="1:18" ht="19.5" hidden="1" customHeight="1" thickBot="1" x14ac:dyDescent="0.3">
      <c r="A502" s="991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1013" t="s">
        <v>159</v>
      </c>
      <c r="K502" s="48" t="str">
        <f t="shared" si="8"/>
        <v>10,23</v>
      </c>
      <c r="L502" s="48"/>
      <c r="M502" s="48"/>
      <c r="N502" s="48"/>
      <c r="O502" s="2"/>
      <c r="P502" s="2"/>
      <c r="Q502" s="2"/>
      <c r="R502" s="2"/>
    </row>
    <row r="503" spans="1:18" ht="19.5" hidden="1" thickBot="1" x14ac:dyDescent="0.3">
      <c r="A503" s="991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1013"/>
      <c r="K503" s="31" t="str">
        <f t="shared" si="8"/>
        <v>10,23</v>
      </c>
      <c r="L503" s="31"/>
      <c r="M503" s="31"/>
      <c r="N503" s="31"/>
      <c r="O503" s="2"/>
      <c r="P503" s="2"/>
      <c r="Q503" s="2"/>
      <c r="R503" s="2"/>
    </row>
    <row r="504" spans="1:18" ht="19.5" hidden="1" thickBot="1" x14ac:dyDescent="0.3">
      <c r="A504" s="990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1013"/>
      <c r="K504" s="82" t="str">
        <f t="shared" si="8"/>
        <v>10,23</v>
      </c>
      <c r="L504" s="82"/>
      <c r="M504" s="82"/>
      <c r="N504" s="82"/>
      <c r="O504" s="2"/>
      <c r="P504" s="2"/>
      <c r="Q504" s="2"/>
      <c r="R504" s="2"/>
    </row>
    <row r="505" spans="1:18" ht="19.5" hidden="1" thickBot="1" x14ac:dyDescent="0.3">
      <c r="A505" s="990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1013"/>
      <c r="K505" s="109" t="str">
        <f t="shared" si="8"/>
        <v>10,23</v>
      </c>
      <c r="L505" s="109"/>
      <c r="M505" s="109"/>
      <c r="N505" s="109"/>
      <c r="O505" s="2"/>
      <c r="P505" s="2"/>
      <c r="Q505" s="2"/>
      <c r="R505" s="2"/>
    </row>
    <row r="506" spans="1:18" ht="19.5" hidden="1" thickBot="1" x14ac:dyDescent="0.3">
      <c r="A506" s="990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1013"/>
      <c r="K506" s="107" t="str">
        <f t="shared" si="8"/>
        <v>10,23</v>
      </c>
      <c r="L506" s="107"/>
      <c r="M506" s="107"/>
      <c r="N506" s="107"/>
      <c r="O506" s="2"/>
      <c r="P506" s="2"/>
      <c r="Q506" s="2"/>
      <c r="R506" s="2"/>
    </row>
    <row r="507" spans="1:18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8"/>
        <v>10,23</v>
      </c>
      <c r="L507" s="219"/>
      <c r="M507" s="219"/>
      <c r="N507" s="219"/>
      <c r="O507" s="2"/>
      <c r="P507" s="2"/>
      <c r="Q507" s="2"/>
      <c r="R507" s="2"/>
    </row>
    <row r="508" spans="1:18" ht="38.25" hidden="1" thickBot="1" x14ac:dyDescent="0.3">
      <c r="A508" s="990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8"/>
        <v>10,23</v>
      </c>
      <c r="L508" s="82"/>
      <c r="M508" s="82"/>
      <c r="N508" s="82"/>
      <c r="O508" s="2"/>
      <c r="P508" s="2"/>
      <c r="Q508" s="2"/>
      <c r="R508" s="2"/>
    </row>
    <row r="509" spans="1:18" ht="38.25" hidden="1" thickBot="1" x14ac:dyDescent="0.3">
      <c r="A509" s="990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8"/>
        <v>10,23</v>
      </c>
      <c r="L509" s="109"/>
      <c r="M509" s="109"/>
      <c r="N509" s="109"/>
      <c r="O509" s="2"/>
      <c r="P509" s="2"/>
      <c r="Q509" s="2"/>
      <c r="R509" s="2"/>
    </row>
    <row r="510" spans="1:18" ht="38.25" hidden="1" thickBot="1" x14ac:dyDescent="0.3">
      <c r="A510" s="990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8"/>
        <v>10,23</v>
      </c>
      <c r="L510" s="107"/>
      <c r="M510" s="107"/>
      <c r="N510" s="107"/>
      <c r="O510" s="2"/>
      <c r="P510" s="2"/>
      <c r="Q510" s="2"/>
      <c r="R510" s="2"/>
    </row>
    <row r="511" spans="1:18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8"/>
        <v>10,23</v>
      </c>
      <c r="L511" s="75"/>
      <c r="M511" s="75"/>
      <c r="N511" s="75"/>
      <c r="O511" s="2"/>
      <c r="P511" s="2"/>
      <c r="Q511" s="2"/>
      <c r="R511" s="2"/>
    </row>
    <row r="512" spans="1:18" ht="19.5" hidden="1" thickBot="1" x14ac:dyDescent="0.3">
      <c r="A512" s="990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8"/>
        <v>10,23</v>
      </c>
      <c r="L512" s="82"/>
      <c r="M512" s="82"/>
      <c r="N512" s="82"/>
      <c r="O512" s="2"/>
      <c r="P512" s="2"/>
      <c r="Q512" s="2"/>
      <c r="R512" s="2"/>
    </row>
    <row r="513" spans="1:18" ht="19.5" hidden="1" thickBot="1" x14ac:dyDescent="0.3">
      <c r="A513" s="990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8"/>
        <v>10,23</v>
      </c>
      <c r="L513" s="109"/>
      <c r="M513" s="109"/>
      <c r="N513" s="109"/>
      <c r="O513" s="2"/>
      <c r="P513" s="2"/>
      <c r="Q513" s="2"/>
      <c r="R513" s="2"/>
    </row>
    <row r="514" spans="1:18" ht="19.5" hidden="1" thickBot="1" x14ac:dyDescent="0.3">
      <c r="A514" s="990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8"/>
        <v>10,23</v>
      </c>
      <c r="L514" s="107"/>
      <c r="M514" s="107"/>
      <c r="N514" s="107"/>
      <c r="O514" s="2"/>
      <c r="P514" s="2"/>
      <c r="Q514" s="2"/>
      <c r="R514" s="2"/>
    </row>
    <row r="515" spans="1:18" ht="19.5" hidden="1" thickBot="1" x14ac:dyDescent="0.3">
      <c r="A515" s="991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9">RIGHT(H515,5)</f>
        <v>10,23</v>
      </c>
      <c r="L515" s="48"/>
      <c r="M515" s="48"/>
      <c r="N515" s="48"/>
      <c r="O515" s="2"/>
      <c r="P515" s="2"/>
      <c r="Q515" s="2"/>
      <c r="R515" s="2"/>
    </row>
    <row r="516" spans="1:18" ht="19.5" hidden="1" thickBot="1" x14ac:dyDescent="0.3">
      <c r="A516" s="991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9"/>
        <v>10,23</v>
      </c>
      <c r="L516" s="56"/>
      <c r="M516" s="56"/>
      <c r="N516" s="56"/>
      <c r="O516" s="2"/>
      <c r="P516" s="2"/>
      <c r="Q516" s="2"/>
      <c r="R516" s="2"/>
    </row>
    <row r="517" spans="1:18" ht="19.5" hidden="1" thickBot="1" x14ac:dyDescent="0.3">
      <c r="A517" s="991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9"/>
        <v>10,23</v>
      </c>
      <c r="L517" s="31"/>
      <c r="M517" s="31"/>
      <c r="N517" s="31"/>
      <c r="O517" s="2"/>
      <c r="P517" s="2"/>
      <c r="Q517" s="2"/>
      <c r="R517" s="2"/>
    </row>
    <row r="518" spans="1:18" ht="19.5" hidden="1" thickBot="1" x14ac:dyDescent="0.3">
      <c r="A518" s="990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9"/>
        <v>10,23</v>
      </c>
      <c r="L518" s="82"/>
      <c r="M518" s="82"/>
      <c r="N518" s="82"/>
      <c r="O518" s="2"/>
      <c r="P518" s="2"/>
      <c r="Q518" s="2"/>
      <c r="R518" s="2"/>
    </row>
    <row r="519" spans="1:18" ht="19.5" hidden="1" thickBot="1" x14ac:dyDescent="0.3">
      <c r="A519" s="990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9"/>
        <v>10,23</v>
      </c>
      <c r="L519" s="109"/>
      <c r="M519" s="109"/>
      <c r="N519" s="109"/>
      <c r="O519" s="2"/>
      <c r="P519" s="2"/>
      <c r="Q519" s="2"/>
      <c r="R519" s="2"/>
    </row>
    <row r="520" spans="1:18" ht="19.5" hidden="1" thickBot="1" x14ac:dyDescent="0.3">
      <c r="A520" s="990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9"/>
        <v>10,23</v>
      </c>
      <c r="L520" s="107"/>
      <c r="M520" s="107"/>
      <c r="N520" s="107"/>
      <c r="O520" s="2"/>
      <c r="P520" s="2"/>
      <c r="Q520" s="2"/>
      <c r="R520" s="2"/>
    </row>
    <row r="521" spans="1:18" ht="19.5" hidden="1" thickBot="1" x14ac:dyDescent="0.3">
      <c r="A521" s="991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9"/>
        <v>10,23</v>
      </c>
      <c r="L521" s="48"/>
      <c r="M521" s="48"/>
      <c r="N521" s="48"/>
      <c r="O521" s="2"/>
      <c r="P521" s="2"/>
      <c r="Q521" s="2"/>
      <c r="R521" s="2"/>
    </row>
    <row r="522" spans="1:18" ht="19.5" hidden="1" thickBot="1" x14ac:dyDescent="0.3">
      <c r="A522" s="991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9"/>
        <v>10,23</v>
      </c>
      <c r="L522" s="56"/>
      <c r="M522" s="56"/>
      <c r="N522" s="56"/>
      <c r="O522" s="2"/>
      <c r="P522" s="2"/>
      <c r="Q522" s="2"/>
      <c r="R522" s="2"/>
    </row>
    <row r="523" spans="1:18" ht="38.25" hidden="1" thickBot="1" x14ac:dyDescent="0.3">
      <c r="A523" s="991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9"/>
        <v>10,23</v>
      </c>
      <c r="L523" s="203"/>
      <c r="M523" s="203"/>
      <c r="N523" s="203"/>
      <c r="O523" s="2"/>
      <c r="P523" s="2"/>
      <c r="Q523" s="2"/>
      <c r="R523" s="2"/>
    </row>
    <row r="524" spans="1:18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9"/>
        <v>10,23</v>
      </c>
      <c r="L524" s="40"/>
      <c r="M524" s="40"/>
      <c r="N524" s="40"/>
      <c r="O524" s="2"/>
      <c r="P524" s="2"/>
      <c r="Q524" s="2"/>
      <c r="R524" s="2"/>
    </row>
    <row r="525" spans="1:18" ht="19.5" hidden="1" thickBot="1" x14ac:dyDescent="0.3">
      <c r="A525" s="991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9"/>
        <v>10,23</v>
      </c>
      <c r="L525" s="48"/>
      <c r="M525" s="48"/>
      <c r="N525" s="48"/>
      <c r="O525" s="2"/>
      <c r="P525" s="2"/>
      <c r="Q525" s="2"/>
      <c r="R525" s="2"/>
    </row>
    <row r="526" spans="1:18" ht="19.5" hidden="1" thickBot="1" x14ac:dyDescent="0.3">
      <c r="A526" s="991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9"/>
        <v>10,23</v>
      </c>
      <c r="L526" s="31"/>
      <c r="M526" s="31"/>
      <c r="N526" s="31"/>
      <c r="O526" s="2"/>
      <c r="P526" s="2"/>
      <c r="Q526" s="2"/>
      <c r="R526" s="2"/>
    </row>
    <row r="527" spans="1:18" ht="19.5" hidden="1" thickBot="1" x14ac:dyDescent="0.3">
      <c r="A527" s="990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9"/>
        <v>10,23</v>
      </c>
      <c r="L527" s="82"/>
      <c r="M527" s="82"/>
      <c r="N527" s="82"/>
      <c r="O527" s="2"/>
      <c r="P527" s="2"/>
      <c r="Q527" s="2"/>
      <c r="R527" s="2"/>
    </row>
    <row r="528" spans="1:18" ht="19.5" hidden="1" thickBot="1" x14ac:dyDescent="0.3">
      <c r="A528" s="990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9"/>
        <v>10,23</v>
      </c>
      <c r="L528" s="109"/>
      <c r="M528" s="109"/>
      <c r="N528" s="109"/>
      <c r="O528" s="2"/>
      <c r="P528" s="2"/>
      <c r="Q528" s="2"/>
      <c r="R528" s="2"/>
    </row>
    <row r="529" spans="1:18" ht="19.5" hidden="1" thickBot="1" x14ac:dyDescent="0.3">
      <c r="A529" s="990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9"/>
        <v>10,23</v>
      </c>
      <c r="L529" s="107"/>
      <c r="M529" s="107"/>
      <c r="N529" s="107"/>
      <c r="O529" s="2"/>
      <c r="P529" s="2"/>
      <c r="Q529" s="2"/>
      <c r="R529" s="2"/>
    </row>
    <row r="530" spans="1:18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9"/>
        <v>10,23</v>
      </c>
      <c r="L530" s="75"/>
      <c r="M530" s="75"/>
      <c r="N530" s="75"/>
      <c r="O530" s="2"/>
      <c r="P530" s="2"/>
      <c r="Q530" s="2"/>
      <c r="R530" s="2"/>
    </row>
    <row r="531" spans="1:18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9"/>
        <v>10,23</v>
      </c>
      <c r="L531" s="40"/>
      <c r="M531" s="40"/>
      <c r="N531" s="40"/>
      <c r="O531" s="2"/>
      <c r="P531" s="2"/>
      <c r="Q531" s="2"/>
      <c r="R531" s="2"/>
    </row>
    <row r="532" spans="1:18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9"/>
        <v>10,23</v>
      </c>
      <c r="L532" s="75"/>
      <c r="M532" s="75"/>
      <c r="N532" s="75"/>
      <c r="O532" s="2"/>
      <c r="P532" s="2"/>
      <c r="Q532" s="2"/>
      <c r="R532" s="2"/>
    </row>
    <row r="533" spans="1:18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9"/>
        <v>10,23</v>
      </c>
      <c r="L533" s="40"/>
      <c r="M533" s="40"/>
      <c r="N533" s="40"/>
      <c r="O533" s="2"/>
      <c r="P533" s="2"/>
      <c r="Q533" s="2"/>
      <c r="R533" s="2"/>
    </row>
    <row r="534" spans="1:18" ht="19.5" hidden="1" thickBot="1" x14ac:dyDescent="0.3">
      <c r="A534" s="991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9"/>
        <v>10,23</v>
      </c>
      <c r="L534" s="48"/>
      <c r="M534" s="48"/>
      <c r="N534" s="48"/>
      <c r="O534" s="2"/>
      <c r="P534" s="2"/>
      <c r="Q534" s="2"/>
      <c r="R534" s="2"/>
    </row>
    <row r="535" spans="1:18" ht="19.5" hidden="1" thickBot="1" x14ac:dyDescent="0.3">
      <c r="A535" s="991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9"/>
        <v>10,23</v>
      </c>
      <c r="L535" s="56"/>
      <c r="M535" s="56"/>
      <c r="N535" s="56"/>
      <c r="O535" s="2"/>
      <c r="P535" s="2"/>
      <c r="Q535" s="2"/>
      <c r="R535" s="2"/>
    </row>
    <row r="536" spans="1:18" ht="19.5" hidden="1" thickBot="1" x14ac:dyDescent="0.3">
      <c r="A536" s="991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9"/>
        <v>10,23</v>
      </c>
      <c r="L536" s="31"/>
      <c r="M536" s="31"/>
      <c r="N536" s="31"/>
      <c r="O536" s="2"/>
      <c r="P536" s="2"/>
      <c r="Q536" s="2"/>
      <c r="R536" s="2"/>
    </row>
    <row r="537" spans="1:18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9"/>
        <v>10,23</v>
      </c>
      <c r="L537" s="40"/>
      <c r="M537" s="40"/>
      <c r="N537" s="40"/>
      <c r="O537" s="2"/>
      <c r="P537" s="2"/>
      <c r="Q537" s="2"/>
      <c r="R537" s="2"/>
    </row>
    <row r="538" spans="1:18" ht="19.5" hidden="1" thickBot="1" x14ac:dyDescent="0.3">
      <c r="A538" s="991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9"/>
        <v>10,23</v>
      </c>
      <c r="L538" s="48"/>
      <c r="M538" s="48"/>
      <c r="N538" s="48"/>
      <c r="O538" s="2"/>
      <c r="P538" s="2"/>
      <c r="Q538" s="2"/>
      <c r="R538" s="2"/>
    </row>
    <row r="539" spans="1:18" ht="19.5" hidden="1" thickBot="1" x14ac:dyDescent="0.3">
      <c r="A539" s="991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9"/>
        <v>10,23</v>
      </c>
      <c r="L539" s="56"/>
      <c r="M539" s="56"/>
      <c r="N539" s="56"/>
      <c r="O539" s="2"/>
      <c r="P539" s="2"/>
      <c r="Q539" s="2"/>
      <c r="R539" s="2"/>
    </row>
    <row r="540" spans="1:18" ht="19.5" hidden="1" thickBot="1" x14ac:dyDescent="0.3">
      <c r="A540" s="991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9"/>
        <v>10,23</v>
      </c>
      <c r="L540" s="31"/>
      <c r="M540" s="31"/>
      <c r="N540" s="31"/>
      <c r="O540" s="2"/>
      <c r="P540" s="2"/>
      <c r="Q540" s="2"/>
      <c r="R540" s="2"/>
    </row>
    <row r="541" spans="1:18" ht="19.5" hidden="1" thickBot="1" x14ac:dyDescent="0.3">
      <c r="A541" s="990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9"/>
        <v>10,23</v>
      </c>
      <c r="L541" s="82"/>
      <c r="M541" s="82"/>
      <c r="N541" s="82"/>
      <c r="O541" s="2"/>
      <c r="P541" s="2"/>
      <c r="Q541" s="2"/>
      <c r="R541" s="2"/>
    </row>
    <row r="542" spans="1:18" ht="19.5" hidden="1" thickBot="1" x14ac:dyDescent="0.3">
      <c r="A542" s="990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9"/>
        <v>10,23</v>
      </c>
      <c r="L542" s="109"/>
      <c r="M542" s="109"/>
      <c r="N542" s="109"/>
      <c r="O542" s="2"/>
      <c r="P542" s="2"/>
      <c r="Q542" s="2"/>
      <c r="R542" s="2"/>
    </row>
    <row r="543" spans="1:18" ht="19.5" hidden="1" thickBot="1" x14ac:dyDescent="0.3">
      <c r="A543" s="990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9"/>
        <v>10,23</v>
      </c>
      <c r="L543" s="107"/>
      <c r="M543" s="107"/>
      <c r="N543" s="107"/>
      <c r="O543" s="2"/>
      <c r="P543" s="2"/>
      <c r="Q543" s="2"/>
      <c r="R543" s="2"/>
    </row>
    <row r="544" spans="1:18" ht="19.5" hidden="1" thickBot="1" x14ac:dyDescent="0.3">
      <c r="A544" s="991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9"/>
        <v>10,23</v>
      </c>
      <c r="L544" s="48"/>
      <c r="M544" s="48"/>
      <c r="N544" s="48"/>
      <c r="O544" s="2"/>
      <c r="P544" s="2"/>
      <c r="Q544" s="2"/>
      <c r="R544" s="2"/>
    </row>
    <row r="545" spans="1:18" ht="19.5" hidden="1" thickBot="1" x14ac:dyDescent="0.3">
      <c r="A545" s="991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9"/>
        <v>10,23</v>
      </c>
      <c r="L545" s="56"/>
      <c r="M545" s="56"/>
      <c r="N545" s="56"/>
      <c r="O545" s="2"/>
      <c r="P545" s="2"/>
      <c r="Q545" s="2"/>
      <c r="R545" s="2"/>
    </row>
    <row r="546" spans="1:18" ht="19.5" hidden="1" thickBot="1" x14ac:dyDescent="0.3">
      <c r="A546" s="991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9"/>
        <v>10,23</v>
      </c>
      <c r="L546" s="56"/>
      <c r="M546" s="56"/>
      <c r="N546" s="56"/>
      <c r="O546" s="2"/>
      <c r="P546" s="2"/>
      <c r="Q546" s="2"/>
      <c r="R546" s="2"/>
    </row>
    <row r="547" spans="1:18" ht="19.5" hidden="1" thickBot="1" x14ac:dyDescent="0.3">
      <c r="A547" s="991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9"/>
        <v>10,23</v>
      </c>
      <c r="L547" s="31"/>
      <c r="M547" s="31"/>
      <c r="N547" s="31"/>
      <c r="O547" s="2"/>
      <c r="P547" s="2"/>
      <c r="Q547" s="2"/>
      <c r="R547" s="2"/>
    </row>
    <row r="548" spans="1:18" ht="57" hidden="1" thickBot="1" x14ac:dyDescent="0.3">
      <c r="A548" s="990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9"/>
        <v>10,23</v>
      </c>
      <c r="L548" s="82"/>
      <c r="M548" s="82"/>
      <c r="N548" s="82"/>
      <c r="O548" s="2"/>
      <c r="P548" s="2"/>
      <c r="Q548" s="2"/>
      <c r="R548" s="2"/>
    </row>
    <row r="549" spans="1:18" ht="57" hidden="1" thickBot="1" x14ac:dyDescent="0.3">
      <c r="A549" s="990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9"/>
        <v>10,23</v>
      </c>
      <c r="L549" s="109"/>
      <c r="M549" s="109"/>
      <c r="N549" s="109"/>
      <c r="O549" s="2"/>
      <c r="P549" s="2"/>
      <c r="Q549" s="2"/>
      <c r="R549" s="2"/>
    </row>
    <row r="550" spans="1:18" ht="57" hidden="1" thickBot="1" x14ac:dyDescent="0.3">
      <c r="A550" s="990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9"/>
        <v>10,23</v>
      </c>
      <c r="L550" s="107"/>
      <c r="M550" s="107"/>
      <c r="N550" s="107"/>
      <c r="O550" s="2"/>
      <c r="P550" s="2"/>
      <c r="Q550" s="2"/>
      <c r="R550" s="2"/>
    </row>
    <row r="551" spans="1:18" ht="38.25" hidden="1" thickBot="1" x14ac:dyDescent="0.3">
      <c r="A551" s="991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9"/>
        <v>10,23</v>
      </c>
      <c r="L551" s="48"/>
      <c r="M551" s="48"/>
      <c r="N551" s="48"/>
      <c r="O551" s="2"/>
      <c r="P551" s="2"/>
      <c r="Q551" s="2"/>
      <c r="R551" s="2"/>
    </row>
    <row r="552" spans="1:18" ht="38.25" hidden="1" thickBot="1" x14ac:dyDescent="0.3">
      <c r="A552" s="991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9"/>
        <v>10,23</v>
      </c>
      <c r="L552" s="56"/>
      <c r="M552" s="56"/>
      <c r="N552" s="56"/>
      <c r="O552" s="2"/>
      <c r="P552" s="2"/>
      <c r="Q552" s="2"/>
      <c r="R552" s="2"/>
    </row>
    <row r="553" spans="1:18" ht="38.25" hidden="1" thickBot="1" x14ac:dyDescent="0.3">
      <c r="A553" s="991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9"/>
        <v>10,23</v>
      </c>
      <c r="L553" s="31"/>
      <c r="M553" s="31"/>
      <c r="N553" s="31"/>
      <c r="O553" s="2"/>
      <c r="P553" s="2"/>
      <c r="Q553" s="2"/>
      <c r="R553" s="2"/>
    </row>
    <row r="554" spans="1:18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9"/>
        <v>10,23</v>
      </c>
      <c r="L554" s="40"/>
      <c r="M554" s="40"/>
      <c r="N554" s="40"/>
      <c r="O554" s="2"/>
      <c r="P554" s="2"/>
      <c r="Q554" s="2"/>
      <c r="R554" s="2"/>
    </row>
    <row r="555" spans="1:18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9"/>
        <v>10,23</v>
      </c>
      <c r="L555" s="75"/>
      <c r="M555" s="75"/>
      <c r="N555" s="75"/>
      <c r="O555" s="2"/>
      <c r="P555" s="2"/>
      <c r="Q555" s="2"/>
      <c r="R555" s="2"/>
    </row>
    <row r="556" spans="1:18" ht="19.5" hidden="1" customHeight="1" thickBot="1" x14ac:dyDescent="0.3">
      <c r="A556" s="990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992" t="s">
        <v>72</v>
      </c>
      <c r="H556" s="82" t="s">
        <v>168</v>
      </c>
      <c r="I556" s="114" t="s">
        <v>168</v>
      </c>
      <c r="J556" s="86"/>
      <c r="K556" s="82" t="str">
        <f t="shared" si="9"/>
        <v>10,23</v>
      </c>
      <c r="L556" s="82"/>
      <c r="M556" s="82"/>
      <c r="N556" s="82"/>
      <c r="O556" s="2"/>
      <c r="P556" s="2"/>
      <c r="Q556" s="2"/>
      <c r="R556" s="2"/>
    </row>
    <row r="557" spans="1:18" ht="19.5" hidden="1" thickBot="1" x14ac:dyDescent="0.3">
      <c r="A557" s="990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992"/>
      <c r="H557" s="107" t="s">
        <v>168</v>
      </c>
      <c r="I557" s="115" t="s">
        <v>168</v>
      </c>
      <c r="J557" s="94"/>
      <c r="K557" s="107" t="str">
        <f t="shared" si="9"/>
        <v>10,23</v>
      </c>
      <c r="L557" s="107"/>
      <c r="M557" s="107"/>
      <c r="N557" s="107"/>
      <c r="O557" s="2"/>
      <c r="P557" s="2"/>
      <c r="Q557" s="2"/>
      <c r="R557" s="2"/>
    </row>
    <row r="558" spans="1:18" ht="38.2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9"/>
        <v>10,23</v>
      </c>
      <c r="L558" s="227"/>
      <c r="M558" s="227"/>
      <c r="N558" s="227"/>
      <c r="O558" s="2"/>
      <c r="P558" s="2"/>
      <c r="Q558" s="2"/>
      <c r="R558" s="2"/>
    </row>
    <row r="559" spans="1:18" ht="38.25" hidden="1" thickBot="1" x14ac:dyDescent="0.3">
      <c r="A559" s="990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9"/>
        <v>10,23</v>
      </c>
      <c r="L559" s="82"/>
      <c r="M559" s="82"/>
      <c r="N559" s="82"/>
      <c r="O559" s="2"/>
      <c r="P559" s="2"/>
      <c r="Q559" s="2"/>
      <c r="R559" s="2"/>
    </row>
    <row r="560" spans="1:18" ht="38.25" hidden="1" thickBot="1" x14ac:dyDescent="0.3">
      <c r="A560" s="990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9"/>
        <v>10,23</v>
      </c>
      <c r="L560" s="227"/>
      <c r="M560" s="227"/>
      <c r="N560" s="227"/>
      <c r="O560" s="2"/>
      <c r="P560" s="2"/>
      <c r="Q560" s="2"/>
      <c r="R560" s="2"/>
    </row>
    <row r="561" spans="1:18" ht="38.25" hidden="1" thickBot="1" x14ac:dyDescent="0.3">
      <c r="A561" s="990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9"/>
        <v>10,23</v>
      </c>
      <c r="L561" s="109"/>
      <c r="M561" s="109"/>
      <c r="N561" s="109"/>
      <c r="O561" s="2"/>
      <c r="P561" s="2"/>
      <c r="Q561" s="2"/>
      <c r="R561" s="2"/>
    </row>
    <row r="562" spans="1:18" ht="38.25" hidden="1" thickBot="1" x14ac:dyDescent="0.3">
      <c r="A562" s="990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9"/>
        <v>10,23</v>
      </c>
      <c r="L562" s="240"/>
      <c r="M562" s="240"/>
      <c r="N562" s="240"/>
      <c r="O562" s="2"/>
      <c r="P562" s="2"/>
      <c r="Q562" s="2"/>
      <c r="R562" s="2"/>
    </row>
    <row r="563" spans="1:18" ht="38.25" hidden="1" thickBot="1" x14ac:dyDescent="0.3">
      <c r="A563" s="990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9"/>
        <v>10,23</v>
      </c>
      <c r="L563" s="248"/>
      <c r="M563" s="248"/>
      <c r="N563" s="248"/>
      <c r="O563" s="2"/>
      <c r="P563" s="2"/>
      <c r="Q563" s="2"/>
      <c r="R563" s="2"/>
    </row>
    <row r="564" spans="1:18" ht="19.5" hidden="1" thickBot="1" x14ac:dyDescent="0.3">
      <c r="A564" s="991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9"/>
        <v>10,23</v>
      </c>
      <c r="L564" s="48"/>
      <c r="M564" s="48"/>
      <c r="N564" s="48"/>
      <c r="O564" s="2"/>
      <c r="P564" s="2"/>
      <c r="Q564" s="2"/>
      <c r="R564" s="2"/>
    </row>
    <row r="565" spans="1:18" ht="19.5" hidden="1" thickBot="1" x14ac:dyDescent="0.3">
      <c r="A565" s="991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9"/>
        <v>10,23</v>
      </c>
      <c r="L565" s="56"/>
      <c r="M565" s="56"/>
      <c r="N565" s="56"/>
      <c r="O565" s="2"/>
      <c r="P565" s="2"/>
      <c r="Q565" s="2"/>
      <c r="R565" s="2"/>
    </row>
    <row r="566" spans="1:18" ht="19.5" hidden="1" thickBot="1" x14ac:dyDescent="0.3">
      <c r="A566" s="991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9"/>
        <v>10,23</v>
      </c>
      <c r="L566" s="56"/>
      <c r="M566" s="56"/>
      <c r="N566" s="56"/>
      <c r="O566" s="2"/>
      <c r="P566" s="2"/>
      <c r="Q566" s="2"/>
      <c r="R566" s="2"/>
    </row>
    <row r="567" spans="1:18" ht="19.5" hidden="1" thickBot="1" x14ac:dyDescent="0.3">
      <c r="A567" s="991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9"/>
        <v>10,23</v>
      </c>
      <c r="L567" s="31"/>
      <c r="M567" s="31"/>
      <c r="N567" s="31"/>
      <c r="O567" s="2"/>
      <c r="P567" s="2"/>
      <c r="Q567" s="2"/>
      <c r="R567" s="2"/>
    </row>
    <row r="568" spans="1:18" ht="19.5" hidden="1" thickBot="1" x14ac:dyDescent="0.3">
      <c r="A568" s="990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9"/>
        <v>10,23</v>
      </c>
      <c r="L568" s="82"/>
      <c r="M568" s="82"/>
      <c r="N568" s="82"/>
      <c r="O568" s="2"/>
      <c r="P568" s="2"/>
      <c r="Q568" s="2"/>
      <c r="R568" s="2"/>
    </row>
    <row r="569" spans="1:18" ht="19.5" hidden="1" thickBot="1" x14ac:dyDescent="0.3">
      <c r="A569" s="990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9"/>
        <v>10,23</v>
      </c>
      <c r="L569" s="98"/>
      <c r="M569" s="98"/>
      <c r="N569" s="98"/>
      <c r="O569" s="2"/>
      <c r="P569" s="2"/>
      <c r="Q569" s="2"/>
      <c r="R569" s="2"/>
    </row>
    <row r="570" spans="1:18" ht="19.5" hidden="1" thickBot="1" x14ac:dyDescent="0.3">
      <c r="A570" s="990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9"/>
        <v>10,23</v>
      </c>
      <c r="L570" s="90"/>
      <c r="M570" s="90"/>
      <c r="N570" s="90"/>
      <c r="O570" s="2"/>
      <c r="P570" s="2"/>
      <c r="Q570" s="2"/>
      <c r="R570" s="2"/>
    </row>
    <row r="571" spans="1:18" ht="19.5" hidden="1" thickBot="1" x14ac:dyDescent="0.3">
      <c r="A571" s="991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9"/>
        <v>10,23</v>
      </c>
      <c r="L571" s="48"/>
      <c r="M571" s="48"/>
      <c r="N571" s="48"/>
      <c r="O571" s="2"/>
      <c r="P571" s="2"/>
      <c r="Q571" s="2"/>
      <c r="R571" s="2"/>
    </row>
    <row r="572" spans="1:18" ht="19.5" hidden="1" thickBot="1" x14ac:dyDescent="0.3">
      <c r="A572" s="991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9"/>
        <v>10,23</v>
      </c>
      <c r="L572" s="23"/>
      <c r="M572" s="23"/>
      <c r="N572" s="23"/>
      <c r="O572" s="2"/>
      <c r="P572" s="2"/>
      <c r="Q572" s="2"/>
      <c r="R572" s="2"/>
    </row>
    <row r="573" spans="1:18" ht="19.5" hidden="1" thickBot="1" x14ac:dyDescent="0.3">
      <c r="A573" s="991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9"/>
        <v>10,23</v>
      </c>
      <c r="L573" s="71"/>
      <c r="M573" s="71"/>
      <c r="N573" s="71"/>
      <c r="O573" s="2"/>
      <c r="P573" s="2"/>
      <c r="Q573" s="2"/>
      <c r="R573" s="2"/>
    </row>
    <row r="574" spans="1:18" ht="19.5" hidden="1" thickBot="1" x14ac:dyDescent="0.3">
      <c r="A574" s="990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9"/>
        <v>10,23</v>
      </c>
      <c r="L574" s="82"/>
      <c r="M574" s="82"/>
      <c r="N574" s="82"/>
      <c r="O574" s="2"/>
      <c r="P574" s="2"/>
      <c r="Q574" s="2"/>
      <c r="R574" s="2"/>
    </row>
    <row r="575" spans="1:18" ht="19.5" hidden="1" thickBot="1" x14ac:dyDescent="0.3">
      <c r="A575" s="990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9"/>
        <v>10,23</v>
      </c>
      <c r="L575" s="98"/>
      <c r="M575" s="98"/>
      <c r="N575" s="98"/>
      <c r="O575" s="2"/>
      <c r="P575" s="2"/>
      <c r="Q575" s="2"/>
      <c r="R575" s="2"/>
    </row>
    <row r="576" spans="1:18" ht="19.5" hidden="1" thickBot="1" x14ac:dyDescent="0.3">
      <c r="A576" s="990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9"/>
        <v>10,23</v>
      </c>
      <c r="L576" s="98"/>
      <c r="M576" s="98"/>
      <c r="N576" s="98"/>
      <c r="O576" s="2"/>
      <c r="P576" s="2"/>
      <c r="Q576" s="2"/>
      <c r="R576" s="2"/>
    </row>
    <row r="577" spans="1:18" ht="19.5" hidden="1" thickBot="1" x14ac:dyDescent="0.3">
      <c r="A577" s="990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9"/>
        <v>10,23</v>
      </c>
      <c r="L577" s="98"/>
      <c r="M577" s="98"/>
      <c r="N577" s="98"/>
      <c r="O577" s="2"/>
      <c r="P577" s="2"/>
      <c r="Q577" s="2"/>
      <c r="R577" s="2"/>
    </row>
    <row r="578" spans="1:18" ht="19.5" hidden="1" thickBot="1" x14ac:dyDescent="0.3">
      <c r="A578" s="990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9"/>
        <v>10,23</v>
      </c>
      <c r="L578" s="98"/>
      <c r="M578" s="98"/>
      <c r="N578" s="98"/>
      <c r="O578" s="2"/>
      <c r="P578" s="2"/>
      <c r="Q578" s="2"/>
      <c r="R578" s="2"/>
    </row>
    <row r="579" spans="1:18" ht="19.5" hidden="1" thickBot="1" x14ac:dyDescent="0.3">
      <c r="A579" s="990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10">RIGHT(H579,5)</f>
        <v>10,23</v>
      </c>
      <c r="L579" s="90"/>
      <c r="M579" s="90"/>
      <c r="N579" s="90"/>
      <c r="O579" s="2"/>
      <c r="P579" s="2"/>
      <c r="Q579" s="2"/>
      <c r="R579" s="2"/>
    </row>
    <row r="580" spans="1:18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10"/>
        <v>10,23</v>
      </c>
      <c r="L580" s="75"/>
      <c r="M580" s="75"/>
      <c r="N580" s="75"/>
      <c r="O580" s="2"/>
      <c r="P580" s="2"/>
      <c r="Q580" s="2"/>
      <c r="R580" s="2"/>
    </row>
    <row r="581" spans="1:18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10"/>
        <v>10,23</v>
      </c>
      <c r="L581" s="40"/>
      <c r="M581" s="40"/>
      <c r="N581" s="40"/>
      <c r="O581" s="2"/>
      <c r="P581" s="2"/>
      <c r="Q581" s="2"/>
      <c r="R581" s="2"/>
    </row>
    <row r="582" spans="1:18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10"/>
        <v>10,23</v>
      </c>
      <c r="L582" s="75"/>
      <c r="M582" s="75"/>
      <c r="N582" s="75"/>
      <c r="O582" s="2"/>
      <c r="P582" s="2"/>
      <c r="Q582" s="2"/>
      <c r="R582" s="2"/>
    </row>
    <row r="583" spans="1:18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10"/>
        <v>10,23</v>
      </c>
      <c r="L583" s="40"/>
      <c r="M583" s="40"/>
      <c r="N583" s="40"/>
      <c r="O583" s="2"/>
      <c r="P583" s="2"/>
      <c r="Q583" s="2"/>
      <c r="R583" s="2"/>
    </row>
    <row r="584" spans="1:18" ht="19.5" hidden="1" thickBot="1" x14ac:dyDescent="0.3">
      <c r="A584" s="991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10"/>
        <v>10,23</v>
      </c>
      <c r="L584" s="48"/>
      <c r="M584" s="48"/>
      <c r="N584" s="48"/>
      <c r="O584" s="2"/>
      <c r="P584" s="2"/>
      <c r="Q584" s="2"/>
      <c r="R584" s="2"/>
    </row>
    <row r="585" spans="1:18" ht="19.5" hidden="1" thickBot="1" x14ac:dyDescent="0.3">
      <c r="A585" s="991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10"/>
        <v>10,23</v>
      </c>
      <c r="L585" s="31"/>
      <c r="M585" s="31"/>
      <c r="N585" s="31"/>
      <c r="O585" s="2"/>
      <c r="P585" s="2"/>
      <c r="Q585" s="2"/>
      <c r="R585" s="2"/>
    </row>
    <row r="586" spans="1:18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10"/>
        <v>10,23</v>
      </c>
      <c r="L586" s="40"/>
      <c r="M586" s="40"/>
      <c r="N586" s="40"/>
      <c r="O586" s="2"/>
      <c r="P586" s="2"/>
      <c r="Q586" s="2"/>
      <c r="R586" s="2"/>
    </row>
    <row r="587" spans="1:18" ht="19.5" hidden="1" thickBot="1" x14ac:dyDescent="0.3">
      <c r="A587" s="991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10"/>
        <v>10,23</v>
      </c>
      <c r="L587" s="48"/>
      <c r="M587" s="48"/>
      <c r="N587" s="48"/>
      <c r="O587" s="2"/>
      <c r="P587" s="2"/>
      <c r="Q587" s="2"/>
      <c r="R587" s="2"/>
    </row>
    <row r="588" spans="1:18" ht="19.5" hidden="1" thickBot="1" x14ac:dyDescent="0.3">
      <c r="A588" s="991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10"/>
        <v>10,23</v>
      </c>
      <c r="L588" s="56"/>
      <c r="M588" s="56"/>
      <c r="N588" s="56"/>
      <c r="O588" s="2"/>
      <c r="P588" s="2"/>
      <c r="Q588" s="2"/>
      <c r="R588" s="2"/>
    </row>
    <row r="589" spans="1:18" ht="19.5" hidden="1" thickBot="1" x14ac:dyDescent="0.3">
      <c r="A589" s="991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10"/>
        <v>10,23</v>
      </c>
      <c r="L589" s="56"/>
      <c r="M589" s="56"/>
      <c r="N589" s="56"/>
      <c r="O589" s="2"/>
      <c r="P589" s="2"/>
      <c r="Q589" s="2"/>
      <c r="R589" s="2"/>
    </row>
    <row r="590" spans="1:18" ht="19.5" hidden="1" thickBot="1" x14ac:dyDescent="0.3">
      <c r="A590" s="991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10"/>
        <v>10,23</v>
      </c>
      <c r="L590" s="56"/>
      <c r="M590" s="56"/>
      <c r="N590" s="56"/>
      <c r="O590" s="2"/>
      <c r="P590" s="2"/>
      <c r="Q590" s="2"/>
      <c r="R590" s="2"/>
    </row>
    <row r="591" spans="1:18" ht="19.5" hidden="1" thickBot="1" x14ac:dyDescent="0.3">
      <c r="A591" s="991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10"/>
        <v>10,23</v>
      </c>
      <c r="L591" s="56"/>
      <c r="M591" s="56"/>
      <c r="N591" s="56"/>
      <c r="O591" s="2"/>
      <c r="P591" s="2"/>
      <c r="Q591" s="2"/>
      <c r="R591" s="2"/>
    </row>
    <row r="592" spans="1:18" ht="19.5" hidden="1" thickBot="1" x14ac:dyDescent="0.3">
      <c r="A592" s="991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10"/>
        <v>10,23</v>
      </c>
      <c r="L592" s="31"/>
      <c r="M592" s="31"/>
      <c r="N592" s="31"/>
      <c r="O592" s="2"/>
      <c r="P592" s="2"/>
      <c r="Q592" s="2"/>
      <c r="R592" s="2"/>
    </row>
    <row r="593" spans="1:18" ht="19.5" hidden="1" thickBot="1" x14ac:dyDescent="0.3">
      <c r="A593" s="990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10"/>
        <v>10,23</v>
      </c>
      <c r="L593" s="82"/>
      <c r="M593" s="82"/>
      <c r="N593" s="82"/>
      <c r="O593" s="2"/>
      <c r="P593" s="2"/>
      <c r="Q593" s="2"/>
      <c r="R593" s="2"/>
    </row>
    <row r="594" spans="1:18" ht="19.5" hidden="1" thickBot="1" x14ac:dyDescent="0.3">
      <c r="A594" s="990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10"/>
        <v>10,23</v>
      </c>
      <c r="L594" s="109"/>
      <c r="M594" s="109"/>
      <c r="N594" s="109"/>
      <c r="O594" s="2"/>
      <c r="P594" s="2"/>
      <c r="Q594" s="2"/>
      <c r="R594" s="2"/>
    </row>
    <row r="595" spans="1:18" ht="19.5" hidden="1" thickBot="1" x14ac:dyDescent="0.3">
      <c r="A595" s="990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10"/>
        <v>10,23</v>
      </c>
      <c r="L595" s="107"/>
      <c r="M595" s="107"/>
      <c r="N595" s="107"/>
      <c r="O595" s="2"/>
      <c r="P595" s="2"/>
      <c r="Q595" s="2"/>
      <c r="R595" s="2"/>
    </row>
    <row r="596" spans="1:18" ht="19.5" hidden="1" customHeight="1" thickBot="1" x14ac:dyDescent="0.3">
      <c r="A596" s="991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993" t="s">
        <v>72</v>
      </c>
      <c r="H596" s="48" t="s">
        <v>182</v>
      </c>
      <c r="I596" s="116" t="s">
        <v>182</v>
      </c>
      <c r="J596" s="52"/>
      <c r="K596" s="48" t="str">
        <f t="shared" si="10"/>
        <v>10,23</v>
      </c>
      <c r="L596" s="48"/>
      <c r="M596" s="48"/>
      <c r="N596" s="48"/>
      <c r="O596" s="2"/>
      <c r="P596" s="2"/>
      <c r="Q596" s="2"/>
      <c r="R596" s="2"/>
    </row>
    <row r="597" spans="1:18" ht="19.5" hidden="1" thickBot="1" x14ac:dyDescent="0.3">
      <c r="A597" s="991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993"/>
      <c r="H597" s="31" t="s">
        <v>182</v>
      </c>
      <c r="I597" s="118" t="s">
        <v>182</v>
      </c>
      <c r="J597" s="35"/>
      <c r="K597" s="31" t="str">
        <f t="shared" si="10"/>
        <v>10,23</v>
      </c>
      <c r="L597" s="31"/>
      <c r="M597" s="31"/>
      <c r="N597" s="31"/>
      <c r="O597" s="2"/>
      <c r="P597" s="2"/>
      <c r="Q597" s="2"/>
      <c r="R597" s="2"/>
    </row>
    <row r="598" spans="1:18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10"/>
        <v>10,23</v>
      </c>
      <c r="L598" s="257"/>
      <c r="M598" s="257"/>
      <c r="N598" s="257"/>
      <c r="O598" s="2"/>
      <c r="P598" s="2"/>
      <c r="Q598" s="2"/>
      <c r="R598" s="2"/>
    </row>
    <row r="599" spans="1:18" ht="38.25" hidden="1" thickBot="1" x14ac:dyDescent="0.3">
      <c r="A599" s="991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10"/>
        <v>10,23</v>
      </c>
      <c r="L599" s="48"/>
      <c r="M599" s="48"/>
      <c r="N599" s="48"/>
      <c r="O599" s="2"/>
      <c r="P599" s="2"/>
      <c r="Q599" s="2"/>
      <c r="R599" s="2"/>
    </row>
    <row r="600" spans="1:18" ht="38.25" hidden="1" thickBot="1" x14ac:dyDescent="0.3">
      <c r="A600" s="991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10"/>
        <v>10,23</v>
      </c>
      <c r="L600" s="31"/>
      <c r="M600" s="31"/>
      <c r="N600" s="31"/>
      <c r="O600" s="2"/>
      <c r="P600" s="2"/>
      <c r="Q600" s="2"/>
      <c r="R600" s="2"/>
    </row>
    <row r="601" spans="1:18" ht="38.25" hidden="1" thickBot="1" x14ac:dyDescent="0.3">
      <c r="A601" s="990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10"/>
        <v>10,23</v>
      </c>
      <c r="L601" s="82"/>
      <c r="M601" s="82"/>
      <c r="N601" s="82"/>
      <c r="O601" s="2"/>
      <c r="P601" s="2"/>
      <c r="Q601" s="2"/>
      <c r="R601" s="2"/>
    </row>
    <row r="602" spans="1:18" ht="38.25" hidden="1" thickBot="1" x14ac:dyDescent="0.3">
      <c r="A602" s="990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10"/>
        <v>10,23</v>
      </c>
      <c r="L602" s="109"/>
      <c r="M602" s="109"/>
      <c r="N602" s="109"/>
      <c r="O602" s="2"/>
      <c r="P602" s="2"/>
      <c r="Q602" s="2"/>
      <c r="R602" s="2"/>
    </row>
    <row r="603" spans="1:18" ht="38.25" hidden="1" thickBot="1" x14ac:dyDescent="0.3">
      <c r="A603" s="990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10"/>
        <v>10,23</v>
      </c>
      <c r="L603" s="107"/>
      <c r="M603" s="107"/>
      <c r="N603" s="107"/>
      <c r="O603" s="2"/>
      <c r="P603" s="2"/>
      <c r="Q603" s="2"/>
      <c r="R603" s="2"/>
    </row>
    <row r="604" spans="1:18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10"/>
        <v>10,23</v>
      </c>
      <c r="L604" s="75"/>
      <c r="M604" s="75"/>
      <c r="N604" s="75"/>
      <c r="O604" s="2"/>
      <c r="P604" s="2"/>
      <c r="Q604" s="2"/>
      <c r="R604" s="2"/>
    </row>
    <row r="605" spans="1:18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10"/>
        <v>10,23</v>
      </c>
      <c r="L605" s="40"/>
      <c r="M605" s="40"/>
      <c r="N605" s="40"/>
      <c r="O605" s="2"/>
      <c r="P605" s="2"/>
      <c r="Q605" s="2"/>
      <c r="R605" s="2"/>
    </row>
    <row r="606" spans="1:18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10"/>
        <v>10,23</v>
      </c>
      <c r="L606" s="75"/>
      <c r="M606" s="75"/>
      <c r="N606" s="75"/>
      <c r="O606" s="2"/>
      <c r="P606" s="2"/>
      <c r="Q606" s="2"/>
      <c r="R606" s="2"/>
    </row>
    <row r="607" spans="1:18" ht="19.5" hidden="1" thickBot="1" x14ac:dyDescent="0.3">
      <c r="A607" s="990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10"/>
        <v>10,23</v>
      </c>
      <c r="L607" s="82"/>
      <c r="M607" s="82"/>
      <c r="N607" s="82"/>
      <c r="O607" s="2"/>
      <c r="P607" s="2"/>
      <c r="Q607" s="2"/>
      <c r="R607" s="2"/>
    </row>
    <row r="608" spans="1:18" ht="19.5" hidden="1" thickBot="1" x14ac:dyDescent="0.3">
      <c r="A608" s="990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10"/>
        <v>10,23</v>
      </c>
      <c r="L608" s="109"/>
      <c r="M608" s="109"/>
      <c r="N608" s="109"/>
      <c r="O608" s="2"/>
      <c r="P608" s="2"/>
      <c r="Q608" s="2"/>
      <c r="R608" s="2"/>
    </row>
    <row r="609" spans="1:18" ht="19.5" hidden="1" thickBot="1" x14ac:dyDescent="0.3">
      <c r="A609" s="990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10"/>
        <v>10,23</v>
      </c>
      <c r="L609" s="109"/>
      <c r="M609" s="109"/>
      <c r="N609" s="109"/>
      <c r="O609" s="2"/>
      <c r="P609" s="2"/>
      <c r="Q609" s="2"/>
      <c r="R609" s="2"/>
    </row>
    <row r="610" spans="1:18" ht="19.5" hidden="1" thickBot="1" x14ac:dyDescent="0.3">
      <c r="A610" s="990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10"/>
        <v>10,23</v>
      </c>
      <c r="L610" s="107"/>
      <c r="M610" s="107"/>
      <c r="N610" s="107"/>
      <c r="O610" s="2"/>
      <c r="P610" s="2"/>
      <c r="Q610" s="2"/>
      <c r="R610" s="2"/>
    </row>
    <row r="611" spans="1:18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10"/>
        <v>10,23</v>
      </c>
      <c r="L611" s="75"/>
      <c r="M611" s="75"/>
      <c r="N611" s="75"/>
      <c r="O611" s="2"/>
      <c r="P611" s="2"/>
      <c r="Q611" s="2"/>
      <c r="R611" s="2"/>
    </row>
    <row r="612" spans="1:18" ht="19.5" hidden="1" thickBot="1" x14ac:dyDescent="0.3">
      <c r="A612" s="990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10"/>
        <v>10,23</v>
      </c>
      <c r="L612" s="82"/>
      <c r="M612" s="82"/>
      <c r="N612" s="82"/>
      <c r="O612" s="2"/>
      <c r="P612" s="2"/>
      <c r="Q612" s="2"/>
      <c r="R612" s="2"/>
    </row>
    <row r="613" spans="1:18" ht="19.5" hidden="1" thickBot="1" x14ac:dyDescent="0.3">
      <c r="A613" s="990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10"/>
        <v>10,23</v>
      </c>
      <c r="L613" s="107"/>
      <c r="M613" s="107"/>
      <c r="N613" s="107"/>
      <c r="O613" s="2"/>
      <c r="P613" s="2"/>
      <c r="Q613" s="2"/>
      <c r="R613" s="2"/>
    </row>
    <row r="614" spans="1:18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10"/>
        <v>10,23</v>
      </c>
      <c r="L614" s="75"/>
      <c r="M614" s="75"/>
      <c r="N614" s="75"/>
      <c r="O614" s="2"/>
      <c r="P614" s="2"/>
      <c r="Q614" s="2"/>
      <c r="R614" s="2"/>
    </row>
    <row r="615" spans="1:18" ht="19.5" hidden="1" thickBot="1" x14ac:dyDescent="0.3">
      <c r="A615" s="990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10"/>
        <v>10,23</v>
      </c>
      <c r="L615" s="82"/>
      <c r="M615" s="82"/>
      <c r="N615" s="82"/>
      <c r="O615" s="2"/>
      <c r="P615" s="2"/>
      <c r="Q615" s="2"/>
      <c r="R615" s="2"/>
    </row>
    <row r="616" spans="1:18" ht="19.5" hidden="1" thickBot="1" x14ac:dyDescent="0.3">
      <c r="A616" s="990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10"/>
        <v>10,23</v>
      </c>
      <c r="L616" s="109"/>
      <c r="M616" s="109"/>
      <c r="N616" s="109"/>
      <c r="O616" s="2"/>
      <c r="P616" s="2"/>
      <c r="Q616" s="2"/>
      <c r="R616" s="2"/>
    </row>
    <row r="617" spans="1:18" ht="19.5" hidden="1" thickBot="1" x14ac:dyDescent="0.3">
      <c r="A617" s="990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10"/>
        <v>10,23</v>
      </c>
      <c r="L617" s="107"/>
      <c r="M617" s="107"/>
      <c r="N617" s="107"/>
      <c r="O617" s="2"/>
      <c r="P617" s="2"/>
      <c r="Q617" s="2"/>
      <c r="R617" s="2"/>
    </row>
    <row r="618" spans="1:18" ht="19.5" hidden="1" thickBot="1" x14ac:dyDescent="0.3">
      <c r="A618" s="991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10"/>
        <v>10,23</v>
      </c>
      <c r="L618" s="48"/>
      <c r="M618" s="48"/>
      <c r="N618" s="48"/>
      <c r="O618" s="2"/>
      <c r="P618" s="2"/>
      <c r="Q618" s="2"/>
      <c r="R618" s="2"/>
    </row>
    <row r="619" spans="1:18" ht="19.5" hidden="1" thickBot="1" x14ac:dyDescent="0.3">
      <c r="A619" s="991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10"/>
        <v>10,23</v>
      </c>
      <c r="L619" s="56"/>
      <c r="M619" s="56"/>
      <c r="N619" s="56"/>
      <c r="O619" s="2"/>
      <c r="P619" s="2"/>
      <c r="Q619" s="2"/>
      <c r="R619" s="2"/>
    </row>
    <row r="620" spans="1:18" ht="19.5" hidden="1" thickBot="1" x14ac:dyDescent="0.3">
      <c r="A620" s="991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10"/>
        <v>10,23</v>
      </c>
      <c r="L620" s="31"/>
      <c r="M620" s="31"/>
      <c r="N620" s="31"/>
      <c r="O620" s="2"/>
      <c r="P620" s="2"/>
      <c r="Q620" s="2"/>
      <c r="R620" s="2"/>
    </row>
    <row r="621" spans="1:18" ht="19.5" hidden="1" thickBot="1" x14ac:dyDescent="0.3">
      <c r="A621" s="990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10"/>
        <v>10,23</v>
      </c>
      <c r="L621" s="82"/>
      <c r="M621" s="82"/>
      <c r="N621" s="82"/>
      <c r="O621" s="2"/>
      <c r="P621" s="2"/>
      <c r="Q621" s="2"/>
      <c r="R621" s="2"/>
    </row>
    <row r="622" spans="1:18" ht="19.5" hidden="1" thickBot="1" x14ac:dyDescent="0.3">
      <c r="A622" s="990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10"/>
        <v>10,23</v>
      </c>
      <c r="L622" s="109"/>
      <c r="M622" s="109"/>
      <c r="N622" s="109"/>
      <c r="O622" s="2"/>
      <c r="P622" s="2"/>
      <c r="Q622" s="2"/>
      <c r="R622" s="2"/>
    </row>
    <row r="623" spans="1:18" ht="19.5" hidden="1" thickBot="1" x14ac:dyDescent="0.3">
      <c r="A623" s="990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10"/>
        <v>10,23</v>
      </c>
      <c r="L623" s="107"/>
      <c r="M623" s="107"/>
      <c r="N623" s="107"/>
      <c r="O623" s="2"/>
      <c r="P623" s="2"/>
      <c r="Q623" s="2"/>
      <c r="R623" s="2"/>
    </row>
    <row r="624" spans="1:18" ht="19.5" hidden="1" thickBot="1" x14ac:dyDescent="0.3">
      <c r="A624" s="991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10"/>
        <v>10,23</v>
      </c>
      <c r="L624" s="48"/>
      <c r="M624" s="48"/>
      <c r="N624" s="48"/>
      <c r="O624" s="2"/>
      <c r="P624" s="2"/>
      <c r="Q624" s="2"/>
      <c r="R624" s="2"/>
    </row>
    <row r="625" spans="1:18" ht="19.5" hidden="1" thickBot="1" x14ac:dyDescent="0.3">
      <c r="A625" s="991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10"/>
        <v>10,23</v>
      </c>
      <c r="L625" s="56"/>
      <c r="M625" s="56"/>
      <c r="N625" s="56"/>
      <c r="O625" s="2"/>
      <c r="P625" s="2"/>
      <c r="Q625" s="2"/>
      <c r="R625" s="2"/>
    </row>
    <row r="626" spans="1:18" ht="19.5" hidden="1" thickBot="1" x14ac:dyDescent="0.3">
      <c r="A626" s="991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10"/>
        <v>10,23</v>
      </c>
      <c r="L626" s="23"/>
      <c r="M626" s="23"/>
      <c r="N626" s="23"/>
      <c r="O626" s="2"/>
      <c r="P626" s="2"/>
      <c r="Q626" s="2"/>
      <c r="R626" s="2"/>
    </row>
    <row r="627" spans="1:18" ht="19.5" hidden="1" thickBot="1" x14ac:dyDescent="0.3">
      <c r="A627" s="991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10"/>
        <v>10,23</v>
      </c>
      <c r="L627" s="56"/>
      <c r="M627" s="56"/>
      <c r="N627" s="56"/>
      <c r="O627" s="2"/>
      <c r="P627" s="2"/>
      <c r="Q627" s="2"/>
      <c r="R627" s="2"/>
    </row>
    <row r="628" spans="1:18" ht="19.5" hidden="1" thickBot="1" x14ac:dyDescent="0.3">
      <c r="A628" s="991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10"/>
        <v>10,23</v>
      </c>
      <c r="L628" s="31"/>
      <c r="M628" s="31"/>
      <c r="N628" s="31"/>
      <c r="O628" s="2"/>
      <c r="P628" s="2"/>
      <c r="Q628" s="2"/>
      <c r="R628" s="2"/>
    </row>
    <row r="629" spans="1:18" ht="57" hidden="1" thickBot="1" x14ac:dyDescent="0.3">
      <c r="A629" s="990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10"/>
        <v>10,23</v>
      </c>
      <c r="L629" s="82"/>
      <c r="M629" s="82"/>
      <c r="N629" s="82"/>
      <c r="O629" s="2"/>
      <c r="P629" s="2"/>
      <c r="Q629" s="2"/>
      <c r="R629" s="2"/>
    </row>
    <row r="630" spans="1:18" ht="19.5" hidden="1" thickBot="1" x14ac:dyDescent="0.3">
      <c r="A630" s="990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10"/>
        <v>10,23</v>
      </c>
      <c r="L630" s="107"/>
      <c r="M630" s="107"/>
      <c r="N630" s="107"/>
      <c r="O630" s="2"/>
      <c r="P630" s="2"/>
      <c r="Q630" s="2"/>
      <c r="R630" s="2"/>
    </row>
    <row r="631" spans="1:18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10"/>
        <v>10,23</v>
      </c>
      <c r="L631" s="75"/>
      <c r="M631" s="75"/>
      <c r="N631" s="75"/>
      <c r="O631" s="2"/>
      <c r="P631" s="2"/>
      <c r="Q631" s="2"/>
      <c r="R631" s="2"/>
    </row>
    <row r="632" spans="1:18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10"/>
        <v>10,23</v>
      </c>
      <c r="L632" s="40"/>
      <c r="M632" s="40"/>
      <c r="N632" s="40"/>
      <c r="O632" s="2"/>
      <c r="P632" s="2"/>
      <c r="Q632" s="2"/>
      <c r="R632" s="2"/>
    </row>
    <row r="633" spans="1:18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10"/>
        <v>10,23</v>
      </c>
      <c r="L633" s="75"/>
      <c r="M633" s="75"/>
      <c r="N633" s="75"/>
      <c r="O633" s="2"/>
      <c r="P633" s="2"/>
      <c r="Q633" s="2"/>
      <c r="R633" s="2"/>
    </row>
    <row r="634" spans="1:18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10"/>
        <v>10,23</v>
      </c>
      <c r="L634" s="40"/>
      <c r="M634" s="40"/>
      <c r="N634" s="40"/>
      <c r="O634" s="2"/>
      <c r="P634" s="2"/>
      <c r="Q634" s="2"/>
      <c r="R634" s="2"/>
    </row>
    <row r="635" spans="1:18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10"/>
        <v>10,23</v>
      </c>
      <c r="L635" s="75"/>
      <c r="M635" s="75"/>
      <c r="N635" s="75"/>
      <c r="O635" s="2"/>
      <c r="P635" s="2"/>
      <c r="Q635" s="2"/>
      <c r="R635" s="2"/>
    </row>
    <row r="636" spans="1:18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10"/>
        <v>10,23</v>
      </c>
      <c r="L636" s="40"/>
      <c r="M636" s="40"/>
      <c r="N636" s="40"/>
      <c r="O636" s="2"/>
      <c r="P636" s="2"/>
      <c r="Q636" s="2"/>
      <c r="R636" s="2"/>
    </row>
    <row r="637" spans="1:18" ht="19.5" hidden="1" thickBot="1" x14ac:dyDescent="0.3">
      <c r="A637" s="991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10"/>
        <v>10,23</v>
      </c>
      <c r="L637" s="48"/>
      <c r="M637" s="48"/>
      <c r="N637" s="48"/>
      <c r="O637" s="2"/>
      <c r="P637" s="2"/>
      <c r="Q637" s="2"/>
      <c r="R637" s="2"/>
    </row>
    <row r="638" spans="1:18" ht="19.5" hidden="1" thickBot="1" x14ac:dyDescent="0.3">
      <c r="A638" s="991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10"/>
        <v>10,23</v>
      </c>
      <c r="L638" s="23"/>
      <c r="M638" s="23"/>
      <c r="N638" s="23"/>
      <c r="O638" s="2"/>
      <c r="P638" s="2"/>
      <c r="Q638" s="2"/>
      <c r="R638" s="2"/>
    </row>
    <row r="639" spans="1:18" ht="19.5" hidden="1" thickBot="1" x14ac:dyDescent="0.3">
      <c r="A639" s="991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10"/>
        <v>10,23</v>
      </c>
      <c r="L639" s="71"/>
      <c r="M639" s="71"/>
      <c r="N639" s="71"/>
      <c r="O639" s="2"/>
      <c r="P639" s="2"/>
      <c r="Q639" s="2"/>
      <c r="R639" s="2"/>
    </row>
    <row r="640" spans="1:18" ht="19.5" hidden="1" thickBot="1" x14ac:dyDescent="0.3">
      <c r="A640" s="990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10"/>
        <v>10,23</v>
      </c>
      <c r="L640" s="82"/>
      <c r="M640" s="82"/>
      <c r="N640" s="82"/>
      <c r="O640" s="2"/>
      <c r="P640" s="2"/>
      <c r="Q640" s="2"/>
      <c r="R640" s="2"/>
    </row>
    <row r="641" spans="1:18" ht="19.5" hidden="1" thickBot="1" x14ac:dyDescent="0.3">
      <c r="A641" s="990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10"/>
        <v>10,23</v>
      </c>
      <c r="L641" s="98"/>
      <c r="M641" s="98"/>
      <c r="N641" s="98"/>
      <c r="O641" s="2"/>
      <c r="P641" s="2"/>
      <c r="Q641" s="2"/>
      <c r="R641" s="2"/>
    </row>
    <row r="642" spans="1:18" ht="19.5" hidden="1" thickBot="1" x14ac:dyDescent="0.3">
      <c r="A642" s="990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10"/>
        <v>10,23</v>
      </c>
      <c r="L642" s="98"/>
      <c r="M642" s="98"/>
      <c r="N642" s="98"/>
      <c r="O642" s="2"/>
      <c r="P642" s="2"/>
      <c r="Q642" s="2"/>
      <c r="R642" s="2"/>
    </row>
    <row r="643" spans="1:18" ht="19.5" hidden="1" thickBot="1" x14ac:dyDescent="0.3">
      <c r="A643" s="990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1">RIGHT(H643,5)</f>
        <v>10,23</v>
      </c>
      <c r="L643" s="90"/>
      <c r="M643" s="90"/>
      <c r="N643" s="90"/>
      <c r="O643" s="2"/>
      <c r="P643" s="2"/>
      <c r="Q643" s="2"/>
      <c r="R643" s="2"/>
    </row>
    <row r="644" spans="1:18" ht="19.5" hidden="1" thickBot="1" x14ac:dyDescent="0.3">
      <c r="A644" s="991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1"/>
        <v>10,23</v>
      </c>
      <c r="L644" s="48"/>
      <c r="M644" s="48"/>
      <c r="N644" s="48"/>
      <c r="O644" s="2"/>
      <c r="P644" s="2"/>
      <c r="Q644" s="2"/>
      <c r="R644" s="2"/>
    </row>
    <row r="645" spans="1:18" ht="19.5" hidden="1" thickBot="1" x14ac:dyDescent="0.3">
      <c r="A645" s="991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1"/>
        <v>10,23</v>
      </c>
      <c r="L645" s="23"/>
      <c r="M645" s="23"/>
      <c r="N645" s="23"/>
      <c r="O645" s="2"/>
      <c r="P645" s="2"/>
      <c r="Q645" s="2"/>
      <c r="R645" s="2"/>
    </row>
    <row r="646" spans="1:18" ht="19.5" hidden="1" thickBot="1" x14ac:dyDescent="0.3">
      <c r="A646" s="991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1"/>
        <v>10,23</v>
      </c>
      <c r="L646" s="71"/>
      <c r="M646" s="71"/>
      <c r="N646" s="71"/>
      <c r="O646" s="2"/>
      <c r="P646" s="2"/>
      <c r="Q646" s="2"/>
      <c r="R646" s="2"/>
    </row>
    <row r="647" spans="1:18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1"/>
        <v>10,23</v>
      </c>
      <c r="L647" s="40"/>
      <c r="M647" s="40"/>
      <c r="N647" s="40"/>
      <c r="O647" s="2"/>
      <c r="P647" s="2"/>
      <c r="Q647" s="2"/>
      <c r="R647" s="2"/>
    </row>
    <row r="648" spans="1:18" ht="38.25" hidden="1" thickBot="1" x14ac:dyDescent="0.3">
      <c r="A648" s="991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1"/>
        <v>10,23</v>
      </c>
      <c r="L648" s="48"/>
      <c r="M648" s="48"/>
      <c r="N648" s="48"/>
      <c r="O648" s="2"/>
      <c r="P648" s="2"/>
      <c r="Q648" s="2"/>
      <c r="R648" s="2"/>
    </row>
    <row r="649" spans="1:18" ht="38.25" hidden="1" thickBot="1" x14ac:dyDescent="0.3">
      <c r="A649" s="991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1"/>
        <v>10,23</v>
      </c>
      <c r="L649" s="23"/>
      <c r="M649" s="23"/>
      <c r="N649" s="23"/>
      <c r="O649" s="2"/>
      <c r="P649" s="2"/>
      <c r="Q649" s="2"/>
      <c r="R649" s="2"/>
    </row>
    <row r="650" spans="1:18" ht="38.25" hidden="1" thickBot="1" x14ac:dyDescent="0.3">
      <c r="A650" s="991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1"/>
        <v>10,23</v>
      </c>
      <c r="L650" s="71"/>
      <c r="M650" s="71"/>
      <c r="N650" s="71"/>
      <c r="O650" s="2"/>
      <c r="P650" s="2"/>
      <c r="Q650" s="2"/>
      <c r="R650" s="2"/>
    </row>
    <row r="651" spans="1:18" ht="57" hidden="1" thickBot="1" x14ac:dyDescent="0.3">
      <c r="A651" s="990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1"/>
        <v>10,23</v>
      </c>
      <c r="L651" s="82"/>
      <c r="M651" s="82"/>
      <c r="N651" s="82"/>
      <c r="O651" s="2"/>
      <c r="P651" s="2"/>
      <c r="Q651" s="2"/>
      <c r="R651" s="2"/>
    </row>
    <row r="652" spans="1:18" ht="38.25" hidden="1" thickBot="1" x14ac:dyDescent="0.3">
      <c r="A652" s="990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1"/>
        <v>10,23</v>
      </c>
      <c r="L652" s="98"/>
      <c r="M652" s="98"/>
      <c r="N652" s="98"/>
      <c r="O652" s="2"/>
      <c r="P652" s="2"/>
      <c r="Q652" s="2"/>
      <c r="R652" s="2"/>
    </row>
    <row r="653" spans="1:18" ht="57" hidden="1" thickBot="1" x14ac:dyDescent="0.3">
      <c r="A653" s="990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1"/>
        <v>10,23</v>
      </c>
      <c r="L653" s="90"/>
      <c r="M653" s="90"/>
      <c r="N653" s="90"/>
      <c r="O653" s="2"/>
      <c r="P653" s="2"/>
      <c r="Q653" s="2"/>
      <c r="R653" s="2"/>
    </row>
    <row r="654" spans="1:18" ht="19.5" hidden="1" customHeight="1" thickBot="1" x14ac:dyDescent="0.3">
      <c r="A654" s="991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993" t="s">
        <v>72</v>
      </c>
      <c r="H654" s="48" t="s">
        <v>191</v>
      </c>
      <c r="I654" s="163" t="s">
        <v>197</v>
      </c>
      <c r="J654" s="52"/>
      <c r="K654" s="48" t="str">
        <f t="shared" si="11"/>
        <v>10,23</v>
      </c>
      <c r="L654" s="48"/>
      <c r="M654" s="48"/>
      <c r="N654" s="48"/>
      <c r="O654" s="2"/>
      <c r="P654" s="2"/>
      <c r="Q654" s="2"/>
      <c r="R654" s="2"/>
    </row>
    <row r="655" spans="1:18" ht="19.5" hidden="1" thickBot="1" x14ac:dyDescent="0.3">
      <c r="A655" s="991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993"/>
      <c r="H655" s="71" t="s">
        <v>201</v>
      </c>
      <c r="I655" s="167" t="s">
        <v>197</v>
      </c>
      <c r="J655" s="168"/>
      <c r="K655" s="71" t="str">
        <f t="shared" si="11"/>
        <v>10,23</v>
      </c>
      <c r="L655" s="71"/>
      <c r="M655" s="71"/>
      <c r="N655" s="71"/>
      <c r="O655" s="2"/>
      <c r="P655" s="2"/>
      <c r="Q655" s="2"/>
      <c r="R655" s="2"/>
    </row>
    <row r="656" spans="1:18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1"/>
        <v>10,23</v>
      </c>
      <c r="L656" s="40"/>
      <c r="M656" s="40"/>
      <c r="N656" s="40"/>
      <c r="O656" s="2"/>
      <c r="P656" s="2"/>
      <c r="Q656" s="2"/>
      <c r="R656" s="2"/>
    </row>
    <row r="657" spans="1:18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1"/>
        <v>10,23</v>
      </c>
      <c r="L657" s="75"/>
      <c r="M657" s="75"/>
      <c r="N657" s="75"/>
      <c r="O657" s="2"/>
      <c r="P657" s="2"/>
      <c r="Q657" s="2"/>
      <c r="R657" s="2"/>
    </row>
    <row r="658" spans="1:18" ht="38.2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1"/>
        <v>10,23</v>
      </c>
      <c r="L658" s="266"/>
      <c r="M658" s="266"/>
      <c r="N658" s="266"/>
      <c r="O658" s="2"/>
      <c r="P658" s="2"/>
      <c r="Q658" s="2"/>
      <c r="R658" s="2"/>
    </row>
    <row r="659" spans="1:18" ht="38.25" hidden="1" thickBot="1" x14ac:dyDescent="0.3">
      <c r="A659" s="991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1"/>
        <v>10,23</v>
      </c>
      <c r="L659" s="274"/>
      <c r="M659" s="274"/>
      <c r="N659" s="274"/>
      <c r="O659" s="2"/>
      <c r="P659" s="2"/>
      <c r="Q659" s="2"/>
      <c r="R659" s="2"/>
    </row>
    <row r="660" spans="1:18" ht="19.5" hidden="1" customHeight="1" thickBot="1" x14ac:dyDescent="0.3">
      <c r="A660" s="991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1012" t="s">
        <v>202</v>
      </c>
      <c r="K660" s="23" t="str">
        <f t="shared" si="11"/>
        <v>10,23</v>
      </c>
      <c r="L660" s="23"/>
      <c r="M660" s="23"/>
      <c r="N660" s="23"/>
      <c r="O660" s="2"/>
      <c r="P660" s="2"/>
      <c r="Q660" s="2"/>
      <c r="R660" s="2"/>
    </row>
    <row r="661" spans="1:18" ht="19.5" hidden="1" thickBot="1" x14ac:dyDescent="0.3">
      <c r="A661" s="991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1012"/>
      <c r="K661" s="23" t="str">
        <f t="shared" si="11"/>
        <v>10,23</v>
      </c>
      <c r="L661" s="23"/>
      <c r="M661" s="23"/>
      <c r="N661" s="23"/>
      <c r="O661" s="2"/>
      <c r="P661" s="2"/>
      <c r="Q661" s="2"/>
      <c r="R661" s="2"/>
    </row>
    <row r="662" spans="1:18" ht="19.5" hidden="1" thickBot="1" x14ac:dyDescent="0.3">
      <c r="A662" s="991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1"/>
        <v>10,23</v>
      </c>
      <c r="L662" s="71"/>
      <c r="M662" s="71"/>
      <c r="N662" s="71"/>
      <c r="O662" s="2"/>
      <c r="P662" s="2"/>
      <c r="Q662" s="2"/>
      <c r="R662" s="2"/>
    </row>
    <row r="663" spans="1:18" ht="19.5" hidden="1" thickBot="1" x14ac:dyDescent="0.3">
      <c r="A663" s="990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1"/>
        <v>10,23</v>
      </c>
      <c r="L663" s="82"/>
      <c r="M663" s="82"/>
      <c r="N663" s="82"/>
      <c r="O663" s="2"/>
      <c r="P663" s="2"/>
      <c r="Q663" s="2"/>
      <c r="R663" s="2"/>
    </row>
    <row r="664" spans="1:18" ht="19.5" hidden="1" thickBot="1" x14ac:dyDescent="0.3">
      <c r="A664" s="990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1"/>
        <v>10,23</v>
      </c>
      <c r="L664" s="98"/>
      <c r="M664" s="98"/>
      <c r="N664" s="98"/>
      <c r="O664" s="2"/>
      <c r="P664" s="2"/>
      <c r="Q664" s="2"/>
      <c r="R664" s="2"/>
    </row>
    <row r="665" spans="1:18" ht="19.5" hidden="1" thickBot="1" x14ac:dyDescent="0.3">
      <c r="A665" s="990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1"/>
        <v>10,23</v>
      </c>
      <c r="L665" s="90"/>
      <c r="M665" s="90"/>
      <c r="N665" s="90"/>
      <c r="O665" s="2"/>
      <c r="P665" s="2"/>
      <c r="Q665" s="2"/>
      <c r="R665" s="2"/>
    </row>
    <row r="666" spans="1:18" ht="19.5" hidden="1" thickBot="1" x14ac:dyDescent="0.3">
      <c r="A666" s="991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1"/>
        <v>10,23</v>
      </c>
      <c r="L666" s="48"/>
      <c r="M666" s="48"/>
      <c r="N666" s="48"/>
      <c r="O666" s="2"/>
      <c r="P666" s="2"/>
      <c r="Q666" s="2"/>
      <c r="R666" s="2"/>
    </row>
    <row r="667" spans="1:18" ht="19.5" hidden="1" thickBot="1" x14ac:dyDescent="0.3">
      <c r="A667" s="991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1"/>
        <v>10,23</v>
      </c>
      <c r="L667" s="23"/>
      <c r="M667" s="23"/>
      <c r="N667" s="23"/>
      <c r="O667" s="2"/>
      <c r="P667" s="2"/>
      <c r="Q667" s="2"/>
      <c r="R667" s="2"/>
    </row>
    <row r="668" spans="1:18" ht="19.5" hidden="1" thickBot="1" x14ac:dyDescent="0.3">
      <c r="A668" s="991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1"/>
        <v>10,23</v>
      </c>
      <c r="L668" s="71"/>
      <c r="M668" s="71"/>
      <c r="N668" s="71"/>
      <c r="O668" s="2"/>
      <c r="P668" s="2"/>
      <c r="Q668" s="2"/>
      <c r="R668" s="2"/>
    </row>
    <row r="669" spans="1:18" ht="19.5" hidden="1" thickBot="1" x14ac:dyDescent="0.3">
      <c r="A669" s="990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1"/>
        <v>10,23</v>
      </c>
      <c r="L669" s="82"/>
      <c r="M669" s="82"/>
      <c r="N669" s="82"/>
      <c r="O669" s="2"/>
      <c r="P669" s="2"/>
      <c r="Q669" s="2"/>
      <c r="R669" s="2"/>
    </row>
    <row r="670" spans="1:18" ht="19.5" hidden="1" thickBot="1" x14ac:dyDescent="0.3">
      <c r="A670" s="990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1"/>
        <v>10,23</v>
      </c>
      <c r="L670" s="90"/>
      <c r="M670" s="90"/>
      <c r="N670" s="90"/>
      <c r="O670" s="2"/>
      <c r="P670" s="2"/>
      <c r="Q670" s="2"/>
      <c r="R670" s="2"/>
    </row>
    <row r="671" spans="1:18" ht="19.5" hidden="1" thickBot="1" x14ac:dyDescent="0.3">
      <c r="A671" s="991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1"/>
        <v>10,23</v>
      </c>
      <c r="L671" s="48"/>
      <c r="M671" s="48"/>
      <c r="N671" s="48"/>
      <c r="O671" s="2"/>
      <c r="P671" s="2"/>
      <c r="Q671" s="2"/>
      <c r="R671" s="2"/>
    </row>
    <row r="672" spans="1:18" ht="19.5" hidden="1" thickBot="1" x14ac:dyDescent="0.3">
      <c r="A672" s="991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1"/>
        <v>10,23</v>
      </c>
      <c r="L672" s="23"/>
      <c r="M672" s="23"/>
      <c r="N672" s="23"/>
      <c r="O672" s="2"/>
      <c r="P672" s="2"/>
      <c r="Q672" s="2"/>
      <c r="R672" s="2"/>
    </row>
    <row r="673" spans="1:18" ht="19.5" hidden="1" thickBot="1" x14ac:dyDescent="0.3">
      <c r="A673" s="991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1"/>
        <v>10,23</v>
      </c>
      <c r="L673" s="23"/>
      <c r="M673" s="23"/>
      <c r="N673" s="23"/>
      <c r="O673" s="2"/>
      <c r="P673" s="2"/>
      <c r="Q673" s="2"/>
      <c r="R673" s="2"/>
    </row>
    <row r="674" spans="1:18" ht="19.5" hidden="1" thickBot="1" x14ac:dyDescent="0.3">
      <c r="A674" s="991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1"/>
        <v>10,23</v>
      </c>
      <c r="L674" s="23"/>
      <c r="M674" s="23"/>
      <c r="N674" s="23"/>
      <c r="O674" s="2"/>
      <c r="P674" s="2"/>
      <c r="Q674" s="2"/>
      <c r="R674" s="2"/>
    </row>
    <row r="675" spans="1:18" ht="19.5" hidden="1" thickBot="1" x14ac:dyDescent="0.3">
      <c r="A675" s="991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1"/>
        <v>10,23</v>
      </c>
      <c r="L675" s="23"/>
      <c r="M675" s="23"/>
      <c r="N675" s="23"/>
      <c r="O675" s="2"/>
      <c r="P675" s="2"/>
      <c r="Q675" s="2"/>
      <c r="R675" s="2"/>
    </row>
    <row r="676" spans="1:18" ht="19.5" hidden="1" thickBot="1" x14ac:dyDescent="0.3">
      <c r="A676" s="991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1"/>
        <v>10,23</v>
      </c>
      <c r="L676" s="71"/>
      <c r="M676" s="71"/>
      <c r="N676" s="71"/>
      <c r="O676" s="2"/>
      <c r="P676" s="2"/>
      <c r="Q676" s="2"/>
      <c r="R676" s="2"/>
    </row>
    <row r="677" spans="1:18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1"/>
        <v>10,23</v>
      </c>
      <c r="L677" s="110"/>
      <c r="M677" s="110"/>
      <c r="N677" s="110"/>
      <c r="O677" s="2"/>
      <c r="P677" s="2"/>
      <c r="Q677" s="2"/>
      <c r="R677" s="2"/>
    </row>
    <row r="678" spans="1:18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1"/>
        <v>10,23</v>
      </c>
      <c r="L678" s="111"/>
      <c r="M678" s="111"/>
      <c r="N678" s="111"/>
      <c r="O678" s="2"/>
      <c r="P678" s="2"/>
      <c r="Q678" s="2"/>
      <c r="R678" s="2"/>
    </row>
    <row r="679" spans="1:18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1"/>
        <v>11,23</v>
      </c>
      <c r="L679" s="110"/>
      <c r="M679" s="110"/>
      <c r="N679" s="110"/>
      <c r="O679" s="2"/>
      <c r="P679" s="2"/>
      <c r="Q679" s="2"/>
      <c r="R679" s="2"/>
    </row>
    <row r="680" spans="1:18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1"/>
        <v>10,23</v>
      </c>
      <c r="L680" s="111"/>
      <c r="M680" s="111"/>
      <c r="N680" s="111"/>
      <c r="O680" s="2"/>
      <c r="P680" s="2"/>
      <c r="Q680" s="2"/>
      <c r="R680" s="2"/>
    </row>
    <row r="681" spans="1:18" ht="19.5" hidden="1" thickBot="1" x14ac:dyDescent="0.3">
      <c r="A681" s="990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1"/>
        <v>10,23</v>
      </c>
      <c r="L681" s="278"/>
      <c r="M681" s="278"/>
      <c r="N681" s="278"/>
      <c r="O681" s="2"/>
      <c r="P681" s="2"/>
      <c r="Q681" s="2"/>
      <c r="R681" s="2"/>
    </row>
    <row r="682" spans="1:18" ht="19.5" hidden="1" thickBot="1" x14ac:dyDescent="0.3">
      <c r="A682" s="990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1"/>
        <v>10,23</v>
      </c>
      <c r="L682" s="279"/>
      <c r="M682" s="279"/>
      <c r="N682" s="279"/>
      <c r="O682" s="2"/>
      <c r="P682" s="2"/>
      <c r="Q682" s="2"/>
      <c r="R682" s="2"/>
    </row>
    <row r="683" spans="1:18" ht="19.5" hidden="1" thickBot="1" x14ac:dyDescent="0.3">
      <c r="A683" s="991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1"/>
        <v>10,23</v>
      </c>
      <c r="L683" s="280"/>
      <c r="M683" s="280"/>
      <c r="N683" s="280"/>
      <c r="O683" s="2"/>
      <c r="P683" s="2"/>
      <c r="Q683" s="2"/>
      <c r="R683" s="2"/>
    </row>
    <row r="684" spans="1:18" ht="19.5" hidden="1" thickBot="1" x14ac:dyDescent="0.3">
      <c r="A684" s="991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1"/>
        <v>10,23</v>
      </c>
      <c r="L684" s="207"/>
      <c r="M684" s="207"/>
      <c r="N684" s="207"/>
      <c r="O684" s="2"/>
      <c r="P684" s="2"/>
      <c r="Q684" s="2"/>
      <c r="R684" s="2"/>
    </row>
    <row r="685" spans="1:18" ht="19.5" hidden="1" thickBot="1" x14ac:dyDescent="0.3">
      <c r="A685" s="990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1"/>
        <v>10,23</v>
      </c>
      <c r="L685" s="278"/>
      <c r="M685" s="278"/>
      <c r="N685" s="278"/>
      <c r="O685" s="2"/>
      <c r="P685" s="2"/>
      <c r="Q685" s="2"/>
      <c r="R685" s="2"/>
    </row>
    <row r="686" spans="1:18" ht="19.5" hidden="1" thickBot="1" x14ac:dyDescent="0.3">
      <c r="A686" s="990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1"/>
        <v>10,23</v>
      </c>
      <c r="L686" s="281"/>
      <c r="M686" s="281"/>
      <c r="N686" s="281"/>
      <c r="O686" s="2"/>
      <c r="P686" s="2"/>
      <c r="Q686" s="2"/>
      <c r="R686" s="2"/>
    </row>
    <row r="687" spans="1:18" ht="19.5" hidden="1" thickBot="1" x14ac:dyDescent="0.3">
      <c r="A687" s="990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1"/>
        <v>10,23</v>
      </c>
      <c r="L687" s="281"/>
      <c r="M687" s="281"/>
      <c r="N687" s="281"/>
      <c r="O687" s="2"/>
      <c r="P687" s="2"/>
      <c r="Q687" s="2"/>
      <c r="R687" s="2"/>
    </row>
    <row r="688" spans="1:18" ht="19.5" hidden="1" thickBot="1" x14ac:dyDescent="0.3">
      <c r="A688" s="990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1"/>
        <v>10,23</v>
      </c>
      <c r="L688" s="281"/>
      <c r="M688" s="281"/>
      <c r="N688" s="281"/>
      <c r="O688" s="2"/>
      <c r="P688" s="2"/>
      <c r="Q688" s="2"/>
      <c r="R688" s="2"/>
    </row>
    <row r="689" spans="1:18" ht="19.5" hidden="1" thickBot="1" x14ac:dyDescent="0.3">
      <c r="A689" s="990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1"/>
        <v>10,23</v>
      </c>
      <c r="L689" s="281"/>
      <c r="M689" s="281"/>
      <c r="N689" s="281"/>
      <c r="O689" s="2"/>
      <c r="P689" s="2"/>
      <c r="Q689" s="2"/>
      <c r="R689" s="2"/>
    </row>
    <row r="690" spans="1:18" ht="19.5" hidden="1" thickBot="1" x14ac:dyDescent="0.3">
      <c r="A690" s="990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1"/>
        <v>10,23</v>
      </c>
      <c r="L690" s="281"/>
      <c r="M690" s="281"/>
      <c r="N690" s="281"/>
      <c r="O690" s="2"/>
      <c r="P690" s="2"/>
      <c r="Q690" s="2"/>
      <c r="R690" s="2"/>
    </row>
    <row r="691" spans="1:18" ht="19.5" hidden="1" thickBot="1" x14ac:dyDescent="0.3">
      <c r="A691" s="990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1"/>
        <v>10,23</v>
      </c>
      <c r="L691" s="279"/>
      <c r="M691" s="279"/>
      <c r="N691" s="279"/>
      <c r="O691" s="2"/>
      <c r="P691" s="2"/>
      <c r="Q691" s="2"/>
      <c r="R691" s="2"/>
    </row>
    <row r="692" spans="1:18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1"/>
        <v>10,23</v>
      </c>
      <c r="L692" s="111"/>
      <c r="M692" s="111"/>
      <c r="N692" s="111"/>
      <c r="O692" s="2"/>
      <c r="P692" s="2"/>
      <c r="Q692" s="2"/>
      <c r="R692" s="2"/>
    </row>
    <row r="693" spans="1:18" ht="19.5" hidden="1" thickBot="1" x14ac:dyDescent="0.3">
      <c r="A693" s="990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1"/>
        <v>10,23</v>
      </c>
      <c r="L693" s="278"/>
      <c r="M693" s="278"/>
      <c r="N693" s="278"/>
      <c r="O693" s="2"/>
      <c r="P693" s="2"/>
      <c r="Q693" s="2"/>
      <c r="R693" s="2"/>
    </row>
    <row r="694" spans="1:18" ht="19.5" hidden="1" thickBot="1" x14ac:dyDescent="0.3">
      <c r="A694" s="990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1"/>
        <v>10,23</v>
      </c>
      <c r="L694" s="279"/>
      <c r="M694" s="279"/>
      <c r="N694" s="279"/>
      <c r="O694" s="2"/>
      <c r="P694" s="2"/>
      <c r="Q694" s="2"/>
      <c r="R694" s="2"/>
    </row>
    <row r="695" spans="1:18" ht="19.5" hidden="1" customHeight="1" thickBot="1" x14ac:dyDescent="0.3">
      <c r="A695" s="991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993" t="s">
        <v>72</v>
      </c>
      <c r="H695" s="48" t="s">
        <v>208</v>
      </c>
      <c r="I695" s="163" t="s">
        <v>208</v>
      </c>
      <c r="J695" s="52"/>
      <c r="K695" s="48" t="str">
        <f t="shared" si="11"/>
        <v>10,23</v>
      </c>
      <c r="L695" s="280"/>
      <c r="M695" s="280"/>
      <c r="N695" s="280"/>
      <c r="O695" s="2"/>
      <c r="P695" s="2"/>
      <c r="Q695" s="2"/>
      <c r="R695" s="2"/>
    </row>
    <row r="696" spans="1:18" ht="19.5" hidden="1" thickBot="1" x14ac:dyDescent="0.3">
      <c r="A696" s="991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993"/>
      <c r="H696" s="71" t="s">
        <v>208</v>
      </c>
      <c r="I696" s="167" t="s">
        <v>208</v>
      </c>
      <c r="J696" s="168"/>
      <c r="K696" s="71" t="str">
        <f t="shared" si="11"/>
        <v>10,23</v>
      </c>
      <c r="L696" s="207"/>
      <c r="M696" s="207"/>
      <c r="N696" s="207"/>
      <c r="O696" s="2"/>
      <c r="P696" s="2"/>
      <c r="Q696" s="2"/>
      <c r="R696" s="2"/>
    </row>
    <row r="697" spans="1:18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1"/>
        <v>10,23</v>
      </c>
      <c r="L697" s="282"/>
      <c r="M697" s="282"/>
      <c r="N697" s="282"/>
      <c r="O697" s="2"/>
      <c r="P697" s="2"/>
      <c r="Q697" s="2"/>
      <c r="R697" s="2"/>
    </row>
    <row r="698" spans="1:18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1"/>
        <v>10,23</v>
      </c>
      <c r="L698" s="111"/>
      <c r="M698" s="111"/>
      <c r="N698" s="111"/>
      <c r="O698" s="2"/>
      <c r="P698" s="2"/>
      <c r="Q698" s="2"/>
      <c r="R698" s="2"/>
    </row>
    <row r="699" spans="1:18" ht="38.25" hidden="1" thickBot="1" x14ac:dyDescent="0.3">
      <c r="A699" s="999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1"/>
        <v>10,23</v>
      </c>
      <c r="L699" s="281"/>
      <c r="M699" s="281"/>
      <c r="N699" s="281"/>
      <c r="O699" s="2"/>
      <c r="P699" s="2"/>
      <c r="Q699" s="2"/>
      <c r="R699" s="2"/>
    </row>
    <row r="700" spans="1:18" ht="38.25" hidden="1" thickBot="1" x14ac:dyDescent="0.3">
      <c r="A700" s="999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1"/>
        <v>10,23</v>
      </c>
      <c r="L700" s="281"/>
      <c r="M700" s="281"/>
      <c r="N700" s="281"/>
      <c r="O700" s="2"/>
      <c r="P700" s="2"/>
      <c r="Q700" s="2"/>
      <c r="R700" s="2"/>
    </row>
    <row r="701" spans="1:18" ht="38.25" hidden="1" thickBot="1" x14ac:dyDescent="0.3">
      <c r="A701" s="999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1"/>
        <v>10,23</v>
      </c>
      <c r="L701" s="282"/>
      <c r="M701" s="282"/>
      <c r="N701" s="282"/>
      <c r="O701" s="2"/>
      <c r="P701" s="2"/>
      <c r="Q701" s="2"/>
      <c r="R701" s="2"/>
    </row>
    <row r="702" spans="1:18" ht="38.25" hidden="1" thickBot="1" x14ac:dyDescent="0.3">
      <c r="A702" s="991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1"/>
        <v>10,23</v>
      </c>
      <c r="L702" s="280"/>
      <c r="M702" s="280"/>
      <c r="N702" s="280"/>
      <c r="O702" s="2"/>
      <c r="P702" s="2"/>
      <c r="Q702" s="2"/>
      <c r="R702" s="2"/>
    </row>
    <row r="703" spans="1:18" ht="38.25" hidden="1" thickBot="1" x14ac:dyDescent="0.3">
      <c r="A703" s="991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1"/>
        <v>10,23</v>
      </c>
      <c r="L703" s="286"/>
      <c r="M703" s="286"/>
      <c r="N703" s="286"/>
      <c r="O703" s="2"/>
      <c r="P703" s="2"/>
      <c r="Q703" s="2"/>
      <c r="R703" s="2"/>
    </row>
    <row r="704" spans="1:18" ht="38.25" hidden="1" thickBot="1" x14ac:dyDescent="0.3">
      <c r="A704" s="991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1"/>
        <v>10,23</v>
      </c>
      <c r="L704" s="207"/>
      <c r="M704" s="207"/>
      <c r="N704" s="207"/>
      <c r="O704" s="2"/>
      <c r="P704" s="2"/>
      <c r="Q704" s="2"/>
      <c r="R704" s="2"/>
    </row>
    <row r="705" spans="1:18" ht="19.5" hidden="1" thickBot="1" x14ac:dyDescent="0.3">
      <c r="A705" s="999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1"/>
        <v>10,23</v>
      </c>
      <c r="L705" s="281"/>
      <c r="M705" s="281"/>
      <c r="N705" s="281"/>
      <c r="O705" s="2"/>
      <c r="P705" s="2"/>
      <c r="Q705" s="2"/>
      <c r="R705" s="2"/>
    </row>
    <row r="706" spans="1:18" ht="19.5" hidden="1" thickBot="1" x14ac:dyDescent="0.3">
      <c r="A706" s="999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1"/>
        <v>10,23</v>
      </c>
      <c r="L706" s="282"/>
      <c r="M706" s="282"/>
      <c r="N706" s="282"/>
      <c r="O706" s="2"/>
      <c r="P706" s="2"/>
      <c r="Q706" s="2"/>
      <c r="R706" s="2"/>
    </row>
    <row r="707" spans="1:18" ht="19.5" hidden="1" thickBot="1" x14ac:dyDescent="0.3">
      <c r="A707" s="991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2">RIGHT(H707,5)</f>
        <v>10,23</v>
      </c>
      <c r="L707" s="280"/>
      <c r="M707" s="280"/>
      <c r="N707" s="280"/>
      <c r="O707" s="2"/>
      <c r="P707" s="2"/>
      <c r="Q707" s="2"/>
      <c r="R707" s="2"/>
    </row>
    <row r="708" spans="1:18" ht="19.5" hidden="1" thickBot="1" x14ac:dyDescent="0.3">
      <c r="A708" s="991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2"/>
        <v>10,23</v>
      </c>
      <c r="L708" s="286"/>
      <c r="M708" s="286"/>
      <c r="N708" s="286"/>
      <c r="O708" s="2"/>
      <c r="P708" s="2"/>
      <c r="Q708" s="2"/>
      <c r="R708" s="2"/>
    </row>
    <row r="709" spans="1:18" ht="19.5" hidden="1" thickBot="1" x14ac:dyDescent="0.3">
      <c r="A709" s="991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2"/>
        <v>10,23</v>
      </c>
      <c r="L709" s="207"/>
      <c r="M709" s="207"/>
      <c r="N709" s="207"/>
      <c r="O709" s="2"/>
      <c r="P709" s="2"/>
      <c r="Q709" s="2"/>
      <c r="R709" s="2"/>
    </row>
    <row r="710" spans="1:18" ht="19.5" hidden="1" thickBot="1" x14ac:dyDescent="0.3">
      <c r="A710" s="999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2"/>
        <v>10,23</v>
      </c>
      <c r="L710" s="281"/>
      <c r="M710" s="281"/>
      <c r="N710" s="281"/>
      <c r="O710" s="2"/>
      <c r="P710" s="2"/>
      <c r="Q710" s="2"/>
      <c r="R710" s="2"/>
    </row>
    <row r="711" spans="1:18" ht="19.5" hidden="1" thickBot="1" x14ac:dyDescent="0.3">
      <c r="A711" s="999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2"/>
        <v>10,23</v>
      </c>
      <c r="L711" s="282"/>
      <c r="M711" s="282"/>
      <c r="N711" s="282"/>
      <c r="O711" s="2"/>
      <c r="P711" s="2"/>
      <c r="Q711" s="2"/>
      <c r="R711" s="2"/>
    </row>
    <row r="712" spans="1:18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2"/>
        <v>10,23</v>
      </c>
      <c r="L712" s="111"/>
      <c r="M712" s="111"/>
      <c r="N712" s="111"/>
      <c r="O712" s="2"/>
      <c r="P712" s="2"/>
      <c r="Q712" s="2"/>
      <c r="R712" s="2"/>
    </row>
    <row r="713" spans="1:18" ht="19.5" hidden="1" thickBot="1" x14ac:dyDescent="0.3">
      <c r="A713" s="990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2"/>
        <v>11,23</v>
      </c>
      <c r="L713" s="278"/>
      <c r="M713" s="278"/>
      <c r="N713" s="278"/>
      <c r="O713" s="2"/>
      <c r="P713" s="2"/>
      <c r="Q713" s="2"/>
      <c r="R713" s="2"/>
    </row>
    <row r="714" spans="1:18" ht="19.5" hidden="1" thickBot="1" x14ac:dyDescent="0.3">
      <c r="A714" s="990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2"/>
        <v>11,23</v>
      </c>
      <c r="L714" s="281"/>
      <c r="M714" s="281"/>
      <c r="N714" s="281"/>
      <c r="O714" s="2"/>
      <c r="P714" s="2"/>
      <c r="Q714" s="2"/>
      <c r="R714" s="2"/>
    </row>
    <row r="715" spans="1:18" ht="19.5" hidden="1" thickBot="1" x14ac:dyDescent="0.3">
      <c r="A715" s="990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2"/>
        <v>11,23</v>
      </c>
      <c r="L715" s="279"/>
      <c r="M715" s="279"/>
      <c r="N715" s="279"/>
      <c r="O715" s="2"/>
      <c r="P715" s="2"/>
      <c r="Q715" s="2"/>
      <c r="R715" s="2"/>
    </row>
    <row r="716" spans="1:18" ht="19.5" hidden="1" thickBot="1" x14ac:dyDescent="0.3">
      <c r="A716" s="991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2"/>
        <v>11,23</v>
      </c>
      <c r="L716" s="280"/>
      <c r="M716" s="280"/>
      <c r="N716" s="280"/>
      <c r="O716" s="2"/>
      <c r="P716" s="2"/>
      <c r="Q716" s="2"/>
      <c r="R716" s="2"/>
    </row>
    <row r="717" spans="1:18" ht="19.5" hidden="1" thickBot="1" x14ac:dyDescent="0.3">
      <c r="A717" s="991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2"/>
        <v>11,23</v>
      </c>
      <c r="L717" s="286"/>
      <c r="M717" s="286"/>
      <c r="N717" s="286"/>
      <c r="O717" s="2"/>
      <c r="P717" s="2"/>
      <c r="Q717" s="2"/>
      <c r="R717" s="2"/>
    </row>
    <row r="718" spans="1:18" ht="19.5" hidden="1" thickBot="1" x14ac:dyDescent="0.3">
      <c r="A718" s="991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2"/>
        <v>11,23</v>
      </c>
      <c r="L718" s="207"/>
      <c r="M718" s="207"/>
      <c r="N718" s="207"/>
      <c r="O718" s="2"/>
      <c r="P718" s="2"/>
      <c r="Q718" s="2"/>
      <c r="R718" s="2"/>
    </row>
    <row r="719" spans="1:18" ht="38.25" hidden="1" thickBot="1" x14ac:dyDescent="0.3">
      <c r="A719" s="990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2"/>
        <v>11,23</v>
      </c>
      <c r="L719" s="278"/>
      <c r="M719" s="278"/>
      <c r="N719" s="278"/>
      <c r="O719" s="2"/>
      <c r="P719" s="2"/>
      <c r="Q719" s="2"/>
      <c r="R719" s="2"/>
    </row>
    <row r="720" spans="1:18" ht="38.25" hidden="1" thickBot="1" x14ac:dyDescent="0.3">
      <c r="A720" s="990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2"/>
        <v>11,23</v>
      </c>
      <c r="L720" s="281"/>
      <c r="M720" s="281"/>
      <c r="N720" s="281"/>
      <c r="O720" s="2"/>
      <c r="P720" s="2"/>
      <c r="Q720" s="2"/>
      <c r="R720" s="2"/>
    </row>
    <row r="721" spans="1:18" ht="38.25" hidden="1" thickBot="1" x14ac:dyDescent="0.3">
      <c r="A721" s="990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2"/>
        <v>11,23</v>
      </c>
      <c r="L721" s="281"/>
      <c r="M721" s="281"/>
      <c r="N721" s="281"/>
      <c r="O721" s="2"/>
      <c r="P721" s="2"/>
      <c r="Q721" s="2"/>
      <c r="R721" s="2"/>
    </row>
    <row r="722" spans="1:18" ht="38.25" hidden="1" thickBot="1" x14ac:dyDescent="0.3">
      <c r="A722" s="990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2"/>
        <v>11,23</v>
      </c>
      <c r="L722" s="281"/>
      <c r="M722" s="281"/>
      <c r="N722" s="281"/>
      <c r="O722" s="2"/>
      <c r="P722" s="2"/>
      <c r="Q722" s="2"/>
      <c r="R722" s="2"/>
    </row>
    <row r="723" spans="1:18" ht="38.25" hidden="1" thickBot="1" x14ac:dyDescent="0.3">
      <c r="A723" s="990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2"/>
        <v>11,23</v>
      </c>
      <c r="L723" s="281"/>
      <c r="M723" s="281"/>
      <c r="N723" s="281"/>
      <c r="O723" s="2"/>
      <c r="P723" s="2"/>
      <c r="Q723" s="2"/>
      <c r="R723" s="2"/>
    </row>
    <row r="724" spans="1:18" ht="38.25" hidden="1" thickBot="1" x14ac:dyDescent="0.3">
      <c r="A724" s="990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2"/>
        <v>11,23</v>
      </c>
      <c r="L724" s="281"/>
      <c r="M724" s="281"/>
      <c r="N724" s="281"/>
      <c r="O724" s="2"/>
      <c r="P724" s="2"/>
      <c r="Q724" s="2"/>
      <c r="R724" s="2"/>
    </row>
    <row r="725" spans="1:18" ht="38.25" hidden="1" thickBot="1" x14ac:dyDescent="0.3">
      <c r="A725" s="990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2"/>
        <v>11,23</v>
      </c>
      <c r="L725" s="281"/>
      <c r="M725" s="281"/>
      <c r="N725" s="281"/>
      <c r="O725" s="2"/>
      <c r="P725" s="2"/>
      <c r="Q725" s="2"/>
      <c r="R725" s="2"/>
    </row>
    <row r="726" spans="1:18" ht="38.25" hidden="1" thickBot="1" x14ac:dyDescent="0.3">
      <c r="A726" s="990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2"/>
        <v>11,23</v>
      </c>
      <c r="L726" s="279"/>
      <c r="M726" s="279"/>
      <c r="N726" s="279"/>
      <c r="O726" s="2"/>
      <c r="P726" s="2"/>
      <c r="Q726" s="2"/>
      <c r="R726" s="2"/>
    </row>
    <row r="727" spans="1:18" ht="19.5" hidden="1" thickBot="1" x14ac:dyDescent="0.3">
      <c r="A727" s="991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2"/>
        <v>11,23</v>
      </c>
      <c r="L727" s="280"/>
      <c r="M727" s="280"/>
      <c r="N727" s="280"/>
      <c r="O727" s="2"/>
      <c r="P727" s="2"/>
      <c r="Q727" s="2"/>
      <c r="R727" s="2"/>
    </row>
    <row r="728" spans="1:18" ht="19.5" hidden="1" thickBot="1" x14ac:dyDescent="0.3">
      <c r="A728" s="991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2"/>
        <v>11,23</v>
      </c>
      <c r="L728" s="286"/>
      <c r="M728" s="286"/>
      <c r="N728" s="286"/>
      <c r="O728" s="2"/>
      <c r="P728" s="2"/>
      <c r="Q728" s="2"/>
      <c r="R728" s="2"/>
    </row>
    <row r="729" spans="1:18" ht="19.5" hidden="1" thickBot="1" x14ac:dyDescent="0.3">
      <c r="A729" s="991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2"/>
        <v>11,23</v>
      </c>
      <c r="L729" s="286"/>
      <c r="M729" s="286"/>
      <c r="N729" s="286"/>
      <c r="O729" s="2"/>
      <c r="P729" s="2"/>
      <c r="Q729" s="2"/>
      <c r="R729" s="2"/>
    </row>
    <row r="730" spans="1:18" ht="19.5" hidden="1" thickBot="1" x14ac:dyDescent="0.3">
      <c r="A730" s="991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2"/>
        <v>11,23</v>
      </c>
      <c r="L730" s="286"/>
      <c r="M730" s="286"/>
      <c r="N730" s="286"/>
      <c r="O730" s="2"/>
      <c r="P730" s="2"/>
      <c r="Q730" s="2"/>
      <c r="R730" s="2"/>
    </row>
    <row r="731" spans="1:18" ht="19.5" hidden="1" thickBot="1" x14ac:dyDescent="0.3">
      <c r="A731" s="991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2"/>
        <v>11,23</v>
      </c>
      <c r="L731" s="286"/>
      <c r="M731" s="286"/>
      <c r="N731" s="286"/>
      <c r="O731" s="2"/>
      <c r="P731" s="2"/>
      <c r="Q731" s="2"/>
      <c r="R731" s="2"/>
    </row>
    <row r="732" spans="1:18" ht="19.5" hidden="1" thickBot="1" x14ac:dyDescent="0.3">
      <c r="A732" s="991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2"/>
        <v>11,23</v>
      </c>
      <c r="L732" s="286"/>
      <c r="M732" s="286"/>
      <c r="N732" s="286"/>
      <c r="O732" s="2"/>
      <c r="P732" s="2"/>
      <c r="Q732" s="2"/>
      <c r="R732" s="2"/>
    </row>
    <row r="733" spans="1:18" ht="19.5" hidden="1" thickBot="1" x14ac:dyDescent="0.3">
      <c r="A733" s="991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2"/>
        <v>11,23</v>
      </c>
      <c r="L733" s="207"/>
      <c r="M733" s="207"/>
      <c r="N733" s="207"/>
      <c r="O733" s="2"/>
      <c r="P733" s="2"/>
      <c r="Q733" s="2"/>
      <c r="R733" s="2"/>
    </row>
    <row r="734" spans="1:18" ht="19.5" hidden="1" customHeight="1" thickBot="1" x14ac:dyDescent="0.3">
      <c r="A734" s="990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1014" t="s">
        <v>223</v>
      </c>
      <c r="K734" s="82" t="str">
        <f t="shared" si="12"/>
        <v>11,23</v>
      </c>
      <c r="L734" s="278"/>
      <c r="M734" s="278"/>
      <c r="N734" s="278"/>
      <c r="O734" s="2"/>
      <c r="P734" s="2"/>
      <c r="Q734" s="2"/>
      <c r="R734" s="2"/>
    </row>
    <row r="735" spans="1:18" ht="19.5" hidden="1" thickBot="1" x14ac:dyDescent="0.3">
      <c r="A735" s="990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1014"/>
      <c r="K735" s="98" t="str">
        <f t="shared" si="12"/>
        <v>11,23</v>
      </c>
      <c r="L735" s="281"/>
      <c r="M735" s="281"/>
      <c r="N735" s="281"/>
      <c r="O735" s="2"/>
      <c r="P735" s="2"/>
      <c r="Q735" s="2"/>
      <c r="R735" s="2"/>
    </row>
    <row r="736" spans="1:18" ht="19.5" hidden="1" thickBot="1" x14ac:dyDescent="0.3">
      <c r="A736" s="990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2"/>
        <v>11,23</v>
      </c>
      <c r="L736" s="281"/>
      <c r="M736" s="281"/>
      <c r="N736" s="281"/>
      <c r="O736" s="2"/>
      <c r="P736" s="2"/>
      <c r="Q736" s="2"/>
      <c r="R736" s="2"/>
    </row>
    <row r="737" spans="1:18" ht="19.5" hidden="1" thickBot="1" x14ac:dyDescent="0.3">
      <c r="A737" s="990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2"/>
        <v>11,23</v>
      </c>
      <c r="L737" s="281"/>
      <c r="M737" s="281"/>
      <c r="N737" s="281"/>
      <c r="O737" s="2"/>
      <c r="P737" s="2"/>
      <c r="Q737" s="2"/>
      <c r="R737" s="2"/>
    </row>
    <row r="738" spans="1:18" ht="19.5" hidden="1" thickBot="1" x14ac:dyDescent="0.3">
      <c r="A738" s="990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2"/>
        <v>11,23</v>
      </c>
      <c r="L738" s="281"/>
      <c r="M738" s="281"/>
      <c r="N738" s="281"/>
      <c r="O738" s="2"/>
      <c r="P738" s="2"/>
      <c r="Q738" s="2"/>
      <c r="R738" s="2"/>
    </row>
    <row r="739" spans="1:18" ht="19.5" hidden="1" thickBot="1" x14ac:dyDescent="0.3">
      <c r="A739" s="990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2"/>
        <v>11,23</v>
      </c>
      <c r="L739" s="281"/>
      <c r="M739" s="281"/>
      <c r="N739" s="281"/>
      <c r="O739" s="2"/>
      <c r="P739" s="2"/>
      <c r="Q739" s="2"/>
      <c r="R739" s="2"/>
    </row>
    <row r="740" spans="1:18" ht="19.5" hidden="1" thickBot="1" x14ac:dyDescent="0.3">
      <c r="A740" s="990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2"/>
        <v>11,23</v>
      </c>
      <c r="L740" s="279"/>
      <c r="M740" s="279"/>
      <c r="N740" s="279"/>
      <c r="O740" s="2"/>
      <c r="P740" s="2"/>
      <c r="Q740" s="2"/>
      <c r="R740" s="2"/>
    </row>
    <row r="741" spans="1:18" ht="19.5" hidden="1" thickBot="1" x14ac:dyDescent="0.3">
      <c r="A741" s="991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2"/>
        <v>11,23</v>
      </c>
      <c r="L741" s="280"/>
      <c r="M741" s="280"/>
      <c r="N741" s="280"/>
      <c r="O741" s="2"/>
      <c r="P741" s="2"/>
      <c r="Q741" s="2"/>
      <c r="R741" s="2"/>
    </row>
    <row r="742" spans="1:18" ht="19.5" hidden="1" thickBot="1" x14ac:dyDescent="0.3">
      <c r="A742" s="991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2"/>
        <v>11,23</v>
      </c>
      <c r="L742" s="286"/>
      <c r="M742" s="286"/>
      <c r="N742" s="286"/>
      <c r="O742" s="2"/>
      <c r="P742" s="2"/>
      <c r="Q742" s="2"/>
      <c r="R742" s="2"/>
    </row>
    <row r="743" spans="1:18" ht="19.5" hidden="1" thickBot="1" x14ac:dyDescent="0.3">
      <c r="A743" s="991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2"/>
        <v>11,23</v>
      </c>
      <c r="L743" s="207"/>
      <c r="M743" s="207"/>
      <c r="N743" s="207"/>
      <c r="O743" s="2"/>
      <c r="P743" s="2"/>
      <c r="Q743" s="2"/>
      <c r="R743" s="2"/>
    </row>
    <row r="744" spans="1:18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2"/>
        <v>11,23</v>
      </c>
      <c r="L744" s="110"/>
      <c r="M744" s="110"/>
      <c r="N744" s="110"/>
      <c r="O744" s="2"/>
      <c r="P744" s="2"/>
      <c r="Q744" s="2"/>
      <c r="R744" s="2"/>
    </row>
    <row r="745" spans="1:18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2"/>
        <v>11,23</v>
      </c>
      <c r="L745" s="111"/>
      <c r="M745" s="111"/>
      <c r="N745" s="111"/>
      <c r="O745" s="2"/>
      <c r="P745" s="2"/>
      <c r="Q745" s="2"/>
      <c r="R745" s="2"/>
    </row>
    <row r="746" spans="1:18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2"/>
        <v>11,23</v>
      </c>
      <c r="L746" s="110"/>
      <c r="M746" s="110"/>
      <c r="N746" s="110"/>
      <c r="O746" s="2"/>
      <c r="P746" s="2"/>
      <c r="Q746" s="2"/>
      <c r="R746" s="2"/>
    </row>
    <row r="747" spans="1:18" ht="19.5" hidden="1" thickBot="1" x14ac:dyDescent="0.3">
      <c r="A747" s="991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2"/>
        <v>11,23</v>
      </c>
      <c r="L747" s="280"/>
      <c r="M747" s="280"/>
      <c r="N747" s="280"/>
      <c r="O747" s="2"/>
      <c r="P747" s="2"/>
      <c r="Q747" s="2"/>
      <c r="R747" s="2"/>
    </row>
    <row r="748" spans="1:18" ht="19.5" hidden="1" thickBot="1" x14ac:dyDescent="0.3">
      <c r="A748" s="991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2"/>
        <v>11,23</v>
      </c>
      <c r="L748" s="286"/>
      <c r="M748" s="286"/>
      <c r="N748" s="286"/>
      <c r="O748" s="2"/>
      <c r="P748" s="2"/>
      <c r="Q748" s="2"/>
      <c r="R748" s="2"/>
    </row>
    <row r="749" spans="1:18" ht="19.5" hidden="1" thickBot="1" x14ac:dyDescent="0.3">
      <c r="A749" s="991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2"/>
        <v>11,23</v>
      </c>
      <c r="L749" s="286"/>
      <c r="M749" s="286"/>
      <c r="N749" s="286"/>
      <c r="O749" s="2"/>
      <c r="P749" s="2"/>
      <c r="Q749" s="2"/>
      <c r="R749" s="2"/>
    </row>
    <row r="750" spans="1:18" ht="19.5" hidden="1" thickBot="1" x14ac:dyDescent="0.3">
      <c r="A750" s="991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2"/>
        <v>11,23</v>
      </c>
      <c r="L750" s="207"/>
      <c r="M750" s="207"/>
      <c r="N750" s="207"/>
      <c r="O750" s="2"/>
      <c r="P750" s="2"/>
      <c r="Q750" s="2"/>
      <c r="R750" s="2"/>
    </row>
    <row r="751" spans="1:18" ht="19.5" hidden="1" thickBot="1" x14ac:dyDescent="0.3">
      <c r="A751" s="990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2"/>
        <v>11,23</v>
      </c>
      <c r="L751" s="278"/>
      <c r="M751" s="278"/>
      <c r="N751" s="278"/>
      <c r="O751" s="2"/>
      <c r="P751" s="2"/>
      <c r="Q751" s="2"/>
      <c r="R751" s="2"/>
    </row>
    <row r="752" spans="1:18" ht="19.5" hidden="1" thickBot="1" x14ac:dyDescent="0.3">
      <c r="A752" s="990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2"/>
        <v>11,23</v>
      </c>
      <c r="L752" s="281"/>
      <c r="M752" s="281"/>
      <c r="N752" s="281"/>
      <c r="O752" s="2"/>
      <c r="P752" s="2"/>
      <c r="Q752" s="2"/>
      <c r="R752" s="2"/>
    </row>
    <row r="753" spans="1:18" ht="19.5" hidden="1" thickBot="1" x14ac:dyDescent="0.3">
      <c r="A753" s="990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2"/>
        <v>11,23</v>
      </c>
      <c r="L753" s="281"/>
      <c r="M753" s="281"/>
      <c r="N753" s="281"/>
      <c r="O753" s="2"/>
      <c r="P753" s="2"/>
      <c r="Q753" s="2"/>
      <c r="R753" s="2"/>
    </row>
    <row r="754" spans="1:18" ht="19.5" hidden="1" thickBot="1" x14ac:dyDescent="0.3">
      <c r="A754" s="990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2"/>
        <v>11,23</v>
      </c>
      <c r="L754" s="279"/>
      <c r="M754" s="279"/>
      <c r="N754" s="279"/>
      <c r="O754" s="2"/>
      <c r="P754" s="2"/>
      <c r="Q754" s="2"/>
      <c r="R754" s="2"/>
    </row>
    <row r="755" spans="1:18" ht="19.5" hidden="1" thickBot="1" x14ac:dyDescent="0.3">
      <c r="A755" s="1000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2"/>
        <v>11,23</v>
      </c>
      <c r="L755" s="286"/>
      <c r="M755" s="286"/>
      <c r="N755" s="286"/>
      <c r="O755" s="2"/>
      <c r="P755" s="2"/>
      <c r="Q755" s="2"/>
      <c r="R755" s="2"/>
    </row>
    <row r="756" spans="1:18" ht="19.5" hidden="1" thickBot="1" x14ac:dyDescent="0.3">
      <c r="A756" s="1000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2"/>
        <v>11,23</v>
      </c>
      <c r="L756" s="286"/>
      <c r="M756" s="286"/>
      <c r="N756" s="286"/>
      <c r="O756" s="2"/>
      <c r="P756" s="2"/>
      <c r="Q756" s="2"/>
      <c r="R756" s="2"/>
    </row>
    <row r="757" spans="1:18" ht="19.5" hidden="1" thickBot="1" x14ac:dyDescent="0.3">
      <c r="A757" s="1000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2"/>
        <v>11,23</v>
      </c>
      <c r="L757" s="286"/>
      <c r="M757" s="286"/>
      <c r="N757" s="286"/>
      <c r="O757" s="2"/>
      <c r="P757" s="2"/>
      <c r="Q757" s="2"/>
      <c r="R757" s="2"/>
    </row>
    <row r="758" spans="1:18" ht="19.5" hidden="1" thickBot="1" x14ac:dyDescent="0.3">
      <c r="A758" s="1000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2"/>
        <v>11,23</v>
      </c>
      <c r="L758" s="286"/>
      <c r="M758" s="286"/>
      <c r="N758" s="286"/>
      <c r="O758" s="2"/>
      <c r="P758" s="2"/>
      <c r="Q758" s="2"/>
      <c r="R758" s="2"/>
    </row>
    <row r="759" spans="1:18" ht="19.5" hidden="1" thickBot="1" x14ac:dyDescent="0.3">
      <c r="A759" s="1000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2"/>
        <v>11,23</v>
      </c>
      <c r="L759" s="286"/>
      <c r="M759" s="286"/>
      <c r="N759" s="286"/>
      <c r="O759" s="2"/>
      <c r="P759" s="2"/>
      <c r="Q759" s="2"/>
      <c r="R759" s="2"/>
    </row>
    <row r="760" spans="1:18" ht="19.5" hidden="1" thickBot="1" x14ac:dyDescent="0.3">
      <c r="A760" s="1000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2"/>
        <v>11,23</v>
      </c>
      <c r="L760" s="288"/>
      <c r="M760" s="288"/>
      <c r="N760" s="288"/>
      <c r="O760" s="2"/>
      <c r="P760" s="2"/>
      <c r="Q760" s="2"/>
      <c r="R760" s="2"/>
    </row>
    <row r="761" spans="1:18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2"/>
        <v>11,23</v>
      </c>
      <c r="L761" s="110"/>
      <c r="M761" s="110"/>
      <c r="N761" s="110"/>
      <c r="O761" s="2"/>
      <c r="P761" s="2"/>
      <c r="Q761" s="2"/>
      <c r="R761" s="2"/>
    </row>
    <row r="762" spans="1:18" ht="19.5" hidden="1" customHeight="1" thickBot="1" x14ac:dyDescent="0.3">
      <c r="A762" s="991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993" t="s">
        <v>72</v>
      </c>
      <c r="H762" s="48" t="s">
        <v>226</v>
      </c>
      <c r="I762" s="163" t="s">
        <v>226</v>
      </c>
      <c r="J762" s="52"/>
      <c r="K762" s="48" t="str">
        <f t="shared" si="12"/>
        <v>11,23</v>
      </c>
      <c r="L762" s="280"/>
      <c r="M762" s="280"/>
      <c r="N762" s="280"/>
      <c r="O762" s="2"/>
      <c r="P762" s="2"/>
      <c r="Q762" s="2"/>
      <c r="R762" s="2"/>
    </row>
    <row r="763" spans="1:18" ht="19.5" hidden="1" thickBot="1" x14ac:dyDescent="0.3">
      <c r="A763" s="991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993"/>
      <c r="H763" s="71" t="s">
        <v>226</v>
      </c>
      <c r="I763" s="167" t="s">
        <v>226</v>
      </c>
      <c r="J763" s="168"/>
      <c r="K763" s="71" t="str">
        <f t="shared" si="12"/>
        <v>11,23</v>
      </c>
      <c r="L763" s="207"/>
      <c r="M763" s="207"/>
      <c r="N763" s="207"/>
      <c r="O763" s="2"/>
      <c r="P763" s="2"/>
      <c r="Q763" s="2"/>
      <c r="R763" s="2"/>
    </row>
    <row r="764" spans="1:18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2"/>
        <v>11,23</v>
      </c>
      <c r="L764" s="110"/>
      <c r="M764" s="110"/>
      <c r="N764" s="110"/>
      <c r="O764" s="2"/>
      <c r="P764" s="2"/>
      <c r="Q764" s="2"/>
      <c r="R764" s="2"/>
    </row>
    <row r="765" spans="1:18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2"/>
        <v>11,23</v>
      </c>
      <c r="L765" s="111"/>
      <c r="M765" s="111"/>
      <c r="N765" s="111"/>
      <c r="O765" s="2"/>
      <c r="P765" s="2"/>
      <c r="Q765" s="2"/>
      <c r="R765" s="2"/>
    </row>
    <row r="766" spans="1:18" ht="38.25" hidden="1" thickBot="1" x14ac:dyDescent="0.3">
      <c r="A766" s="990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2"/>
        <v>11,23</v>
      </c>
      <c r="L766" s="278"/>
      <c r="M766" s="278"/>
      <c r="N766" s="278"/>
      <c r="O766" s="2"/>
      <c r="P766" s="2"/>
      <c r="Q766" s="2"/>
      <c r="R766" s="2"/>
    </row>
    <row r="767" spans="1:18" ht="38.25" hidden="1" thickBot="1" x14ac:dyDescent="0.3">
      <c r="A767" s="990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2"/>
        <v>11,23</v>
      </c>
      <c r="L767" s="281"/>
      <c r="M767" s="281"/>
      <c r="N767" s="281"/>
      <c r="O767" s="2"/>
      <c r="P767" s="2"/>
      <c r="Q767" s="2"/>
      <c r="R767" s="2"/>
    </row>
    <row r="768" spans="1:18" ht="38.25" hidden="1" thickBot="1" x14ac:dyDescent="0.3">
      <c r="A768" s="990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2"/>
        <v>11,23</v>
      </c>
      <c r="L768" s="279"/>
      <c r="M768" s="279"/>
      <c r="N768" s="279"/>
      <c r="O768" s="2"/>
      <c r="P768" s="2"/>
      <c r="Q768" s="2"/>
      <c r="R768" s="2"/>
    </row>
    <row r="769" spans="1:18" ht="38.25" hidden="1" thickBot="1" x14ac:dyDescent="0.3">
      <c r="A769" s="991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2"/>
        <v>11,23</v>
      </c>
      <c r="L769" s="280"/>
      <c r="M769" s="280"/>
      <c r="N769" s="280"/>
      <c r="O769" s="2"/>
      <c r="P769" s="2"/>
      <c r="Q769" s="2"/>
      <c r="R769" s="2"/>
    </row>
    <row r="770" spans="1:18" ht="38.25" hidden="1" thickBot="1" x14ac:dyDescent="0.3">
      <c r="A770" s="991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2"/>
        <v>11,23</v>
      </c>
      <c r="L770" s="286"/>
      <c r="M770" s="286"/>
      <c r="N770" s="286"/>
      <c r="O770" s="2"/>
      <c r="P770" s="2"/>
      <c r="Q770" s="2"/>
      <c r="R770" s="2"/>
    </row>
    <row r="771" spans="1:18" ht="38.25" hidden="1" thickBot="1" x14ac:dyDescent="0.3">
      <c r="A771" s="991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3">RIGHT(H771,5)</f>
        <v>11,23</v>
      </c>
      <c r="L771" s="207"/>
      <c r="M771" s="207"/>
      <c r="N771" s="207"/>
      <c r="O771" s="2"/>
      <c r="P771" s="2"/>
      <c r="Q771" s="2"/>
      <c r="R771" s="2"/>
    </row>
    <row r="772" spans="1:18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3"/>
        <v>11,23</v>
      </c>
      <c r="L772" s="110"/>
      <c r="M772" s="110"/>
      <c r="N772" s="110"/>
      <c r="O772" s="2"/>
      <c r="P772" s="2"/>
      <c r="Q772" s="2"/>
      <c r="R772" s="2"/>
    </row>
    <row r="773" spans="1:18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3"/>
        <v>11,23</v>
      </c>
      <c r="L773" s="111"/>
      <c r="M773" s="111"/>
      <c r="N773" s="111"/>
      <c r="O773" s="2"/>
      <c r="P773" s="2"/>
      <c r="Q773" s="2"/>
      <c r="R773" s="2"/>
    </row>
    <row r="774" spans="1:18" ht="19.5" hidden="1" thickBot="1" x14ac:dyDescent="0.3">
      <c r="A774" s="996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3"/>
        <v>11,23</v>
      </c>
      <c r="L774" s="278"/>
      <c r="M774" s="278"/>
      <c r="N774" s="278"/>
      <c r="O774" s="2"/>
      <c r="P774" s="2"/>
      <c r="Q774" s="2"/>
      <c r="R774" s="2"/>
    </row>
    <row r="775" spans="1:18" ht="19.5" hidden="1" thickBot="1" x14ac:dyDescent="0.3">
      <c r="A775" s="996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3"/>
        <v>11,23</v>
      </c>
      <c r="L775" s="281"/>
      <c r="M775" s="281"/>
      <c r="N775" s="281"/>
      <c r="O775" s="2"/>
      <c r="P775" s="2"/>
      <c r="Q775" s="2"/>
      <c r="R775" s="2"/>
    </row>
    <row r="776" spans="1:18" ht="19.5" hidden="1" thickBot="1" x14ac:dyDescent="0.3">
      <c r="A776" s="996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3"/>
        <v>11,23</v>
      </c>
      <c r="L776" s="281"/>
      <c r="M776" s="281"/>
      <c r="N776" s="281"/>
      <c r="O776" s="2"/>
      <c r="P776" s="2"/>
      <c r="Q776" s="2"/>
      <c r="R776" s="2"/>
    </row>
    <row r="777" spans="1:18" ht="19.5" hidden="1" thickBot="1" x14ac:dyDescent="0.3">
      <c r="A777" s="996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3"/>
        <v>11,23</v>
      </c>
      <c r="L777" s="281"/>
      <c r="M777" s="281"/>
      <c r="N777" s="281"/>
      <c r="O777" s="2"/>
      <c r="P777" s="2"/>
      <c r="Q777" s="2"/>
      <c r="R777" s="2"/>
    </row>
    <row r="778" spans="1:18" ht="19.5" hidden="1" thickBot="1" x14ac:dyDescent="0.3">
      <c r="A778" s="996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3"/>
        <v>11,23</v>
      </c>
      <c r="L778" s="282"/>
      <c r="M778" s="282"/>
      <c r="N778" s="282"/>
      <c r="O778" s="2"/>
      <c r="P778" s="2"/>
      <c r="Q778" s="2"/>
      <c r="R778" s="2"/>
    </row>
    <row r="779" spans="1:18" ht="38.25" hidden="1" thickBot="1" x14ac:dyDescent="0.3">
      <c r="A779" s="991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3"/>
        <v>11,23</v>
      </c>
      <c r="L779" s="280"/>
      <c r="M779" s="280"/>
      <c r="N779" s="280"/>
      <c r="O779" s="2"/>
      <c r="P779" s="2"/>
      <c r="Q779" s="2"/>
      <c r="R779" s="2"/>
    </row>
    <row r="780" spans="1:18" ht="57" hidden="1" thickBot="1" x14ac:dyDescent="0.3">
      <c r="A780" s="991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3"/>
        <v>11,23</v>
      </c>
      <c r="L780" s="300"/>
      <c r="M780" s="300"/>
      <c r="N780" s="300"/>
      <c r="O780" s="2"/>
      <c r="P780" s="2"/>
      <c r="Q780" s="2"/>
      <c r="R780" s="2"/>
    </row>
    <row r="781" spans="1:18" ht="38.25" hidden="1" thickBot="1" x14ac:dyDescent="0.3">
      <c r="A781" s="991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3"/>
        <v>11,23</v>
      </c>
      <c r="L781" s="302"/>
      <c r="M781" s="302"/>
      <c r="N781" s="302"/>
      <c r="O781" s="2"/>
      <c r="P781" s="2"/>
      <c r="Q781" s="2"/>
      <c r="R781" s="2"/>
    </row>
    <row r="782" spans="1:18" ht="19.5" hidden="1" thickBot="1" x14ac:dyDescent="0.3">
      <c r="A782" s="991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3"/>
        <v>11,23</v>
      </c>
      <c r="L782" s="302"/>
      <c r="M782" s="302"/>
      <c r="N782" s="302"/>
      <c r="O782" s="2"/>
      <c r="P782" s="2"/>
      <c r="Q782" s="2"/>
      <c r="R782" s="2"/>
    </row>
    <row r="783" spans="1:18" ht="19.5" hidden="1" thickBot="1" x14ac:dyDescent="0.3">
      <c r="A783" s="991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3"/>
        <v>11,23</v>
      </c>
      <c r="L783" s="304"/>
      <c r="M783" s="304"/>
      <c r="N783" s="304"/>
      <c r="O783" s="2"/>
      <c r="P783" s="2"/>
      <c r="Q783" s="2"/>
      <c r="R783" s="2"/>
    </row>
    <row r="784" spans="1:18" ht="19.5" hidden="1" thickBot="1" x14ac:dyDescent="0.3">
      <c r="A784" s="997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3"/>
        <v>11,23</v>
      </c>
      <c r="L784" s="281"/>
      <c r="M784" s="281"/>
      <c r="N784" s="281"/>
      <c r="O784" s="2"/>
      <c r="P784" s="2"/>
      <c r="Q784" s="2"/>
      <c r="R784" s="2"/>
    </row>
    <row r="785" spans="1:18" ht="19.5" hidden="1" thickBot="1" x14ac:dyDescent="0.3">
      <c r="A785" s="997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3"/>
        <v>11,23</v>
      </c>
      <c r="L785" s="279"/>
      <c r="M785" s="279"/>
      <c r="N785" s="279"/>
      <c r="O785" s="2"/>
      <c r="P785" s="2"/>
      <c r="Q785" s="2"/>
      <c r="R785" s="2"/>
    </row>
    <row r="786" spans="1:18" ht="19.5" hidden="1" thickBot="1" x14ac:dyDescent="0.3">
      <c r="A786" s="991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3"/>
        <v>11,23</v>
      </c>
      <c r="L786" s="280"/>
      <c r="M786" s="280"/>
      <c r="N786" s="280"/>
      <c r="O786" s="2"/>
      <c r="P786" s="2"/>
      <c r="Q786" s="2"/>
      <c r="R786" s="2"/>
    </row>
    <row r="787" spans="1:18" ht="19.5" hidden="1" thickBot="1" x14ac:dyDescent="0.3">
      <c r="A787" s="991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3"/>
        <v>11,23</v>
      </c>
      <c r="L787" s="286"/>
      <c r="M787" s="286"/>
      <c r="N787" s="286"/>
      <c r="O787" s="2"/>
      <c r="P787" s="2"/>
      <c r="Q787" s="2"/>
      <c r="R787" s="2"/>
    </row>
    <row r="788" spans="1:18" ht="19.5" hidden="1" thickBot="1" x14ac:dyDescent="0.3">
      <c r="A788" s="991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3"/>
        <v>11,23</v>
      </c>
      <c r="L788" s="207"/>
      <c r="M788" s="207"/>
      <c r="N788" s="207"/>
      <c r="O788" s="2"/>
      <c r="P788" s="2"/>
      <c r="Q788" s="2"/>
      <c r="R788" s="2"/>
    </row>
    <row r="789" spans="1:18" ht="19.5" hidden="1" thickBot="1" x14ac:dyDescent="0.3">
      <c r="A789" s="990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3"/>
        <v>11,23</v>
      </c>
      <c r="L789" s="278"/>
      <c r="M789" s="278"/>
      <c r="N789" s="278"/>
      <c r="O789" s="2"/>
      <c r="P789" s="2"/>
      <c r="Q789" s="2"/>
      <c r="R789" s="2"/>
    </row>
    <row r="790" spans="1:18" ht="19.5" hidden="1" thickBot="1" x14ac:dyDescent="0.3">
      <c r="A790" s="990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3"/>
        <v>11,23</v>
      </c>
      <c r="L790" s="279"/>
      <c r="M790" s="279"/>
      <c r="N790" s="279"/>
      <c r="O790" s="2"/>
      <c r="P790" s="2"/>
      <c r="Q790" s="2"/>
      <c r="R790" s="2"/>
    </row>
    <row r="791" spans="1:18" ht="19.5" hidden="1" thickBot="1" x14ac:dyDescent="0.3">
      <c r="A791" s="991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3"/>
        <v>11,23</v>
      </c>
      <c r="L791" s="280"/>
      <c r="M791" s="280"/>
      <c r="N791" s="280"/>
      <c r="O791" s="2"/>
      <c r="P791" s="2"/>
      <c r="Q791" s="2"/>
      <c r="R791" s="2"/>
    </row>
    <row r="792" spans="1:18" ht="19.5" hidden="1" thickBot="1" x14ac:dyDescent="0.3">
      <c r="A792" s="991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3"/>
        <v>11,23</v>
      </c>
      <c r="L792" s="207"/>
      <c r="M792" s="207"/>
      <c r="N792" s="207"/>
      <c r="O792" s="2"/>
      <c r="P792" s="2"/>
      <c r="Q792" s="2"/>
      <c r="R792" s="2"/>
    </row>
    <row r="793" spans="1:18" ht="19.5" hidden="1" thickBot="1" x14ac:dyDescent="0.3">
      <c r="A793" s="990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3"/>
        <v>11,23</v>
      </c>
      <c r="L793" s="278"/>
      <c r="M793" s="278"/>
      <c r="N793" s="278"/>
      <c r="O793" s="2"/>
      <c r="P793" s="2"/>
      <c r="Q793" s="2"/>
      <c r="R793" s="2"/>
    </row>
    <row r="794" spans="1:18" ht="19.5" hidden="1" thickBot="1" x14ac:dyDescent="0.3">
      <c r="A794" s="990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3"/>
        <v>11,23</v>
      </c>
      <c r="L794" s="281"/>
      <c r="M794" s="281"/>
      <c r="N794" s="281"/>
      <c r="O794" s="2"/>
      <c r="P794" s="2"/>
      <c r="Q794" s="2"/>
      <c r="R794" s="2"/>
    </row>
    <row r="795" spans="1:18" ht="19.5" hidden="1" thickBot="1" x14ac:dyDescent="0.3">
      <c r="A795" s="990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3"/>
        <v>11,23</v>
      </c>
      <c r="L795" s="281"/>
      <c r="M795" s="281"/>
      <c r="N795" s="281"/>
      <c r="O795" s="2"/>
      <c r="P795" s="2"/>
      <c r="Q795" s="2"/>
      <c r="R795" s="2"/>
    </row>
    <row r="796" spans="1:18" ht="19.5" hidden="1" thickBot="1" x14ac:dyDescent="0.3">
      <c r="A796" s="990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3"/>
        <v>11,23</v>
      </c>
      <c r="L796" s="279"/>
      <c r="M796" s="279"/>
      <c r="N796" s="279"/>
      <c r="O796" s="2"/>
      <c r="P796" s="2"/>
      <c r="Q796" s="2"/>
      <c r="R796" s="2"/>
    </row>
    <row r="797" spans="1:18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3"/>
        <v>11,23</v>
      </c>
      <c r="L797" s="111"/>
      <c r="M797" s="111"/>
      <c r="N797" s="111"/>
      <c r="O797" s="2"/>
      <c r="P797" s="2"/>
      <c r="Q797" s="2"/>
      <c r="R797" s="2"/>
    </row>
    <row r="798" spans="1:18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3"/>
        <v>11,23</v>
      </c>
      <c r="L798" s="110"/>
      <c r="M798" s="110"/>
      <c r="N798" s="110"/>
      <c r="O798" s="2"/>
      <c r="P798" s="2"/>
      <c r="Q798" s="2"/>
      <c r="R798" s="2"/>
    </row>
    <row r="799" spans="1:18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3"/>
        <v>11,23</v>
      </c>
      <c r="L799" s="111"/>
      <c r="M799" s="111"/>
      <c r="N799" s="111"/>
      <c r="O799" s="2"/>
      <c r="P799" s="2"/>
      <c r="Q799" s="2"/>
      <c r="R799" s="2"/>
    </row>
    <row r="800" spans="1:18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3"/>
        <v>11,23</v>
      </c>
      <c r="L800" s="110"/>
      <c r="M800" s="110"/>
      <c r="N800" s="110"/>
      <c r="O800" s="2"/>
      <c r="P800" s="2"/>
      <c r="Q800" s="2"/>
      <c r="R800" s="2"/>
    </row>
    <row r="801" spans="1:18" ht="19.5" hidden="1" thickBot="1" x14ac:dyDescent="0.3">
      <c r="A801" s="991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3"/>
        <v>11,23</v>
      </c>
      <c r="L801" s="280"/>
      <c r="M801" s="280"/>
      <c r="N801" s="280"/>
      <c r="O801" s="2"/>
      <c r="P801" s="2"/>
      <c r="Q801" s="2"/>
      <c r="R801" s="2"/>
    </row>
    <row r="802" spans="1:18" ht="19.5" hidden="1" thickBot="1" x14ac:dyDescent="0.3">
      <c r="A802" s="991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3"/>
        <v>11,23</v>
      </c>
      <c r="L802" s="207"/>
      <c r="M802" s="207"/>
      <c r="N802" s="207"/>
      <c r="O802" s="2"/>
      <c r="P802" s="2"/>
      <c r="Q802" s="2"/>
      <c r="R802" s="2"/>
    </row>
    <row r="803" spans="1:18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3"/>
        <v>11,23</v>
      </c>
      <c r="L803" s="110"/>
      <c r="M803" s="110"/>
      <c r="N803" s="110"/>
      <c r="O803" s="2"/>
      <c r="P803" s="2"/>
      <c r="Q803" s="2"/>
      <c r="R803" s="2"/>
    </row>
    <row r="804" spans="1:18" ht="19.5" hidden="1" thickBot="1" x14ac:dyDescent="0.3">
      <c r="A804" s="991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3"/>
        <v>11,23</v>
      </c>
      <c r="L804" s="280"/>
      <c r="M804" s="280"/>
      <c r="N804" s="280"/>
      <c r="O804" s="2"/>
      <c r="P804" s="2"/>
      <c r="Q804" s="2"/>
      <c r="R804" s="2"/>
    </row>
    <row r="805" spans="1:18" ht="19.5" hidden="1" thickBot="1" x14ac:dyDescent="0.3">
      <c r="A805" s="991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3"/>
        <v>11,23</v>
      </c>
      <c r="L805" s="286"/>
      <c r="M805" s="286"/>
      <c r="N805" s="286"/>
      <c r="O805" s="2"/>
      <c r="P805" s="2"/>
      <c r="Q805" s="2"/>
      <c r="R805" s="2"/>
    </row>
    <row r="806" spans="1:18" ht="19.5" hidden="1" thickBot="1" x14ac:dyDescent="0.3">
      <c r="A806" s="991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3"/>
        <v>11,23</v>
      </c>
      <c r="L806" s="286"/>
      <c r="M806" s="286"/>
      <c r="N806" s="286"/>
      <c r="O806" s="2"/>
      <c r="P806" s="2"/>
      <c r="Q806" s="2"/>
      <c r="R806" s="2"/>
    </row>
    <row r="807" spans="1:18" ht="19.5" hidden="1" thickBot="1" x14ac:dyDescent="0.3">
      <c r="A807" s="991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3"/>
        <v>11,23</v>
      </c>
      <c r="L807" s="286"/>
      <c r="M807" s="286"/>
      <c r="N807" s="286"/>
      <c r="O807" s="2"/>
      <c r="P807" s="2"/>
      <c r="Q807" s="2"/>
      <c r="R807" s="2"/>
    </row>
    <row r="808" spans="1:18" ht="19.5" hidden="1" thickBot="1" x14ac:dyDescent="0.3">
      <c r="A808" s="991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3"/>
        <v>11,23</v>
      </c>
      <c r="L808" s="207"/>
      <c r="M808" s="207"/>
      <c r="N808" s="207"/>
      <c r="O808" s="2"/>
      <c r="P808" s="2"/>
      <c r="Q808" s="2"/>
      <c r="R808" s="2"/>
    </row>
    <row r="809" spans="1:18" ht="19.5" hidden="1" thickBot="1" x14ac:dyDescent="0.3">
      <c r="A809" s="990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3"/>
        <v>11,23</v>
      </c>
      <c r="L809" s="278"/>
      <c r="M809" s="278"/>
      <c r="N809" s="278"/>
      <c r="O809" s="2"/>
      <c r="P809" s="2"/>
      <c r="Q809" s="2"/>
      <c r="R809" s="2"/>
    </row>
    <row r="810" spans="1:18" ht="19.5" hidden="1" thickBot="1" x14ac:dyDescent="0.3">
      <c r="A810" s="990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3"/>
        <v>11,23</v>
      </c>
      <c r="L810" s="281"/>
      <c r="M810" s="281"/>
      <c r="N810" s="281"/>
      <c r="O810" s="2"/>
      <c r="P810" s="2"/>
      <c r="Q810" s="2"/>
      <c r="R810" s="2"/>
    </row>
    <row r="811" spans="1:18" ht="19.5" hidden="1" thickBot="1" x14ac:dyDescent="0.3">
      <c r="A811" s="990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3"/>
        <v>11,23</v>
      </c>
      <c r="L811" s="281"/>
      <c r="M811" s="281"/>
      <c r="N811" s="281"/>
      <c r="O811" s="2"/>
      <c r="P811" s="2"/>
      <c r="Q811" s="2"/>
      <c r="R811" s="2"/>
    </row>
    <row r="812" spans="1:18" ht="19.5" hidden="1" thickBot="1" x14ac:dyDescent="0.3">
      <c r="A812" s="990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3"/>
        <v>11,23</v>
      </c>
      <c r="L812" s="279"/>
      <c r="M812" s="279"/>
      <c r="N812" s="279"/>
      <c r="O812" s="2"/>
      <c r="P812" s="2"/>
      <c r="Q812" s="2"/>
      <c r="R812" s="2"/>
    </row>
    <row r="813" spans="1:18" ht="19.5" hidden="1" thickBot="1" x14ac:dyDescent="0.3">
      <c r="A813" s="991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3"/>
        <v>11,23</v>
      </c>
      <c r="L813" s="280"/>
      <c r="M813" s="280"/>
      <c r="N813" s="280"/>
      <c r="O813" s="2"/>
      <c r="P813" s="2"/>
      <c r="Q813" s="2"/>
      <c r="R813" s="2"/>
    </row>
    <row r="814" spans="1:18" ht="19.5" hidden="1" thickBot="1" x14ac:dyDescent="0.3">
      <c r="A814" s="991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3"/>
        <v>11,23</v>
      </c>
      <c r="L814" s="207"/>
      <c r="M814" s="207"/>
      <c r="N814" s="207"/>
      <c r="O814" s="2"/>
      <c r="P814" s="2"/>
      <c r="Q814" s="2"/>
      <c r="R814" s="2"/>
    </row>
    <row r="815" spans="1:18" ht="19.5" hidden="1" customHeight="1" thickBot="1" x14ac:dyDescent="0.3">
      <c r="A815" s="990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992" t="s">
        <v>72</v>
      </c>
      <c r="H815" s="82" t="s">
        <v>238</v>
      </c>
      <c r="I815" s="114" t="s">
        <v>238</v>
      </c>
      <c r="J815" s="86"/>
      <c r="K815" s="82" t="str">
        <f t="shared" si="13"/>
        <v>11,23</v>
      </c>
      <c r="L815" s="278"/>
      <c r="M815" s="278"/>
      <c r="N815" s="278"/>
      <c r="O815" s="2"/>
      <c r="P815" s="2"/>
      <c r="Q815" s="2"/>
      <c r="R815" s="2"/>
    </row>
    <row r="816" spans="1:18" ht="19.5" hidden="1" thickBot="1" x14ac:dyDescent="0.3">
      <c r="A816" s="990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992"/>
      <c r="H816" s="90" t="s">
        <v>238</v>
      </c>
      <c r="I816" s="176" t="s">
        <v>238</v>
      </c>
      <c r="J816" s="173"/>
      <c r="K816" s="90" t="str">
        <f t="shared" si="13"/>
        <v>11,23</v>
      </c>
      <c r="L816" s="279"/>
      <c r="M816" s="279"/>
      <c r="N816" s="279"/>
      <c r="O816" s="2"/>
      <c r="P816" s="2"/>
      <c r="Q816" s="2"/>
      <c r="R816" s="2"/>
    </row>
    <row r="817" spans="1:18" ht="57" hidden="1" thickBot="1" x14ac:dyDescent="0.3">
      <c r="A817" s="991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3"/>
        <v>11,23</v>
      </c>
      <c r="L817" s="280"/>
      <c r="M817" s="280"/>
      <c r="N817" s="280"/>
      <c r="O817" s="2"/>
      <c r="P817" s="2"/>
      <c r="Q817" s="2"/>
      <c r="R817" s="2"/>
    </row>
    <row r="818" spans="1:18" ht="38.25" hidden="1" thickBot="1" x14ac:dyDescent="0.3">
      <c r="A818" s="991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3"/>
        <v>11,23</v>
      </c>
      <c r="L818" s="286"/>
      <c r="M818" s="286"/>
      <c r="N818" s="286"/>
      <c r="O818" s="2"/>
      <c r="P818" s="2"/>
      <c r="Q818" s="2"/>
      <c r="R818" s="2"/>
    </row>
    <row r="819" spans="1:18" ht="57" hidden="1" thickBot="1" x14ac:dyDescent="0.3">
      <c r="A819" s="991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3"/>
        <v>11,23</v>
      </c>
      <c r="L819" s="207"/>
      <c r="M819" s="207"/>
      <c r="N819" s="207"/>
      <c r="O819" s="2"/>
      <c r="P819" s="2"/>
      <c r="Q819" s="2"/>
      <c r="R819" s="2"/>
    </row>
    <row r="820" spans="1:18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3"/>
        <v>11,23</v>
      </c>
      <c r="L820" s="110"/>
      <c r="M820" s="110"/>
      <c r="N820" s="110"/>
      <c r="O820" s="2"/>
      <c r="P820" s="2"/>
      <c r="Q820" s="2"/>
      <c r="R820" s="2"/>
    </row>
    <row r="821" spans="1:18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3"/>
        <v>11,23</v>
      </c>
      <c r="L821" s="111"/>
      <c r="M821" s="111"/>
      <c r="N821" s="111"/>
      <c r="O821" s="2"/>
      <c r="P821" s="2"/>
      <c r="Q821" s="2"/>
      <c r="R821" s="2"/>
    </row>
    <row r="822" spans="1:18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3"/>
        <v>11,23</v>
      </c>
      <c r="L822" s="110"/>
      <c r="M822" s="110"/>
      <c r="N822" s="110"/>
      <c r="O822" s="2"/>
      <c r="P822" s="2"/>
      <c r="Q822" s="2"/>
      <c r="R822" s="2"/>
    </row>
    <row r="823" spans="1:18" ht="19.5" hidden="1" thickBot="1" x14ac:dyDescent="0.3">
      <c r="A823" s="991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3"/>
        <v>11,23</v>
      </c>
      <c r="L823" s="280"/>
      <c r="M823" s="280"/>
      <c r="N823" s="280"/>
      <c r="O823" s="2"/>
      <c r="P823" s="2"/>
      <c r="Q823" s="2"/>
      <c r="R823" s="2"/>
    </row>
    <row r="824" spans="1:18" ht="19.5" hidden="1" thickBot="1" x14ac:dyDescent="0.3">
      <c r="A824" s="991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3"/>
        <v>11,23</v>
      </c>
      <c r="L824" s="286"/>
      <c r="M824" s="286"/>
      <c r="N824" s="286"/>
      <c r="O824" s="2"/>
      <c r="P824" s="2"/>
      <c r="Q824" s="2"/>
      <c r="R824" s="2"/>
    </row>
    <row r="825" spans="1:18" ht="19.5" hidden="1" thickBot="1" x14ac:dyDescent="0.3">
      <c r="A825" s="991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3"/>
        <v>11,23</v>
      </c>
      <c r="L825" s="286"/>
      <c r="M825" s="286"/>
      <c r="N825" s="286"/>
      <c r="O825" s="2"/>
      <c r="P825" s="2"/>
      <c r="Q825" s="2"/>
      <c r="R825" s="2"/>
    </row>
    <row r="826" spans="1:18" ht="19.5" hidden="1" thickBot="1" x14ac:dyDescent="0.3">
      <c r="A826" s="991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3"/>
        <v>11,23</v>
      </c>
      <c r="L826" s="286"/>
      <c r="M826" s="286"/>
      <c r="N826" s="286"/>
      <c r="O826" s="2"/>
      <c r="P826" s="2"/>
      <c r="Q826" s="2"/>
      <c r="R826" s="2"/>
    </row>
    <row r="827" spans="1:18" ht="19.5" hidden="1" thickBot="1" x14ac:dyDescent="0.3">
      <c r="A827" s="991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3"/>
        <v>11,23</v>
      </c>
      <c r="L827" s="286"/>
      <c r="M827" s="286"/>
      <c r="N827" s="286"/>
      <c r="O827" s="2"/>
      <c r="P827" s="2"/>
      <c r="Q827" s="2"/>
      <c r="R827" s="2"/>
    </row>
    <row r="828" spans="1:18" ht="19.5" hidden="1" thickBot="1" x14ac:dyDescent="0.3">
      <c r="A828" s="991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3"/>
        <v>11,23</v>
      </c>
      <c r="L828" s="286"/>
      <c r="M828" s="286"/>
      <c r="N828" s="286"/>
      <c r="O828" s="2"/>
      <c r="P828" s="2"/>
      <c r="Q828" s="2"/>
      <c r="R828" s="2"/>
    </row>
    <row r="829" spans="1:18" ht="19.5" hidden="1" thickBot="1" x14ac:dyDescent="0.3">
      <c r="A829" s="991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3"/>
        <v>11,23</v>
      </c>
      <c r="L829" s="207"/>
      <c r="M829" s="207"/>
      <c r="N829" s="207"/>
      <c r="O829" s="2"/>
      <c r="P829" s="2"/>
      <c r="Q829" s="2"/>
      <c r="R829" s="2"/>
    </row>
    <row r="830" spans="1:18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3"/>
        <v>11,23</v>
      </c>
      <c r="L830" s="110"/>
      <c r="M830" s="110"/>
      <c r="N830" s="110"/>
      <c r="O830" s="2"/>
      <c r="P830" s="2"/>
      <c r="Q830" s="2"/>
      <c r="R830" s="2"/>
    </row>
    <row r="831" spans="1:18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3"/>
        <v>11,23</v>
      </c>
      <c r="L831" s="111"/>
      <c r="M831" s="111"/>
      <c r="N831" s="111"/>
      <c r="O831" s="2"/>
      <c r="P831" s="2"/>
      <c r="Q831" s="2"/>
      <c r="R831" s="2"/>
    </row>
    <row r="832" spans="1:18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3"/>
        <v>11,23</v>
      </c>
      <c r="L832" s="110"/>
      <c r="M832" s="110"/>
      <c r="N832" s="110"/>
      <c r="O832" s="2"/>
      <c r="P832" s="2"/>
      <c r="Q832" s="2"/>
      <c r="R832" s="2"/>
    </row>
    <row r="833" spans="1:18" ht="19.5" hidden="1" thickBot="1" x14ac:dyDescent="0.3">
      <c r="A833" s="991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3"/>
        <v>11,23</v>
      </c>
      <c r="L833" s="280"/>
      <c r="M833" s="280"/>
      <c r="N833" s="280"/>
      <c r="O833" s="2"/>
      <c r="P833" s="2"/>
      <c r="Q833" s="2"/>
      <c r="R833" s="2"/>
    </row>
    <row r="834" spans="1:18" ht="19.5" hidden="1" thickBot="1" x14ac:dyDescent="0.3">
      <c r="A834" s="991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3"/>
        <v>11,23</v>
      </c>
      <c r="L834" s="286"/>
      <c r="M834" s="286"/>
      <c r="N834" s="286"/>
      <c r="O834" s="2"/>
      <c r="P834" s="2"/>
      <c r="Q834" s="2"/>
      <c r="R834" s="2"/>
    </row>
    <row r="835" spans="1:18" ht="19.5" hidden="1" thickBot="1" x14ac:dyDescent="0.3">
      <c r="A835" s="991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4">RIGHT(H835,5)</f>
        <v>11,23</v>
      </c>
      <c r="L835" s="207"/>
      <c r="M835" s="207"/>
      <c r="N835" s="207"/>
      <c r="O835" s="2"/>
      <c r="P835" s="2"/>
      <c r="Q835" s="2"/>
      <c r="R835" s="2"/>
    </row>
    <row r="836" spans="1:18" ht="19.5" hidden="1" thickBot="1" x14ac:dyDescent="0.3">
      <c r="A836" s="990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4"/>
        <v>11,23</v>
      </c>
      <c r="L836" s="278"/>
      <c r="M836" s="278"/>
      <c r="N836" s="278"/>
      <c r="O836" s="2"/>
      <c r="P836" s="2"/>
      <c r="Q836" s="2"/>
      <c r="R836" s="2"/>
    </row>
    <row r="837" spans="1:18" ht="19.5" hidden="1" thickBot="1" x14ac:dyDescent="0.3">
      <c r="A837" s="990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4"/>
        <v>11,23</v>
      </c>
      <c r="L837" s="281"/>
      <c r="M837" s="281"/>
      <c r="N837" s="281"/>
      <c r="O837" s="2"/>
      <c r="P837" s="2"/>
      <c r="Q837" s="2"/>
      <c r="R837" s="2"/>
    </row>
    <row r="838" spans="1:18" ht="19.5" hidden="1" thickBot="1" x14ac:dyDescent="0.3">
      <c r="A838" s="990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4"/>
        <v>11,23</v>
      </c>
      <c r="L838" s="279"/>
      <c r="M838" s="279"/>
      <c r="N838" s="279"/>
      <c r="O838" s="2"/>
      <c r="P838" s="2"/>
      <c r="Q838" s="2"/>
      <c r="R838" s="2"/>
    </row>
    <row r="839" spans="1:18" ht="19.5" hidden="1" thickBot="1" x14ac:dyDescent="0.3">
      <c r="A839" s="991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4"/>
        <v>11,23</v>
      </c>
      <c r="L839" s="280"/>
      <c r="M839" s="280"/>
      <c r="N839" s="280"/>
      <c r="O839" s="2"/>
      <c r="P839" s="2"/>
      <c r="Q839" s="2"/>
      <c r="R839" s="2"/>
    </row>
    <row r="840" spans="1:18" ht="19.5" hidden="1" thickBot="1" x14ac:dyDescent="0.3">
      <c r="A840" s="991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4"/>
        <v>11,23</v>
      </c>
      <c r="L840" s="286"/>
      <c r="M840" s="286"/>
      <c r="N840" s="286"/>
      <c r="O840" s="2"/>
      <c r="P840" s="2"/>
      <c r="Q840" s="2"/>
      <c r="R840" s="2"/>
    </row>
    <row r="841" spans="1:18" ht="19.5" hidden="1" thickBot="1" x14ac:dyDescent="0.3">
      <c r="A841" s="991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4"/>
        <v>11,23</v>
      </c>
      <c r="L841" s="207"/>
      <c r="M841" s="207"/>
      <c r="N841" s="207"/>
      <c r="O841" s="2"/>
      <c r="P841" s="2"/>
      <c r="Q841" s="2"/>
      <c r="R841" s="2"/>
    </row>
    <row r="842" spans="1:18" ht="19.5" hidden="1" thickBot="1" x14ac:dyDescent="0.3">
      <c r="A842" s="990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4"/>
        <v>11,23</v>
      </c>
      <c r="L842" s="278"/>
      <c r="M842" s="278"/>
      <c r="N842" s="278"/>
      <c r="O842" s="2"/>
      <c r="P842" s="2"/>
      <c r="Q842" s="2"/>
      <c r="R842" s="2"/>
    </row>
    <row r="843" spans="1:18" ht="19.5" hidden="1" thickBot="1" x14ac:dyDescent="0.3">
      <c r="A843" s="990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4"/>
        <v>11,23</v>
      </c>
      <c r="L843" s="279"/>
      <c r="M843" s="279"/>
      <c r="N843" s="279"/>
      <c r="O843" s="2"/>
      <c r="P843" s="2"/>
      <c r="Q843" s="2"/>
      <c r="R843" s="2"/>
    </row>
    <row r="844" spans="1:18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4"/>
        <v>11,23</v>
      </c>
      <c r="L844" s="111"/>
      <c r="M844" s="111"/>
      <c r="N844" s="111"/>
      <c r="O844" s="2"/>
      <c r="P844" s="2"/>
      <c r="Q844" s="2"/>
      <c r="R844" s="2"/>
    </row>
    <row r="845" spans="1:18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4"/>
        <v>11,23</v>
      </c>
      <c r="L845" s="110"/>
      <c r="M845" s="110"/>
      <c r="N845" s="110"/>
      <c r="O845" s="2"/>
      <c r="P845" s="2"/>
      <c r="Q845" s="2"/>
      <c r="R845" s="2"/>
    </row>
    <row r="846" spans="1:18" ht="19.5" hidden="1" thickBot="1" x14ac:dyDescent="0.3">
      <c r="A846" s="991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4"/>
        <v>11,23</v>
      </c>
      <c r="L846" s="280"/>
      <c r="M846" s="280"/>
      <c r="N846" s="280"/>
      <c r="O846" s="2"/>
      <c r="P846" s="2"/>
      <c r="Q846" s="2"/>
      <c r="R846" s="2"/>
    </row>
    <row r="847" spans="1:18" ht="19.5" hidden="1" thickBot="1" x14ac:dyDescent="0.3">
      <c r="A847" s="991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4"/>
        <v>11,23</v>
      </c>
      <c r="L847" s="286"/>
      <c r="M847" s="286"/>
      <c r="N847" s="286"/>
      <c r="O847" s="2"/>
      <c r="P847" s="2"/>
      <c r="Q847" s="2"/>
      <c r="R847" s="2"/>
    </row>
    <row r="848" spans="1:18" ht="19.5" hidden="1" thickBot="1" x14ac:dyDescent="0.3">
      <c r="A848" s="991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4"/>
        <v>11,23</v>
      </c>
      <c r="L848" s="286"/>
      <c r="M848" s="286"/>
      <c r="N848" s="286"/>
      <c r="O848" s="2"/>
      <c r="P848" s="2"/>
      <c r="Q848" s="2"/>
      <c r="R848" s="2"/>
    </row>
    <row r="849" spans="1:18" ht="19.5" hidden="1" thickBot="1" x14ac:dyDescent="0.3">
      <c r="A849" s="991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4"/>
        <v>11,23</v>
      </c>
      <c r="L849" s="207"/>
      <c r="M849" s="207"/>
      <c r="N849" s="207"/>
      <c r="O849" s="2"/>
      <c r="P849" s="2"/>
      <c r="Q849" s="2"/>
      <c r="R849" s="2"/>
    </row>
    <row r="850" spans="1:18" ht="19.5" hidden="1" thickBot="1" x14ac:dyDescent="0.3">
      <c r="A850" s="990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4"/>
        <v>11,23</v>
      </c>
      <c r="L850" s="278"/>
      <c r="M850" s="278"/>
      <c r="N850" s="278"/>
      <c r="O850" s="2"/>
      <c r="P850" s="2"/>
      <c r="Q850" s="2"/>
      <c r="R850" s="2"/>
    </row>
    <row r="851" spans="1:18" ht="19.5" hidden="1" thickBot="1" x14ac:dyDescent="0.3">
      <c r="A851" s="990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4"/>
        <v>11,23</v>
      </c>
      <c r="L851" s="281"/>
      <c r="M851" s="281"/>
      <c r="N851" s="281"/>
      <c r="O851" s="2"/>
      <c r="P851" s="2"/>
      <c r="Q851" s="2"/>
      <c r="R851" s="2"/>
    </row>
    <row r="852" spans="1:18" ht="19.5" hidden="1" thickBot="1" x14ac:dyDescent="0.3">
      <c r="A852" s="990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4"/>
        <v>11,23</v>
      </c>
      <c r="L852" s="279"/>
      <c r="M852" s="279"/>
      <c r="N852" s="279"/>
      <c r="O852" s="2"/>
      <c r="P852" s="2"/>
      <c r="Q852" s="2"/>
      <c r="R852" s="2"/>
    </row>
    <row r="853" spans="1:18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4"/>
        <v>11,23</v>
      </c>
      <c r="L853" s="111"/>
      <c r="M853" s="111"/>
      <c r="N853" s="111"/>
      <c r="O853" s="2"/>
      <c r="P853" s="2"/>
      <c r="Q853" s="2"/>
      <c r="R853" s="2"/>
    </row>
    <row r="854" spans="1:18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4"/>
        <v>11,23</v>
      </c>
      <c r="L854" s="110"/>
      <c r="M854" s="110"/>
      <c r="N854" s="110"/>
      <c r="O854" s="2"/>
      <c r="P854" s="2"/>
      <c r="Q854" s="2"/>
      <c r="R854" s="2"/>
    </row>
    <row r="855" spans="1:18" ht="19.5" hidden="1" thickBot="1" x14ac:dyDescent="0.3">
      <c r="A855" s="991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4"/>
        <v>11,23</v>
      </c>
      <c r="L855" s="280"/>
      <c r="M855" s="280"/>
      <c r="N855" s="280"/>
      <c r="O855" s="2"/>
      <c r="P855" s="2"/>
      <c r="Q855" s="2"/>
      <c r="R855" s="2"/>
    </row>
    <row r="856" spans="1:18" ht="19.5" hidden="1" thickBot="1" x14ac:dyDescent="0.3">
      <c r="A856" s="991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4"/>
        <v>11,23</v>
      </c>
      <c r="L856" s="286"/>
      <c r="M856" s="286"/>
      <c r="N856" s="286"/>
      <c r="O856" s="2"/>
      <c r="P856" s="2"/>
      <c r="Q856" s="2"/>
      <c r="R856" s="2"/>
    </row>
    <row r="857" spans="1:18" ht="19.5" hidden="1" thickBot="1" x14ac:dyDescent="0.3">
      <c r="A857" s="991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4"/>
        <v>11,23</v>
      </c>
      <c r="L857" s="286"/>
      <c r="M857" s="286"/>
      <c r="N857" s="286"/>
      <c r="O857" s="2"/>
      <c r="P857" s="2"/>
      <c r="Q857" s="2"/>
      <c r="R857" s="2"/>
    </row>
    <row r="858" spans="1:18" ht="19.5" hidden="1" thickBot="1" x14ac:dyDescent="0.3">
      <c r="A858" s="991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4"/>
        <v>11,23</v>
      </c>
      <c r="L858" s="286"/>
      <c r="M858" s="286"/>
      <c r="N858" s="286"/>
      <c r="O858" s="2"/>
      <c r="P858" s="2"/>
      <c r="Q858" s="2"/>
      <c r="R858" s="2"/>
    </row>
    <row r="859" spans="1:18" ht="19.5" hidden="1" thickBot="1" x14ac:dyDescent="0.3">
      <c r="A859" s="991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4"/>
        <v>11,23</v>
      </c>
      <c r="L859" s="286"/>
      <c r="M859" s="286"/>
      <c r="N859" s="286"/>
      <c r="O859" s="2"/>
      <c r="P859" s="2"/>
      <c r="Q859" s="2"/>
      <c r="R859" s="2"/>
    </row>
    <row r="860" spans="1:18" ht="19.5" hidden="1" thickBot="1" x14ac:dyDescent="0.3">
      <c r="A860" s="991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4"/>
        <v>11,23</v>
      </c>
      <c r="L860" s="207"/>
      <c r="M860" s="207"/>
      <c r="N860" s="207"/>
      <c r="O860" s="2"/>
      <c r="P860" s="2"/>
      <c r="Q860" s="2"/>
      <c r="R860" s="2"/>
    </row>
    <row r="861" spans="1:18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4"/>
        <v>11,23</v>
      </c>
      <c r="L861" s="110"/>
      <c r="M861" s="110"/>
      <c r="N861" s="110"/>
      <c r="O861" s="2"/>
      <c r="P861" s="2"/>
      <c r="Q861" s="2"/>
      <c r="R861" s="2"/>
    </row>
    <row r="862" spans="1:18" ht="19.5" hidden="1" thickBot="1" x14ac:dyDescent="0.3">
      <c r="A862" s="991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4"/>
        <v>11,23</v>
      </c>
      <c r="L862" s="280"/>
      <c r="M862" s="280"/>
      <c r="N862" s="280"/>
      <c r="O862" s="2"/>
      <c r="P862" s="2"/>
      <c r="Q862" s="2"/>
      <c r="R862" s="2"/>
    </row>
    <row r="863" spans="1:18" ht="19.5" hidden="1" thickBot="1" x14ac:dyDescent="0.3">
      <c r="A863" s="991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4"/>
        <v>11,23</v>
      </c>
      <c r="L863" s="286"/>
      <c r="M863" s="286"/>
      <c r="N863" s="286"/>
      <c r="O863" s="2"/>
      <c r="P863" s="2"/>
      <c r="Q863" s="2"/>
      <c r="R863" s="2"/>
    </row>
    <row r="864" spans="1:18" ht="19.5" hidden="1" thickBot="1" x14ac:dyDescent="0.3">
      <c r="A864" s="991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4"/>
        <v>11,23</v>
      </c>
      <c r="L864" s="207"/>
      <c r="M864" s="207"/>
      <c r="N864" s="207"/>
      <c r="O864" s="2"/>
      <c r="P864" s="2"/>
      <c r="Q864" s="2"/>
      <c r="R864" s="2"/>
    </row>
    <row r="865" spans="1:18" ht="19.5" hidden="1" thickBot="1" x14ac:dyDescent="0.3">
      <c r="A865" s="990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4"/>
        <v>11,23</v>
      </c>
      <c r="L865" s="278"/>
      <c r="M865" s="278"/>
      <c r="N865" s="278"/>
      <c r="O865" s="2"/>
      <c r="P865" s="2"/>
      <c r="Q865" s="2"/>
      <c r="R865" s="2"/>
    </row>
    <row r="866" spans="1:18" ht="19.5" hidden="1" thickBot="1" x14ac:dyDescent="0.3">
      <c r="A866" s="990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4"/>
        <v>11,23</v>
      </c>
      <c r="L866" s="279"/>
      <c r="M866" s="279"/>
      <c r="N866" s="279"/>
      <c r="O866" s="2"/>
      <c r="P866" s="2"/>
      <c r="Q866" s="2"/>
      <c r="R866" s="2"/>
    </row>
    <row r="867" spans="1:18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4"/>
        <v>11,23</v>
      </c>
      <c r="L867" s="111"/>
      <c r="M867" s="111"/>
      <c r="N867" s="111"/>
      <c r="O867" s="2"/>
      <c r="P867" s="2"/>
      <c r="Q867" s="2"/>
      <c r="R867" s="2"/>
    </row>
    <row r="868" spans="1:18" ht="19.5" hidden="1" thickBot="1" x14ac:dyDescent="0.3">
      <c r="A868" s="990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4"/>
        <v>11,23</v>
      </c>
      <c r="L868" s="278"/>
      <c r="M868" s="278"/>
      <c r="N868" s="278"/>
      <c r="O868" s="2"/>
      <c r="P868" s="2"/>
      <c r="Q868" s="2"/>
      <c r="R868" s="2"/>
    </row>
    <row r="869" spans="1:18" ht="19.5" hidden="1" thickBot="1" x14ac:dyDescent="0.3">
      <c r="A869" s="990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4"/>
        <v>11,23</v>
      </c>
      <c r="L869" s="281"/>
      <c r="M869" s="281"/>
      <c r="N869" s="281"/>
      <c r="O869" s="2"/>
      <c r="P869" s="2"/>
      <c r="Q869" s="2"/>
      <c r="R869" s="2"/>
    </row>
    <row r="870" spans="1:18" ht="19.5" hidden="1" thickBot="1" x14ac:dyDescent="0.3">
      <c r="A870" s="990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4"/>
        <v>11,23</v>
      </c>
      <c r="L870" s="279"/>
      <c r="M870" s="279"/>
      <c r="N870" s="279"/>
      <c r="O870" s="2"/>
      <c r="P870" s="2"/>
      <c r="Q870" s="2"/>
      <c r="R870" s="2"/>
    </row>
    <row r="871" spans="1:18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4"/>
        <v>11,23</v>
      </c>
      <c r="L871" s="111"/>
      <c r="M871" s="111"/>
      <c r="N871" s="111"/>
      <c r="O871" s="2"/>
      <c r="P871" s="2"/>
      <c r="Q871" s="2"/>
      <c r="R871" s="2"/>
    </row>
    <row r="872" spans="1:18" ht="38.25" hidden="1" thickBot="1" x14ac:dyDescent="0.3">
      <c r="A872" s="990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4"/>
        <v>11,23</v>
      </c>
      <c r="L872" s="278"/>
      <c r="M872" s="278"/>
      <c r="N872" s="278"/>
      <c r="O872" s="2"/>
      <c r="P872" s="2"/>
      <c r="Q872" s="2"/>
      <c r="R872" s="2"/>
    </row>
    <row r="873" spans="1:18" ht="38.25" hidden="1" thickBot="1" x14ac:dyDescent="0.3">
      <c r="A873" s="990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4"/>
        <v>11,23</v>
      </c>
      <c r="L873" s="281"/>
      <c r="M873" s="281"/>
      <c r="N873" s="281"/>
      <c r="O873" s="2"/>
      <c r="P873" s="2"/>
      <c r="Q873" s="2"/>
      <c r="R873" s="2"/>
    </row>
    <row r="874" spans="1:18" ht="38.25" hidden="1" thickBot="1" x14ac:dyDescent="0.3">
      <c r="A874" s="990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4"/>
        <v>11,23</v>
      </c>
      <c r="L874" s="279"/>
      <c r="M874" s="279"/>
      <c r="N874" s="279"/>
      <c r="O874" s="2"/>
      <c r="P874" s="2"/>
      <c r="Q874" s="2"/>
      <c r="R874" s="2"/>
    </row>
    <row r="875" spans="1:18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4"/>
        <v>11,23</v>
      </c>
      <c r="L875" s="111"/>
      <c r="M875" s="111"/>
      <c r="N875" s="111"/>
      <c r="O875" s="2"/>
      <c r="P875" s="2"/>
      <c r="Q875" s="2"/>
      <c r="R875" s="2"/>
    </row>
    <row r="876" spans="1:18" ht="19.5" hidden="1" thickBot="1" x14ac:dyDescent="0.3">
      <c r="A876" s="990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4"/>
        <v>11,23</v>
      </c>
      <c r="L876" s="278"/>
      <c r="M876" s="278"/>
      <c r="N876" s="278"/>
      <c r="O876" s="2"/>
      <c r="P876" s="2"/>
      <c r="Q876" s="2"/>
      <c r="R876" s="2"/>
    </row>
    <row r="877" spans="1:18" ht="19.5" hidden="1" thickBot="1" x14ac:dyDescent="0.3">
      <c r="A877" s="990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4"/>
        <v>11,23</v>
      </c>
      <c r="L877" s="279"/>
      <c r="M877" s="279"/>
      <c r="N877" s="279"/>
      <c r="O877" s="2"/>
      <c r="P877" s="2"/>
      <c r="Q877" s="2"/>
      <c r="R877" s="2"/>
    </row>
    <row r="878" spans="1:18" ht="38.25" hidden="1" thickBot="1" x14ac:dyDescent="0.3">
      <c r="A878" s="991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4"/>
        <v>11,23</v>
      </c>
      <c r="L878" s="280"/>
      <c r="M878" s="280"/>
      <c r="N878" s="280"/>
      <c r="O878" s="2"/>
      <c r="P878" s="2"/>
      <c r="Q878" s="2"/>
      <c r="R878" s="2"/>
    </row>
    <row r="879" spans="1:18" ht="38.25" hidden="1" thickBot="1" x14ac:dyDescent="0.3">
      <c r="A879" s="991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4"/>
        <v>11,23</v>
      </c>
      <c r="L879" s="286"/>
      <c r="M879" s="286"/>
      <c r="N879" s="286"/>
      <c r="O879" s="2"/>
      <c r="P879" s="2"/>
      <c r="Q879" s="2"/>
      <c r="R879" s="2"/>
    </row>
    <row r="880" spans="1:18" ht="38.25" hidden="1" thickBot="1" x14ac:dyDescent="0.3">
      <c r="A880" s="991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4"/>
        <v>11,23</v>
      </c>
      <c r="L880" s="207"/>
      <c r="M880" s="207"/>
      <c r="N880" s="207"/>
      <c r="O880" s="2"/>
      <c r="P880" s="2"/>
      <c r="Q880" s="2"/>
      <c r="R880" s="2"/>
    </row>
    <row r="881" spans="1:18" ht="19.5" hidden="1" thickBot="1" x14ac:dyDescent="0.3">
      <c r="A881" s="990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4"/>
        <v>11,23</v>
      </c>
      <c r="L881" s="278"/>
      <c r="M881" s="278"/>
      <c r="N881" s="278"/>
      <c r="O881" s="2"/>
      <c r="P881" s="2"/>
      <c r="Q881" s="2"/>
      <c r="R881" s="2"/>
    </row>
    <row r="882" spans="1:18" ht="19.5" hidden="1" thickBot="1" x14ac:dyDescent="0.3">
      <c r="A882" s="990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4"/>
        <v>11,23</v>
      </c>
      <c r="L882" s="279"/>
      <c r="M882" s="279"/>
      <c r="N882" s="279"/>
      <c r="O882" s="2"/>
      <c r="P882" s="2"/>
      <c r="Q882" s="2"/>
      <c r="R882" s="2"/>
    </row>
    <row r="883" spans="1:18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4"/>
        <v>11,23</v>
      </c>
      <c r="L883" s="111"/>
      <c r="M883" s="111"/>
      <c r="N883" s="111"/>
      <c r="O883" s="2"/>
      <c r="P883" s="2"/>
      <c r="Q883" s="2"/>
      <c r="R883" s="2"/>
    </row>
    <row r="884" spans="1:18" ht="19.5" hidden="1" thickBot="1" x14ac:dyDescent="0.3">
      <c r="A884" s="990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4"/>
        <v>11,23</v>
      </c>
      <c r="L884" s="278"/>
      <c r="M884" s="278"/>
      <c r="N884" s="278"/>
      <c r="O884" s="2"/>
      <c r="P884" s="2"/>
      <c r="Q884" s="2"/>
      <c r="R884" s="2"/>
    </row>
    <row r="885" spans="1:18" ht="19.5" hidden="1" thickBot="1" x14ac:dyDescent="0.3">
      <c r="A885" s="990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4"/>
        <v>11,23</v>
      </c>
      <c r="L885" s="281"/>
      <c r="M885" s="281"/>
      <c r="N885" s="281"/>
      <c r="O885" s="2"/>
      <c r="P885" s="2"/>
      <c r="Q885" s="2"/>
      <c r="R885" s="2"/>
    </row>
    <row r="886" spans="1:18" ht="19.5" hidden="1" thickBot="1" x14ac:dyDescent="0.3">
      <c r="A886" s="990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4"/>
        <v>11,23</v>
      </c>
      <c r="L886" s="279"/>
      <c r="M886" s="279"/>
      <c r="N886" s="279"/>
      <c r="O886" s="2"/>
      <c r="P886" s="2"/>
      <c r="Q886" s="2"/>
      <c r="R886" s="2"/>
    </row>
    <row r="887" spans="1:18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4"/>
        <v>11,23</v>
      </c>
      <c r="L887" s="111"/>
      <c r="M887" s="111"/>
      <c r="N887" s="111"/>
      <c r="O887" s="2"/>
      <c r="P887" s="2"/>
      <c r="Q887" s="2"/>
      <c r="R887" s="2"/>
    </row>
    <row r="888" spans="1:18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4"/>
        <v>11,23</v>
      </c>
      <c r="L888" s="110"/>
      <c r="M888" s="110"/>
      <c r="N888" s="110"/>
      <c r="O888" s="2"/>
      <c r="P888" s="2"/>
      <c r="Q888" s="2"/>
      <c r="R888" s="2"/>
    </row>
    <row r="889" spans="1:18" ht="19.5" hidden="1" thickBot="1" x14ac:dyDescent="0.3">
      <c r="A889" s="991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4"/>
        <v>11,23</v>
      </c>
      <c r="L889" s="280"/>
      <c r="M889" s="280"/>
      <c r="N889" s="280"/>
      <c r="O889" s="2"/>
      <c r="P889" s="2"/>
      <c r="Q889" s="2"/>
      <c r="R889" s="2"/>
    </row>
    <row r="890" spans="1:18" ht="19.5" hidden="1" thickBot="1" x14ac:dyDescent="0.3">
      <c r="A890" s="991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4"/>
        <v>11,23</v>
      </c>
      <c r="L890" s="207"/>
      <c r="M890" s="207"/>
      <c r="N890" s="207"/>
      <c r="O890" s="2"/>
      <c r="P890" s="2"/>
      <c r="Q890" s="2"/>
      <c r="R890" s="2"/>
    </row>
    <row r="891" spans="1:18" ht="19.5" hidden="1" thickBot="1" x14ac:dyDescent="0.3">
      <c r="A891" s="990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4"/>
        <v>11,23</v>
      </c>
      <c r="L891" s="278"/>
      <c r="M891" s="278"/>
      <c r="N891" s="278"/>
      <c r="O891" s="2"/>
      <c r="P891" s="2"/>
      <c r="Q891" s="2"/>
      <c r="R891" s="2"/>
    </row>
    <row r="892" spans="1:18" ht="19.5" hidden="1" thickBot="1" x14ac:dyDescent="0.3">
      <c r="A892" s="990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4"/>
        <v>11,23</v>
      </c>
      <c r="L892" s="281"/>
      <c r="M892" s="281"/>
      <c r="N892" s="281"/>
      <c r="O892" s="2"/>
      <c r="P892" s="2"/>
      <c r="Q892" s="2"/>
      <c r="R892" s="2"/>
    </row>
    <row r="893" spans="1:18" ht="19.5" hidden="1" thickBot="1" x14ac:dyDescent="0.3">
      <c r="A893" s="990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4"/>
        <v>11,23</v>
      </c>
      <c r="L893" s="279"/>
      <c r="M893" s="279"/>
      <c r="N893" s="279"/>
      <c r="O893" s="2"/>
      <c r="P893" s="2"/>
      <c r="Q893" s="2"/>
      <c r="R893" s="2"/>
    </row>
    <row r="894" spans="1:18" ht="19.5" hidden="1" thickBot="1" x14ac:dyDescent="0.3">
      <c r="A894" s="991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4"/>
        <v>11,23</v>
      </c>
      <c r="L894" s="280"/>
      <c r="M894" s="280"/>
      <c r="N894" s="280"/>
      <c r="O894" s="2"/>
      <c r="P894" s="2"/>
      <c r="Q894" s="2"/>
      <c r="R894" s="2"/>
    </row>
    <row r="895" spans="1:18" ht="19.5" hidden="1" thickBot="1" x14ac:dyDescent="0.3">
      <c r="A895" s="991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4"/>
        <v>11,23</v>
      </c>
      <c r="L895" s="286"/>
      <c r="M895" s="286"/>
      <c r="N895" s="286"/>
      <c r="O895" s="2"/>
      <c r="P895" s="2"/>
      <c r="Q895" s="2"/>
      <c r="R895" s="2"/>
    </row>
    <row r="896" spans="1:18" ht="19.5" hidden="1" thickBot="1" x14ac:dyDescent="0.3">
      <c r="A896" s="991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4"/>
        <v>11,23</v>
      </c>
      <c r="L896" s="207"/>
      <c r="M896" s="207"/>
      <c r="N896" s="207"/>
      <c r="O896" s="2"/>
      <c r="P896" s="2"/>
      <c r="Q896" s="2"/>
      <c r="R896" s="2"/>
    </row>
    <row r="897" spans="1:18" ht="19.5" hidden="1" thickBot="1" x14ac:dyDescent="0.3">
      <c r="A897" s="990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4"/>
        <v>11,23</v>
      </c>
      <c r="L897" s="278"/>
      <c r="M897" s="278"/>
      <c r="N897" s="278"/>
      <c r="O897" s="2"/>
      <c r="P897" s="2"/>
      <c r="Q897" s="2"/>
      <c r="R897" s="2"/>
    </row>
    <row r="898" spans="1:18" ht="19.5" hidden="1" thickBot="1" x14ac:dyDescent="0.3">
      <c r="A898" s="990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4"/>
        <v>11,23</v>
      </c>
      <c r="L898" s="279"/>
      <c r="M898" s="279"/>
      <c r="N898" s="279"/>
      <c r="O898" s="2"/>
      <c r="P898" s="2"/>
      <c r="Q898" s="2"/>
      <c r="R898" s="2"/>
    </row>
    <row r="899" spans="1:18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5">RIGHT(H899,5)</f>
        <v>11,23</v>
      </c>
      <c r="L899" s="111"/>
      <c r="M899" s="111"/>
      <c r="N899" s="111"/>
      <c r="O899" s="2"/>
      <c r="P899" s="2"/>
      <c r="Q899" s="2"/>
      <c r="R899" s="2"/>
    </row>
    <row r="900" spans="1:18" ht="19.5" hidden="1" thickBot="1" x14ac:dyDescent="0.3">
      <c r="A900" s="990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5"/>
        <v>11,23</v>
      </c>
      <c r="L900" s="278"/>
      <c r="M900" s="278"/>
      <c r="N900" s="278"/>
      <c r="O900" s="2"/>
      <c r="P900" s="2"/>
      <c r="Q900" s="2"/>
      <c r="R900" s="2"/>
    </row>
    <row r="901" spans="1:18" ht="19.5" hidden="1" thickBot="1" x14ac:dyDescent="0.3">
      <c r="A901" s="990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5"/>
        <v>11,23</v>
      </c>
      <c r="L901" s="281"/>
      <c r="M901" s="281"/>
      <c r="N901" s="281"/>
      <c r="O901" s="2"/>
      <c r="P901" s="2"/>
      <c r="Q901" s="2"/>
      <c r="R901" s="2"/>
    </row>
    <row r="902" spans="1:18" ht="19.5" hidden="1" thickBot="1" x14ac:dyDescent="0.3">
      <c r="A902" s="990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5"/>
        <v>11,23</v>
      </c>
      <c r="L902" s="281"/>
      <c r="M902" s="281"/>
      <c r="N902" s="281"/>
      <c r="O902" s="2"/>
      <c r="P902" s="2"/>
      <c r="Q902" s="2"/>
      <c r="R902" s="2"/>
    </row>
    <row r="903" spans="1:18" ht="19.5" hidden="1" thickBot="1" x14ac:dyDescent="0.3">
      <c r="A903" s="990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5"/>
        <v>11,23</v>
      </c>
      <c r="L903" s="281"/>
      <c r="M903" s="281"/>
      <c r="N903" s="281"/>
      <c r="O903" s="2"/>
      <c r="P903" s="2"/>
      <c r="Q903" s="2"/>
      <c r="R903" s="2"/>
    </row>
    <row r="904" spans="1:18" ht="19.5" hidden="1" thickBot="1" x14ac:dyDescent="0.3">
      <c r="A904" s="990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5"/>
        <v>11,23</v>
      </c>
      <c r="L904" s="279"/>
      <c r="M904" s="279"/>
      <c r="N904" s="279"/>
      <c r="O904" s="2"/>
      <c r="P904" s="2"/>
      <c r="Q904" s="2"/>
      <c r="R904" s="2"/>
    </row>
    <row r="905" spans="1:18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5"/>
        <v>11,23</v>
      </c>
      <c r="L905" s="307"/>
      <c r="M905" s="307"/>
      <c r="N905" s="307"/>
      <c r="O905" s="2"/>
      <c r="P905" s="2"/>
      <c r="Q905" s="2"/>
      <c r="R905" s="2"/>
    </row>
    <row r="906" spans="1:18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5"/>
        <v>11,23</v>
      </c>
      <c r="L906" s="308"/>
      <c r="M906" s="308"/>
      <c r="N906" s="308"/>
      <c r="O906" s="2"/>
      <c r="P906" s="2"/>
      <c r="Q906" s="2"/>
      <c r="R906" s="2"/>
    </row>
    <row r="907" spans="1:18" ht="19.5" hidden="1" thickBot="1" x14ac:dyDescent="0.3">
      <c r="A907" s="991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5"/>
        <v>11,23</v>
      </c>
      <c r="L907" s="280"/>
      <c r="M907" s="280"/>
      <c r="N907" s="280"/>
      <c r="O907" s="2"/>
      <c r="P907" s="2"/>
      <c r="Q907" s="2"/>
      <c r="R907" s="2"/>
    </row>
    <row r="908" spans="1:18" ht="19.5" hidden="1" thickBot="1" x14ac:dyDescent="0.3">
      <c r="A908" s="991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5"/>
        <v>11,23</v>
      </c>
      <c r="L908" s="207"/>
      <c r="M908" s="207"/>
      <c r="N908" s="207"/>
      <c r="O908" s="2"/>
      <c r="P908" s="2"/>
      <c r="Q908" s="2"/>
      <c r="R908" s="2"/>
    </row>
    <row r="909" spans="1:18" ht="19.5" hidden="1" thickBot="1" x14ac:dyDescent="0.3">
      <c r="A909" s="990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5"/>
        <v>11,23</v>
      </c>
      <c r="L909" s="278"/>
      <c r="M909" s="278"/>
      <c r="N909" s="278"/>
      <c r="O909" s="2"/>
      <c r="P909" s="2"/>
      <c r="Q909" s="2"/>
      <c r="R909" s="2"/>
    </row>
    <row r="910" spans="1:18" ht="19.5" hidden="1" thickBot="1" x14ac:dyDescent="0.3">
      <c r="A910" s="990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5"/>
        <v>11,23</v>
      </c>
      <c r="L910" s="281"/>
      <c r="M910" s="281"/>
      <c r="N910" s="281"/>
      <c r="O910" s="2"/>
      <c r="P910" s="2"/>
      <c r="Q910" s="2"/>
      <c r="R910" s="2"/>
    </row>
    <row r="911" spans="1:18" ht="19.5" hidden="1" thickBot="1" x14ac:dyDescent="0.3">
      <c r="A911" s="990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5"/>
        <v>11,23</v>
      </c>
      <c r="L911" s="279"/>
      <c r="M911" s="279"/>
      <c r="N911" s="279"/>
      <c r="O911" s="2"/>
      <c r="P911" s="2"/>
      <c r="Q911" s="2"/>
      <c r="R911" s="2"/>
    </row>
    <row r="912" spans="1:18" ht="19.5" hidden="1" thickBot="1" x14ac:dyDescent="0.3">
      <c r="A912" s="991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5"/>
        <v>11,23</v>
      </c>
      <c r="L912" s="280"/>
      <c r="M912" s="280"/>
      <c r="N912" s="280"/>
      <c r="O912" s="2"/>
      <c r="P912" s="2"/>
      <c r="Q912" s="2"/>
      <c r="R912" s="2"/>
    </row>
    <row r="913" spans="1:18" ht="19.5" hidden="1" thickBot="1" x14ac:dyDescent="0.3">
      <c r="A913" s="991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5"/>
        <v>11,23</v>
      </c>
      <c r="L913" s="286"/>
      <c r="M913" s="286"/>
      <c r="N913" s="286"/>
      <c r="O913" s="2"/>
      <c r="P913" s="2"/>
      <c r="Q913" s="2"/>
      <c r="R913" s="2"/>
    </row>
    <row r="914" spans="1:18" ht="19.5" hidden="1" thickBot="1" x14ac:dyDescent="0.3">
      <c r="A914" s="991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5"/>
        <v>11,23</v>
      </c>
      <c r="L914" s="207"/>
      <c r="M914" s="207"/>
      <c r="N914" s="207"/>
      <c r="O914" s="2"/>
      <c r="P914" s="2"/>
      <c r="Q914" s="2"/>
      <c r="R914" s="2"/>
    </row>
    <row r="915" spans="1:18" ht="19.5" hidden="1" thickBot="1" x14ac:dyDescent="0.3">
      <c r="A915" s="990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5"/>
        <v>11,23</v>
      </c>
      <c r="L915" s="278"/>
      <c r="M915" s="278"/>
      <c r="N915" s="278"/>
      <c r="O915" s="2"/>
      <c r="P915" s="2"/>
      <c r="Q915" s="2"/>
      <c r="R915" s="2"/>
    </row>
    <row r="916" spans="1:18" ht="19.5" hidden="1" thickBot="1" x14ac:dyDescent="0.3">
      <c r="A916" s="990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5"/>
        <v>11,23</v>
      </c>
      <c r="L916" s="279"/>
      <c r="M916" s="279"/>
      <c r="N916" s="279"/>
      <c r="O916" s="2"/>
      <c r="P916" s="2"/>
      <c r="Q916" s="2"/>
      <c r="R916" s="2"/>
    </row>
    <row r="917" spans="1:18" ht="19.5" hidden="1" thickBot="1" x14ac:dyDescent="0.3">
      <c r="A917" s="991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5"/>
        <v>11,23</v>
      </c>
      <c r="L917" s="280"/>
      <c r="M917" s="280"/>
      <c r="N917" s="280"/>
      <c r="O917" s="2"/>
      <c r="P917" s="2"/>
      <c r="Q917" s="2"/>
      <c r="R917" s="2"/>
    </row>
    <row r="918" spans="1:18" ht="19.5" hidden="1" thickBot="1" x14ac:dyDescent="0.3">
      <c r="A918" s="991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5"/>
        <v>11,23</v>
      </c>
      <c r="L918" s="207"/>
      <c r="M918" s="207"/>
      <c r="N918" s="207"/>
      <c r="O918" s="2"/>
      <c r="P918" s="2"/>
      <c r="Q918" s="2"/>
      <c r="R918" s="2"/>
    </row>
    <row r="919" spans="1:18" ht="19.5" hidden="1" thickBot="1" x14ac:dyDescent="0.3">
      <c r="A919" s="990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5"/>
        <v>11,23</v>
      </c>
      <c r="L919" s="278"/>
      <c r="M919" s="278"/>
      <c r="N919" s="278"/>
      <c r="O919" s="2"/>
      <c r="P919" s="2"/>
      <c r="Q919" s="2"/>
      <c r="R919" s="2"/>
    </row>
    <row r="920" spans="1:18" ht="19.5" hidden="1" thickBot="1" x14ac:dyDescent="0.3">
      <c r="A920" s="990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5"/>
        <v>11,23</v>
      </c>
      <c r="L920" s="279"/>
      <c r="M920" s="279"/>
      <c r="N920" s="279"/>
      <c r="O920" s="2"/>
      <c r="P920" s="2"/>
      <c r="Q920" s="2"/>
      <c r="R920" s="2"/>
    </row>
    <row r="921" spans="1:18" ht="19.5" hidden="1" thickBot="1" x14ac:dyDescent="0.3">
      <c r="A921" s="991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5"/>
        <v>11,23</v>
      </c>
      <c r="L921" s="280"/>
      <c r="M921" s="280"/>
      <c r="N921" s="280"/>
      <c r="O921" s="2"/>
      <c r="P921" s="2"/>
      <c r="Q921" s="2"/>
      <c r="R921" s="2"/>
    </row>
    <row r="922" spans="1:18" ht="19.5" hidden="1" thickBot="1" x14ac:dyDescent="0.3">
      <c r="A922" s="991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5"/>
        <v>11,23</v>
      </c>
      <c r="L922" s="207"/>
      <c r="M922" s="207"/>
      <c r="N922" s="207"/>
      <c r="O922" s="2"/>
      <c r="P922" s="2"/>
      <c r="Q922" s="2"/>
      <c r="R922" s="2"/>
    </row>
    <row r="923" spans="1:18" ht="19.5" hidden="1" thickBot="1" x14ac:dyDescent="0.3">
      <c r="A923" s="990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5"/>
        <v>11,23</v>
      </c>
      <c r="L923" s="278"/>
      <c r="M923" s="278"/>
      <c r="N923" s="278"/>
      <c r="O923" s="2"/>
      <c r="P923" s="2"/>
      <c r="Q923" s="2"/>
      <c r="R923" s="2"/>
    </row>
    <row r="924" spans="1:18" ht="19.5" hidden="1" thickBot="1" x14ac:dyDescent="0.3">
      <c r="A924" s="990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5"/>
        <v>11,23</v>
      </c>
      <c r="L924" s="279"/>
      <c r="M924" s="279"/>
      <c r="N924" s="279"/>
      <c r="O924" s="2"/>
      <c r="P924" s="2"/>
      <c r="Q924" s="2"/>
      <c r="R924" s="2"/>
    </row>
    <row r="925" spans="1:18" ht="19.5" hidden="1" thickBot="1" x14ac:dyDescent="0.3">
      <c r="A925" s="991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5"/>
        <v>11,23</v>
      </c>
      <c r="L925" s="280"/>
      <c r="M925" s="280"/>
      <c r="N925" s="280"/>
      <c r="O925" s="2"/>
      <c r="P925" s="2"/>
      <c r="Q925" s="2"/>
      <c r="R925" s="2"/>
    </row>
    <row r="926" spans="1:18" ht="19.5" hidden="1" thickBot="1" x14ac:dyDescent="0.3">
      <c r="A926" s="991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5"/>
        <v>11,23</v>
      </c>
      <c r="L926" s="286"/>
      <c r="M926" s="286"/>
      <c r="N926" s="286"/>
      <c r="O926" s="2"/>
      <c r="P926" s="2"/>
      <c r="Q926" s="2"/>
      <c r="R926" s="2"/>
    </row>
    <row r="927" spans="1:18" ht="19.5" hidden="1" thickBot="1" x14ac:dyDescent="0.3">
      <c r="A927" s="991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5"/>
        <v>11,23</v>
      </c>
      <c r="L927" s="286"/>
      <c r="M927" s="286"/>
      <c r="N927" s="286"/>
      <c r="O927" s="2"/>
      <c r="P927" s="2"/>
      <c r="Q927" s="2"/>
      <c r="R927" s="2"/>
    </row>
    <row r="928" spans="1:18" ht="19.5" hidden="1" thickBot="1" x14ac:dyDescent="0.3">
      <c r="A928" s="991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5"/>
        <v>11,23</v>
      </c>
      <c r="L928" s="207"/>
      <c r="M928" s="207"/>
      <c r="N928" s="207"/>
      <c r="O928" s="2"/>
      <c r="P928" s="2"/>
      <c r="Q928" s="2"/>
      <c r="R928" s="2"/>
    </row>
    <row r="929" spans="1:18" ht="19.5" hidden="1" customHeight="1" thickBot="1" x14ac:dyDescent="0.3">
      <c r="A929" s="990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992" t="s">
        <v>72</v>
      </c>
      <c r="H929" s="82" t="s">
        <v>252</v>
      </c>
      <c r="I929" s="147" t="s">
        <v>252</v>
      </c>
      <c r="J929" s="86"/>
      <c r="K929" s="82" t="str">
        <f t="shared" si="15"/>
        <v>11,23</v>
      </c>
      <c r="L929" s="278"/>
      <c r="M929" s="278"/>
      <c r="N929" s="278"/>
      <c r="O929" s="2"/>
      <c r="P929" s="2"/>
      <c r="Q929" s="2"/>
      <c r="R929" s="2"/>
    </row>
    <row r="930" spans="1:18" ht="19.5" hidden="1" thickBot="1" x14ac:dyDescent="0.3">
      <c r="A930" s="990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992"/>
      <c r="H930" s="90" t="s">
        <v>252</v>
      </c>
      <c r="I930" s="172" t="s">
        <v>252</v>
      </c>
      <c r="J930" s="173"/>
      <c r="K930" s="90" t="str">
        <f t="shared" si="15"/>
        <v>11,23</v>
      </c>
      <c r="L930" s="279"/>
      <c r="M930" s="279"/>
      <c r="N930" s="279"/>
      <c r="O930" s="2"/>
      <c r="P930" s="2"/>
      <c r="Q930" s="2"/>
      <c r="R930" s="2"/>
    </row>
    <row r="931" spans="1:18" ht="57" hidden="1" thickBot="1" x14ac:dyDescent="0.3">
      <c r="A931" s="991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5"/>
        <v>11,23</v>
      </c>
      <c r="L931" s="280"/>
      <c r="M931" s="280"/>
      <c r="N931" s="280"/>
      <c r="O931" s="2"/>
      <c r="P931" s="2"/>
      <c r="Q931" s="2"/>
      <c r="R931" s="2"/>
    </row>
    <row r="932" spans="1:18" ht="57" hidden="1" thickBot="1" x14ac:dyDescent="0.3">
      <c r="A932" s="991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5"/>
        <v>11,23</v>
      </c>
      <c r="L932" s="286"/>
      <c r="M932" s="286"/>
      <c r="N932" s="286"/>
      <c r="O932" s="2"/>
      <c r="P932" s="2"/>
      <c r="Q932" s="2"/>
      <c r="R932" s="2"/>
    </row>
    <row r="933" spans="1:18" ht="57" hidden="1" thickBot="1" x14ac:dyDescent="0.3">
      <c r="A933" s="991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5"/>
        <v>11,23</v>
      </c>
      <c r="L933" s="207"/>
      <c r="M933" s="207"/>
      <c r="N933" s="207"/>
      <c r="O933" s="2"/>
      <c r="P933" s="2"/>
      <c r="Q933" s="2"/>
      <c r="R933" s="2"/>
    </row>
    <row r="934" spans="1:18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5"/>
        <v>11,23</v>
      </c>
      <c r="L934" s="110"/>
      <c r="M934" s="110"/>
      <c r="N934" s="110"/>
      <c r="O934" s="2"/>
      <c r="P934" s="2"/>
      <c r="Q934" s="2"/>
      <c r="R934" s="2"/>
    </row>
    <row r="935" spans="1:18" ht="19.5" hidden="1" thickBot="1" x14ac:dyDescent="0.3">
      <c r="A935" s="991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5"/>
        <v>11,23</v>
      </c>
      <c r="L935" s="280"/>
      <c r="M935" s="280"/>
      <c r="N935" s="280"/>
      <c r="O935" s="2"/>
      <c r="P935" s="2"/>
      <c r="Q935" s="2"/>
      <c r="R935" s="2"/>
    </row>
    <row r="936" spans="1:18" ht="19.5" hidden="1" thickBot="1" x14ac:dyDescent="0.3">
      <c r="A936" s="991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5"/>
        <v>11,23</v>
      </c>
      <c r="L936" s="304"/>
      <c r="M936" s="304"/>
      <c r="N936" s="304"/>
      <c r="O936" s="2"/>
      <c r="P936" s="2"/>
      <c r="Q936" s="2"/>
      <c r="R936" s="2"/>
    </row>
    <row r="937" spans="1:18" ht="19.5" hidden="1" thickBot="1" x14ac:dyDescent="0.3">
      <c r="A937" s="990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5"/>
        <v>11,23</v>
      </c>
      <c r="L937" s="278"/>
      <c r="M937" s="278"/>
      <c r="N937" s="278"/>
      <c r="O937" s="2"/>
      <c r="P937" s="2"/>
      <c r="Q937" s="2"/>
      <c r="R937" s="2"/>
    </row>
    <row r="938" spans="1:18" ht="19.5" hidden="1" thickBot="1" x14ac:dyDescent="0.3">
      <c r="A938" s="990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5"/>
        <v>11,23</v>
      </c>
      <c r="L938" s="309"/>
      <c r="M938" s="309"/>
      <c r="N938" s="309"/>
      <c r="O938" s="2"/>
      <c r="P938" s="2"/>
      <c r="Q938" s="2"/>
      <c r="R938" s="2"/>
    </row>
    <row r="939" spans="1:18" ht="38.25" hidden="1" thickBot="1" x14ac:dyDescent="0.3">
      <c r="A939" s="991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5"/>
        <v>11,23</v>
      </c>
      <c r="L939" s="280"/>
      <c r="M939" s="280"/>
      <c r="N939" s="280"/>
      <c r="O939" s="2"/>
      <c r="P939" s="2"/>
      <c r="Q939" s="2"/>
      <c r="R939" s="2"/>
    </row>
    <row r="940" spans="1:18" ht="38.25" hidden="1" thickBot="1" x14ac:dyDescent="0.3">
      <c r="A940" s="991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5"/>
        <v>11,23</v>
      </c>
      <c r="L940" s="302"/>
      <c r="M940" s="302"/>
      <c r="N940" s="302"/>
      <c r="O940" s="2"/>
      <c r="P940" s="2"/>
      <c r="Q940" s="2"/>
      <c r="R940" s="2"/>
    </row>
    <row r="941" spans="1:18" ht="38.25" hidden="1" thickBot="1" x14ac:dyDescent="0.3">
      <c r="A941" s="991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5"/>
        <v>11,23</v>
      </c>
      <c r="L941" s="304"/>
      <c r="M941" s="304"/>
      <c r="N941" s="304"/>
      <c r="O941" s="2"/>
      <c r="P941" s="2"/>
      <c r="Q941" s="2"/>
      <c r="R941" s="2"/>
    </row>
    <row r="942" spans="1:18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5"/>
        <v>11,23</v>
      </c>
      <c r="L942" s="110"/>
      <c r="M942" s="110"/>
      <c r="N942" s="110"/>
      <c r="O942" s="2"/>
      <c r="P942" s="2"/>
      <c r="Q942" s="2"/>
      <c r="R942" s="2"/>
    </row>
    <row r="943" spans="1:18" ht="19.5" hidden="1" thickBot="1" x14ac:dyDescent="0.3">
      <c r="A943" s="991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5"/>
        <v>11,23</v>
      </c>
      <c r="L943" s="280"/>
      <c r="M943" s="280"/>
      <c r="N943" s="280"/>
      <c r="O943" s="2"/>
      <c r="P943" s="2"/>
      <c r="Q943" s="2"/>
      <c r="R943" s="2"/>
    </row>
    <row r="944" spans="1:18" ht="19.5" hidden="1" thickBot="1" x14ac:dyDescent="0.3">
      <c r="A944" s="991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5"/>
        <v>11,23</v>
      </c>
      <c r="L944" s="302"/>
      <c r="M944" s="302"/>
      <c r="N944" s="302"/>
      <c r="O944" s="2"/>
      <c r="P944" s="2"/>
      <c r="Q944" s="2"/>
      <c r="R944" s="2"/>
    </row>
    <row r="945" spans="1:18" ht="19.5" hidden="1" thickBot="1" x14ac:dyDescent="0.3">
      <c r="A945" s="991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5"/>
        <v>11,23</v>
      </c>
      <c r="L945" s="302"/>
      <c r="M945" s="302"/>
      <c r="N945" s="302"/>
      <c r="O945" s="2"/>
      <c r="P945" s="2"/>
      <c r="Q945" s="2"/>
      <c r="R945" s="2"/>
    </row>
    <row r="946" spans="1:18" ht="19.5" hidden="1" thickBot="1" x14ac:dyDescent="0.3">
      <c r="A946" s="991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5"/>
        <v>11,23</v>
      </c>
      <c r="L946" s="302"/>
      <c r="M946" s="302"/>
      <c r="N946" s="302"/>
      <c r="O946" s="2"/>
      <c r="P946" s="2"/>
      <c r="Q946" s="2"/>
      <c r="R946" s="2"/>
    </row>
    <row r="947" spans="1:18" ht="19.5" hidden="1" thickBot="1" x14ac:dyDescent="0.3">
      <c r="A947" s="991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5"/>
        <v>11,23</v>
      </c>
      <c r="L947" s="304"/>
      <c r="M947" s="304"/>
      <c r="N947" s="304"/>
      <c r="O947" s="2"/>
      <c r="P947" s="2"/>
      <c r="Q947" s="2"/>
      <c r="R947" s="2"/>
    </row>
    <row r="948" spans="1:18" ht="19.5" hidden="1" thickBot="1" x14ac:dyDescent="0.3">
      <c r="A948" s="990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5"/>
        <v>11,23</v>
      </c>
      <c r="L948" s="278"/>
      <c r="M948" s="278"/>
      <c r="N948" s="278"/>
      <c r="O948" s="2"/>
      <c r="P948" s="2"/>
      <c r="Q948" s="2"/>
      <c r="R948" s="2"/>
    </row>
    <row r="949" spans="1:18" ht="19.5" hidden="1" thickBot="1" x14ac:dyDescent="0.3">
      <c r="A949" s="990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5"/>
        <v>11,23</v>
      </c>
      <c r="L949" s="309"/>
      <c r="M949" s="309"/>
      <c r="N949" s="309"/>
      <c r="O949" s="2"/>
      <c r="P949" s="2"/>
      <c r="Q949" s="2"/>
      <c r="R949" s="2"/>
    </row>
    <row r="950" spans="1:18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5"/>
        <v>11,23</v>
      </c>
      <c r="L950" s="310"/>
      <c r="M950" s="310"/>
      <c r="N950" s="310"/>
      <c r="O950" s="2"/>
      <c r="P950" s="2"/>
      <c r="Q950" s="2"/>
      <c r="R950" s="2"/>
    </row>
    <row r="951" spans="1:18" ht="19.5" hidden="1" thickBot="1" x14ac:dyDescent="0.3">
      <c r="A951" s="990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5"/>
        <v>11,23</v>
      </c>
      <c r="L951" s="145"/>
      <c r="M951" s="82"/>
      <c r="N951" s="311"/>
      <c r="O951" s="2"/>
      <c r="P951" s="2"/>
      <c r="Q951" s="2"/>
      <c r="R951" s="2"/>
    </row>
    <row r="952" spans="1:18" ht="19.5" hidden="1" thickBot="1" x14ac:dyDescent="0.3">
      <c r="A952" s="990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5"/>
        <v>11,23</v>
      </c>
      <c r="L952" s="141"/>
      <c r="M952" s="109"/>
      <c r="N952" s="312"/>
      <c r="O952" s="2"/>
      <c r="P952" s="2"/>
      <c r="Q952" s="2"/>
      <c r="R952" s="2"/>
    </row>
    <row r="953" spans="1:18" ht="19.5" hidden="1" thickBot="1" x14ac:dyDescent="0.3">
      <c r="A953" s="990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5"/>
        <v>11,23</v>
      </c>
      <c r="L953" s="141"/>
      <c r="M953" s="109"/>
      <c r="N953" s="312"/>
      <c r="O953" s="2"/>
      <c r="P953" s="2"/>
      <c r="Q953" s="2"/>
      <c r="R953" s="2"/>
    </row>
    <row r="954" spans="1:18" ht="38.25" hidden="1" thickBot="1" x14ac:dyDescent="0.3">
      <c r="A954" s="990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5"/>
        <v>11,23</v>
      </c>
      <c r="L954" s="142"/>
      <c r="M954" s="107"/>
      <c r="N954" s="313"/>
      <c r="O954" s="2"/>
      <c r="P954" s="2"/>
      <c r="Q954" s="2"/>
      <c r="R954" s="2"/>
    </row>
    <row r="955" spans="1:18" ht="19.5" hidden="1" thickBot="1" x14ac:dyDescent="0.3">
      <c r="A955" s="998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5"/>
        <v>11,23</v>
      </c>
      <c r="L955" s="286"/>
      <c r="M955" s="286"/>
      <c r="N955" s="286"/>
      <c r="O955" s="2"/>
      <c r="P955" s="2"/>
      <c r="Q955" s="2"/>
      <c r="R955" s="2"/>
    </row>
    <row r="956" spans="1:18" ht="19.5" hidden="1" thickBot="1" x14ac:dyDescent="0.3">
      <c r="A956" s="998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5"/>
        <v>11,23</v>
      </c>
      <c r="L956" s="304"/>
      <c r="M956" s="304"/>
      <c r="N956" s="304"/>
      <c r="O956" s="2"/>
      <c r="P956" s="2"/>
      <c r="Q956" s="2"/>
      <c r="R956" s="2"/>
    </row>
    <row r="957" spans="1:18" ht="19.5" hidden="1" thickBot="1" x14ac:dyDescent="0.3">
      <c r="A957" s="990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5"/>
        <v>11,23</v>
      </c>
      <c r="L957" s="278"/>
      <c r="M957" s="278"/>
      <c r="N957" s="278"/>
      <c r="O957" s="2"/>
      <c r="P957" s="2"/>
      <c r="Q957" s="2"/>
      <c r="R957" s="2"/>
    </row>
    <row r="958" spans="1:18" ht="19.5" hidden="1" thickBot="1" x14ac:dyDescent="0.3">
      <c r="A958" s="990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5"/>
        <v>11,23</v>
      </c>
      <c r="L958" s="309"/>
      <c r="M958" s="309"/>
      <c r="N958" s="309"/>
      <c r="O958" s="2"/>
      <c r="P958" s="2"/>
      <c r="Q958" s="2"/>
      <c r="R958" s="2"/>
    </row>
    <row r="959" spans="1:18" ht="19.5" hidden="1" thickBot="1" x14ac:dyDescent="0.3">
      <c r="A959" s="991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5"/>
        <v>11,23</v>
      </c>
      <c r="L959" s="280"/>
      <c r="M959" s="280"/>
      <c r="N959" s="280"/>
      <c r="O959" s="2"/>
      <c r="P959" s="2"/>
      <c r="Q959" s="2"/>
      <c r="R959" s="2"/>
    </row>
    <row r="960" spans="1:18" ht="19.5" hidden="1" thickBot="1" x14ac:dyDescent="0.3">
      <c r="A960" s="991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5"/>
        <v>11,23</v>
      </c>
      <c r="L960" s="304"/>
      <c r="M960" s="304"/>
      <c r="N960" s="304"/>
      <c r="O960" s="2"/>
      <c r="P960" s="2"/>
      <c r="Q960" s="2"/>
      <c r="R960" s="2"/>
    </row>
    <row r="961" spans="1:18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5"/>
        <v>12,23</v>
      </c>
      <c r="L961" s="110"/>
      <c r="M961" s="110"/>
      <c r="N961" s="110"/>
      <c r="O961" s="2"/>
      <c r="P961" s="2"/>
      <c r="Q961" s="2"/>
      <c r="R961" s="2"/>
    </row>
    <row r="962" spans="1:18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5"/>
        <v>12,23</v>
      </c>
      <c r="L962" s="111"/>
      <c r="M962" s="111"/>
      <c r="N962" s="111"/>
      <c r="O962" s="2"/>
      <c r="P962" s="2"/>
      <c r="Q962" s="2"/>
      <c r="R962" s="2"/>
    </row>
    <row r="963" spans="1:18" ht="19.5" hidden="1" thickBot="1" x14ac:dyDescent="0.3">
      <c r="A963" s="990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6">RIGHT(H963,5)</f>
        <v>12,23</v>
      </c>
      <c r="L963" s="278"/>
      <c r="M963" s="278"/>
      <c r="N963" s="278"/>
      <c r="O963" s="2"/>
      <c r="P963" s="2"/>
      <c r="Q963" s="2"/>
      <c r="R963" s="2"/>
    </row>
    <row r="964" spans="1:18" ht="19.5" hidden="1" thickBot="1" x14ac:dyDescent="0.3">
      <c r="A964" s="990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6"/>
        <v>12,23</v>
      </c>
      <c r="L964" s="314"/>
      <c r="M964" s="314"/>
      <c r="N964" s="314"/>
      <c r="O964" s="2"/>
      <c r="P964" s="2"/>
      <c r="Q964" s="2"/>
      <c r="R964" s="2"/>
    </row>
    <row r="965" spans="1:18" ht="19.5" hidden="1" thickBot="1" x14ac:dyDescent="0.3">
      <c r="A965" s="990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6"/>
        <v>12,23</v>
      </c>
      <c r="L965" s="314"/>
      <c r="M965" s="314"/>
      <c r="N965" s="314"/>
      <c r="O965" s="2"/>
      <c r="P965" s="2"/>
      <c r="Q965" s="2"/>
      <c r="R965" s="2"/>
    </row>
    <row r="966" spans="1:18" ht="19.5" hidden="1" thickBot="1" x14ac:dyDescent="0.3">
      <c r="A966" s="990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6"/>
        <v>12,23</v>
      </c>
      <c r="L966" s="314"/>
      <c r="M966" s="314"/>
      <c r="N966" s="314"/>
      <c r="O966" s="2"/>
      <c r="P966" s="2"/>
      <c r="Q966" s="2"/>
      <c r="R966" s="2"/>
    </row>
    <row r="967" spans="1:18" ht="19.5" hidden="1" thickBot="1" x14ac:dyDescent="0.3">
      <c r="A967" s="990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6"/>
        <v>12,23</v>
      </c>
      <c r="L967" s="309"/>
      <c r="M967" s="309"/>
      <c r="N967" s="309"/>
      <c r="O967" s="2"/>
      <c r="P967" s="2"/>
      <c r="Q967" s="2"/>
      <c r="R967" s="2"/>
    </row>
    <row r="968" spans="1:18" ht="19.5" hidden="1" thickBot="1" x14ac:dyDescent="0.3">
      <c r="A968" s="991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6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  <c r="Q968" s="2"/>
      <c r="R968" s="2"/>
    </row>
    <row r="969" spans="1:18" ht="19.5" hidden="1" thickBot="1" x14ac:dyDescent="0.3">
      <c r="A969" s="991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6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  <c r="Q969" s="2"/>
      <c r="R969" s="2"/>
    </row>
    <row r="970" spans="1:18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6"/>
        <v>12,23</v>
      </c>
      <c r="L970" s="40" t="s">
        <v>28</v>
      </c>
      <c r="M970" s="40">
        <v>17632</v>
      </c>
      <c r="N970" s="317">
        <v>0.375</v>
      </c>
      <c r="O970" s="2"/>
      <c r="P970" s="2"/>
      <c r="Q970" s="2"/>
      <c r="R970" s="2"/>
    </row>
    <row r="971" spans="1:18" ht="19.5" hidden="1" thickBot="1" x14ac:dyDescent="0.3">
      <c r="A971" s="991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6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  <c r="Q971" s="2"/>
      <c r="R971" s="2"/>
    </row>
    <row r="972" spans="1:18" ht="19.5" hidden="1" thickBot="1" x14ac:dyDescent="0.3">
      <c r="A972" s="991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6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  <c r="Q972" s="2"/>
      <c r="R972" s="2"/>
    </row>
    <row r="973" spans="1:18" ht="19.5" hidden="1" thickBot="1" x14ac:dyDescent="0.3">
      <c r="A973" s="991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6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  <c r="Q973" s="2"/>
      <c r="R973" s="2"/>
    </row>
    <row r="974" spans="1:18" ht="19.5" hidden="1" thickBot="1" x14ac:dyDescent="0.3">
      <c r="A974" s="990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6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  <c r="Q974" s="2"/>
      <c r="R974" s="2"/>
    </row>
    <row r="975" spans="1:18" ht="19.5" hidden="1" thickBot="1" x14ac:dyDescent="0.3">
      <c r="A975" s="990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6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  <c r="Q975" s="2"/>
      <c r="R975" s="2"/>
    </row>
    <row r="976" spans="1:18" ht="19.5" hidden="1" thickBot="1" x14ac:dyDescent="0.3">
      <c r="A976" s="990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6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  <c r="Q976" s="2"/>
      <c r="R976" s="2"/>
    </row>
    <row r="977" spans="1:18" ht="19.5" hidden="1" thickBot="1" x14ac:dyDescent="0.3">
      <c r="A977" s="991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6"/>
        <v>12,23</v>
      </c>
      <c r="L977" s="48" t="s">
        <v>266</v>
      </c>
      <c r="M977" s="48">
        <v>13005</v>
      </c>
      <c r="N977" s="315">
        <v>0.5</v>
      </c>
      <c r="O977" s="2"/>
      <c r="P977" s="2"/>
      <c r="Q977" s="2"/>
      <c r="R977" s="2"/>
    </row>
    <row r="978" spans="1:18" ht="19.5" hidden="1" thickBot="1" x14ac:dyDescent="0.3">
      <c r="A978" s="991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6"/>
        <v>12,23</v>
      </c>
      <c r="L978" s="56" t="s">
        <v>265</v>
      </c>
      <c r="M978" s="56">
        <v>100</v>
      </c>
      <c r="N978" s="318">
        <v>0.5</v>
      </c>
      <c r="O978" s="2"/>
      <c r="P978" s="2"/>
      <c r="Q978" s="2"/>
      <c r="R978" s="2"/>
    </row>
    <row r="979" spans="1:18" ht="19.5" hidden="1" thickBot="1" x14ac:dyDescent="0.3">
      <c r="A979" s="991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6"/>
        <v>12,23</v>
      </c>
      <c r="L979" s="31" t="s">
        <v>28</v>
      </c>
      <c r="M979" s="31">
        <v>4020</v>
      </c>
      <c r="N979" s="316">
        <v>0.5</v>
      </c>
      <c r="O979" s="2"/>
      <c r="P979" s="2"/>
      <c r="Q979" s="2"/>
      <c r="R979" s="2"/>
    </row>
    <row r="980" spans="1:18" ht="19.5" hidden="1" thickBot="1" x14ac:dyDescent="0.3">
      <c r="A980" s="990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6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  <c r="Q980" s="2"/>
      <c r="R980" s="2"/>
    </row>
    <row r="981" spans="1:18" ht="19.5" hidden="1" thickBot="1" x14ac:dyDescent="0.3">
      <c r="A981" s="990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6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  <c r="Q981" s="2"/>
      <c r="R981" s="2"/>
    </row>
    <row r="982" spans="1:18" ht="19.5" hidden="1" thickBot="1" x14ac:dyDescent="0.3">
      <c r="A982" s="990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6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  <c r="Q982" s="2"/>
      <c r="R982" s="2"/>
    </row>
    <row r="983" spans="1:18" ht="19.5" hidden="1" customHeight="1" thickBot="1" x14ac:dyDescent="0.3">
      <c r="A983" s="991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993" t="s">
        <v>72</v>
      </c>
      <c r="H983" s="48" t="s">
        <v>267</v>
      </c>
      <c r="I983" s="163" t="s">
        <v>267</v>
      </c>
      <c r="J983" s="52"/>
      <c r="K983" s="48" t="str">
        <f t="shared" si="16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  <c r="Q983" s="2"/>
      <c r="R983" s="2"/>
    </row>
    <row r="984" spans="1:18" ht="19.5" hidden="1" thickBot="1" x14ac:dyDescent="0.3">
      <c r="A984" s="991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993"/>
      <c r="H984" s="71" t="s">
        <v>267</v>
      </c>
      <c r="I984" s="189" t="s">
        <v>267</v>
      </c>
      <c r="J984" s="35"/>
      <c r="K984" s="71" t="str">
        <f t="shared" si="16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  <c r="Q984" s="2"/>
      <c r="R984" s="2"/>
    </row>
    <row r="985" spans="1:18" ht="38.25" hidden="1" thickBot="1" x14ac:dyDescent="0.3">
      <c r="A985" s="990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6"/>
        <v>12,23</v>
      </c>
      <c r="L985" s="82" t="s">
        <v>266</v>
      </c>
      <c r="M985" s="82">
        <v>10988</v>
      </c>
      <c r="N985" s="319">
        <v>0.5</v>
      </c>
      <c r="O985" s="2"/>
      <c r="P985" s="2"/>
      <c r="Q985" s="2"/>
      <c r="R985" s="2"/>
    </row>
    <row r="986" spans="1:18" ht="38.25" hidden="1" thickBot="1" x14ac:dyDescent="0.3">
      <c r="A986" s="990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6"/>
        <v>12,23</v>
      </c>
      <c r="L986" s="109" t="s">
        <v>265</v>
      </c>
      <c r="M986" s="109">
        <v>3801</v>
      </c>
      <c r="N986" s="320">
        <v>0.5</v>
      </c>
      <c r="O986" s="2"/>
      <c r="P986" s="2"/>
      <c r="Q986" s="2"/>
      <c r="R986" s="2"/>
    </row>
    <row r="987" spans="1:18" ht="38.25" hidden="1" thickBot="1" x14ac:dyDescent="0.3">
      <c r="A987" s="990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6"/>
        <v>12,23</v>
      </c>
      <c r="L987" s="107" t="s">
        <v>28</v>
      </c>
      <c r="M987" s="107">
        <v>3004</v>
      </c>
      <c r="N987" s="321">
        <v>0.5</v>
      </c>
      <c r="O987" s="2"/>
      <c r="P987" s="2"/>
      <c r="Q987" s="2"/>
      <c r="R987" s="2"/>
    </row>
    <row r="988" spans="1:18" ht="19.5" hidden="1" thickBot="1" x14ac:dyDescent="0.3">
      <c r="A988" s="991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6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  <c r="Q988" s="2"/>
      <c r="R988" s="2"/>
    </row>
    <row r="989" spans="1:18" ht="19.5" hidden="1" thickBot="1" x14ac:dyDescent="0.3">
      <c r="A989" s="991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6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  <c r="Q989" s="2"/>
      <c r="R989" s="2"/>
    </row>
    <row r="990" spans="1:18" ht="38.25" hidden="1" thickBot="1" x14ac:dyDescent="0.3">
      <c r="A990" s="990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6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  <c r="Q990" s="2"/>
      <c r="R990" s="2"/>
    </row>
    <row r="991" spans="1:18" ht="38.25" hidden="1" thickBot="1" x14ac:dyDescent="0.3">
      <c r="A991" s="990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6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  <c r="Q991" s="2"/>
      <c r="R991" s="2"/>
    </row>
    <row r="992" spans="1:18" ht="38.25" hidden="1" thickBot="1" x14ac:dyDescent="0.3">
      <c r="A992" s="990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6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  <c r="Q992" s="2"/>
      <c r="R992" s="2"/>
    </row>
    <row r="993" spans="1:18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6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  <c r="Q993" s="2"/>
      <c r="R993" s="2"/>
    </row>
    <row r="994" spans="1:18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6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  <c r="Q994" s="2"/>
      <c r="R994" s="2"/>
    </row>
    <row r="995" spans="1:18" ht="19.5" hidden="1" thickBot="1" x14ac:dyDescent="0.3">
      <c r="A995" s="991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6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  <c r="Q995" s="2"/>
      <c r="R995" s="2"/>
    </row>
    <row r="996" spans="1:18" ht="19.5" hidden="1" thickBot="1" x14ac:dyDescent="0.3">
      <c r="A996" s="991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6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  <c r="Q996" s="2"/>
      <c r="R996" s="2"/>
    </row>
    <row r="997" spans="1:18" ht="19.5" hidden="1" thickBot="1" x14ac:dyDescent="0.3">
      <c r="A997" s="991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6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  <c r="Q997" s="2"/>
      <c r="R997" s="2"/>
    </row>
    <row r="998" spans="1:18" ht="19.5" hidden="1" thickBot="1" x14ac:dyDescent="0.3">
      <c r="A998" s="991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6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  <c r="Q998" s="2"/>
      <c r="R998" s="2"/>
    </row>
    <row r="999" spans="1:18" ht="38.25" hidden="1" thickBot="1" x14ac:dyDescent="0.3">
      <c r="A999" s="991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6"/>
        <v>12,23</v>
      </c>
      <c r="L999" s="56" t="s">
        <v>28</v>
      </c>
      <c r="M999" s="71">
        <v>2053</v>
      </c>
      <c r="N999" s="323">
        <v>0.5</v>
      </c>
      <c r="O999" s="2"/>
      <c r="P999" s="2"/>
      <c r="Q999" s="2"/>
      <c r="R999" s="2"/>
    </row>
    <row r="1000" spans="1:18" ht="19.5" hidden="1" thickBot="1" x14ac:dyDescent="0.3">
      <c r="A1000" s="990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6"/>
        <v>12,23</v>
      </c>
      <c r="L1000" s="82" t="s">
        <v>266</v>
      </c>
      <c r="M1000" s="82">
        <v>16894</v>
      </c>
      <c r="N1000" s="319">
        <v>0.5</v>
      </c>
      <c r="O1000" s="2"/>
      <c r="P1000" s="2"/>
      <c r="Q1000" s="2"/>
      <c r="R1000" s="2"/>
    </row>
    <row r="1001" spans="1:18" ht="19.5" hidden="1" thickBot="1" x14ac:dyDescent="0.3">
      <c r="A1001" s="990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6"/>
        <v>12,23</v>
      </c>
      <c r="L1001" s="107" t="s">
        <v>28</v>
      </c>
      <c r="M1001" s="107">
        <v>264</v>
      </c>
      <c r="N1001" s="321">
        <v>0.5</v>
      </c>
      <c r="O1001" s="2"/>
      <c r="P1001" s="2"/>
      <c r="Q1001" s="2"/>
      <c r="R1001" s="2"/>
    </row>
    <row r="1002" spans="1:18" ht="19.5" hidden="1" thickBot="1" x14ac:dyDescent="0.3">
      <c r="A1002" s="995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6"/>
        <v>12,23</v>
      </c>
      <c r="L1002" s="48" t="s">
        <v>266</v>
      </c>
      <c r="M1002" s="48">
        <v>16675</v>
      </c>
      <c r="N1002" s="315">
        <v>0.375</v>
      </c>
      <c r="O1002" s="2"/>
      <c r="P1002" s="2"/>
      <c r="Q1002" s="2"/>
      <c r="R1002" s="2"/>
    </row>
    <row r="1003" spans="1:18" ht="19.5" hidden="1" thickBot="1" x14ac:dyDescent="0.3">
      <c r="A1003" s="995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6"/>
        <v>12,23</v>
      </c>
      <c r="L1003" s="195" t="s">
        <v>28</v>
      </c>
      <c r="M1003" s="195">
        <v>1354</v>
      </c>
      <c r="N1003" s="324">
        <v>0.375</v>
      </c>
      <c r="O1003" s="2"/>
      <c r="P1003" s="2"/>
      <c r="Q1003" s="2"/>
      <c r="R1003" s="2"/>
    </row>
    <row r="1004" spans="1:18" ht="19.5" hidden="1" thickBot="1" x14ac:dyDescent="0.3">
      <c r="A1004" s="990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6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  <c r="Q1004" s="2"/>
      <c r="R1004" s="2"/>
    </row>
    <row r="1005" spans="1:18" ht="19.5" hidden="1" thickBot="1" x14ac:dyDescent="0.3">
      <c r="A1005" s="990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6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  <c r="Q1005" s="2"/>
      <c r="R1005" s="2"/>
    </row>
    <row r="1006" spans="1:18" ht="19.5" hidden="1" thickBot="1" x14ac:dyDescent="0.3">
      <c r="A1006" s="991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6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  <c r="Q1006" s="2"/>
      <c r="R1006" s="2"/>
    </row>
    <row r="1007" spans="1:18" ht="19.5" hidden="1" thickBot="1" x14ac:dyDescent="0.3">
      <c r="A1007" s="991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6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  <c r="Q1007" s="2"/>
      <c r="R1007" s="2"/>
    </row>
    <row r="1008" spans="1:18" ht="19.5" hidden="1" thickBot="1" x14ac:dyDescent="0.3">
      <c r="A1008" s="990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6"/>
        <v>12,23</v>
      </c>
      <c r="L1008" s="82" t="s">
        <v>266</v>
      </c>
      <c r="M1008" s="82">
        <v>1075</v>
      </c>
      <c r="N1008" s="319">
        <v>0.5</v>
      </c>
      <c r="O1008" s="2"/>
      <c r="P1008" s="2"/>
      <c r="Q1008" s="2"/>
      <c r="R1008" s="2"/>
    </row>
    <row r="1009" spans="1:18" ht="19.5" hidden="1" thickBot="1" x14ac:dyDescent="0.3">
      <c r="A1009" s="990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6"/>
        <v>12,23</v>
      </c>
      <c r="L1009" s="98" t="s">
        <v>266</v>
      </c>
      <c r="M1009" s="109">
        <v>1435</v>
      </c>
      <c r="N1009" s="320">
        <v>0.5</v>
      </c>
      <c r="O1009" s="2"/>
      <c r="P1009" s="2"/>
      <c r="Q1009" s="2"/>
      <c r="R1009" s="2"/>
    </row>
    <row r="1010" spans="1:18" ht="19.5" hidden="1" thickBot="1" x14ac:dyDescent="0.3">
      <c r="A1010" s="990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6"/>
        <v>12,23</v>
      </c>
      <c r="L1010" s="98" t="s">
        <v>266</v>
      </c>
      <c r="M1010" s="109">
        <v>3127</v>
      </c>
      <c r="N1010" s="320">
        <v>0.5</v>
      </c>
      <c r="O1010" s="2"/>
      <c r="P1010" s="2"/>
      <c r="Q1010" s="2"/>
      <c r="R1010" s="2"/>
    </row>
    <row r="1011" spans="1:18" ht="19.5" hidden="1" thickBot="1" x14ac:dyDescent="0.3">
      <c r="A1011" s="990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6"/>
        <v>12,23</v>
      </c>
      <c r="L1011" s="98" t="s">
        <v>266</v>
      </c>
      <c r="M1011" s="109">
        <v>2527</v>
      </c>
      <c r="N1011" s="320">
        <v>0.5</v>
      </c>
      <c r="O1011" s="2"/>
      <c r="P1011" s="2"/>
      <c r="Q1011" s="2"/>
      <c r="R1011" s="2"/>
    </row>
    <row r="1012" spans="1:18" ht="19.5" hidden="1" thickBot="1" x14ac:dyDescent="0.3">
      <c r="A1012" s="990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6"/>
        <v>12,23</v>
      </c>
      <c r="L1012" s="98" t="s">
        <v>266</v>
      </c>
      <c r="M1012" s="109">
        <v>7677</v>
      </c>
      <c r="N1012" s="320">
        <v>0.5</v>
      </c>
      <c r="O1012" s="2"/>
      <c r="P1012" s="2"/>
      <c r="Q1012" s="2"/>
      <c r="R1012" s="2"/>
    </row>
    <row r="1013" spans="1:18" ht="19.5" hidden="1" thickBot="1" x14ac:dyDescent="0.3">
      <c r="A1013" s="990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6"/>
        <v>12,23</v>
      </c>
      <c r="L1013" s="98" t="s">
        <v>266</v>
      </c>
      <c r="M1013" s="129">
        <v>2027</v>
      </c>
      <c r="N1013" s="327">
        <v>0.5</v>
      </c>
      <c r="O1013" s="2"/>
      <c r="P1013" s="2"/>
      <c r="Q1013" s="2"/>
      <c r="R1013" s="2"/>
    </row>
    <row r="1014" spans="1:18" ht="38.25" hidden="1" thickBot="1" x14ac:dyDescent="0.3">
      <c r="A1014" s="990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6"/>
        <v>12,23</v>
      </c>
      <c r="L1014" s="90" t="s">
        <v>266</v>
      </c>
      <c r="M1014" s="107">
        <v>72</v>
      </c>
      <c r="N1014" s="321">
        <v>0.5</v>
      </c>
      <c r="O1014" s="2"/>
      <c r="P1014" s="2"/>
      <c r="Q1014" s="2"/>
      <c r="R1014" s="2"/>
    </row>
    <row r="1015" spans="1:18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6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  <c r="Q1015" s="2"/>
      <c r="R1015" s="2"/>
    </row>
    <row r="1016" spans="1:18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6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  <c r="Q1016" s="2"/>
      <c r="R1016" s="2"/>
    </row>
    <row r="1017" spans="1:18" ht="19.5" hidden="1" thickBot="1" x14ac:dyDescent="0.3">
      <c r="A1017" s="991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6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  <c r="Q1017" s="2"/>
      <c r="R1017" s="2"/>
    </row>
    <row r="1018" spans="1:18" ht="19.5" hidden="1" thickBot="1" x14ac:dyDescent="0.3">
      <c r="A1018" s="991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6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  <c r="Q1018" s="2"/>
      <c r="R1018" s="2"/>
    </row>
    <row r="1019" spans="1:18" ht="19.5" hidden="1" thickBot="1" x14ac:dyDescent="0.3">
      <c r="A1019" s="990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6"/>
        <v>12,23</v>
      </c>
      <c r="L1019" s="82" t="s">
        <v>266</v>
      </c>
      <c r="M1019" s="82">
        <v>17574</v>
      </c>
      <c r="N1019" s="319">
        <v>0.375</v>
      </c>
      <c r="O1019" s="2"/>
      <c r="P1019" s="2"/>
      <c r="Q1019" s="2"/>
      <c r="R1019" s="2"/>
    </row>
    <row r="1020" spans="1:18" ht="19.5" hidden="1" thickBot="1" x14ac:dyDescent="0.3">
      <c r="A1020" s="990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6"/>
        <v>12,23</v>
      </c>
      <c r="L1020" s="107" t="s">
        <v>28</v>
      </c>
      <c r="M1020" s="107">
        <v>279</v>
      </c>
      <c r="N1020" s="321">
        <v>0.375</v>
      </c>
      <c r="O1020" s="2"/>
      <c r="P1020" s="2"/>
      <c r="Q1020" s="2"/>
      <c r="R1020" s="2"/>
    </row>
    <row r="1021" spans="1:18" ht="57" hidden="1" thickBot="1" x14ac:dyDescent="0.3">
      <c r="A1021" s="991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6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  <c r="Q1021" s="2"/>
      <c r="R1021" s="2"/>
    </row>
    <row r="1022" spans="1:18" ht="57" hidden="1" thickBot="1" x14ac:dyDescent="0.3">
      <c r="A1022" s="991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6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  <c r="Q1022" s="2"/>
      <c r="R1022" s="2"/>
    </row>
    <row r="1023" spans="1:18" ht="19.5" hidden="1" thickBot="1" x14ac:dyDescent="0.3">
      <c r="A1023" s="990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6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  <c r="Q1023" s="2"/>
      <c r="R1023" s="2"/>
    </row>
    <row r="1024" spans="1:18" ht="19.5" hidden="1" thickBot="1" x14ac:dyDescent="0.3">
      <c r="A1024" s="990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6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  <c r="Q1024" s="2"/>
      <c r="R1024" s="2"/>
    </row>
    <row r="1025" spans="1:18" ht="19.5" hidden="1" thickBot="1" x14ac:dyDescent="0.3">
      <c r="A1025" s="990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6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  <c r="Q1025" s="2"/>
      <c r="R1025" s="2"/>
    </row>
    <row r="1026" spans="1:18" ht="19.5" hidden="1" thickBot="1" x14ac:dyDescent="0.3">
      <c r="A1026" s="991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6"/>
        <v>12,23</v>
      </c>
      <c r="L1026" s="48" t="s">
        <v>28</v>
      </c>
      <c r="M1026" s="48">
        <v>5896</v>
      </c>
      <c r="N1026" s="315">
        <v>0.5</v>
      </c>
      <c r="O1026" s="2"/>
      <c r="P1026" s="2"/>
      <c r="Q1026" s="2"/>
      <c r="R1026" s="2"/>
    </row>
    <row r="1027" spans="1:18" ht="19.5" hidden="1" thickBot="1" x14ac:dyDescent="0.3">
      <c r="A1027" s="991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7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  <c r="Q1027" s="2"/>
      <c r="R1027" s="2"/>
    </row>
    <row r="1028" spans="1:18" ht="19.5" hidden="1" thickBot="1" x14ac:dyDescent="0.3">
      <c r="A1028" s="990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7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  <c r="Q1028" s="2"/>
      <c r="R1028" s="2"/>
    </row>
    <row r="1029" spans="1:18" ht="19.5" hidden="1" thickBot="1" x14ac:dyDescent="0.3">
      <c r="A1029" s="990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7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  <c r="Q1029" s="2"/>
      <c r="R1029" s="2"/>
    </row>
    <row r="1030" spans="1:18" ht="19.5" hidden="1" customHeight="1" thickBot="1" x14ac:dyDescent="0.3">
      <c r="A1030" s="991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993" t="s">
        <v>72</v>
      </c>
      <c r="H1030" s="48" t="s">
        <v>276</v>
      </c>
      <c r="I1030" s="163" t="s">
        <v>276</v>
      </c>
      <c r="J1030" s="52"/>
      <c r="K1030" s="48" t="str">
        <f t="shared" si="17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  <c r="Q1030" s="2"/>
      <c r="R1030" s="2"/>
    </row>
    <row r="1031" spans="1:18" ht="19.5" hidden="1" thickBot="1" x14ac:dyDescent="0.3">
      <c r="A1031" s="991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993"/>
      <c r="H1031" s="31" t="s">
        <v>276</v>
      </c>
      <c r="I1031" s="189" t="s">
        <v>277</v>
      </c>
      <c r="J1031" s="35"/>
      <c r="K1031" s="31" t="str">
        <f t="shared" si="17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  <c r="Q1031" s="2"/>
      <c r="R1031" s="2"/>
    </row>
    <row r="1032" spans="1:18" ht="19.5" hidden="1" thickBot="1" x14ac:dyDescent="0.3">
      <c r="A1032" s="990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7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  <c r="Q1032" s="2"/>
      <c r="R1032" s="2"/>
    </row>
    <row r="1033" spans="1:18" ht="19.5" hidden="1" thickBot="1" x14ac:dyDescent="0.3">
      <c r="A1033" s="990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7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  <c r="Q1033" s="2"/>
      <c r="R1033" s="2"/>
    </row>
    <row r="1034" spans="1:18" ht="19.5" hidden="1" thickBot="1" x14ac:dyDescent="0.3">
      <c r="A1034" s="990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7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  <c r="Q1034" s="2"/>
      <c r="R1034" s="2"/>
    </row>
    <row r="1035" spans="1:18" ht="38.25" hidden="1" thickBot="1" x14ac:dyDescent="0.3">
      <c r="A1035" s="991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7"/>
        <v>12,23</v>
      </c>
      <c r="L1035" s="48" t="s">
        <v>266</v>
      </c>
      <c r="M1035" s="48">
        <v>13875</v>
      </c>
      <c r="N1035" s="315">
        <v>0.5</v>
      </c>
      <c r="O1035" s="2"/>
      <c r="P1035" s="2"/>
      <c r="Q1035" s="2"/>
      <c r="R1035" s="2"/>
    </row>
    <row r="1036" spans="1:18" ht="38.25" hidden="1" thickBot="1" x14ac:dyDescent="0.3">
      <c r="A1036" s="991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7"/>
        <v>12,23</v>
      </c>
      <c r="L1036" s="31" t="s">
        <v>28</v>
      </c>
      <c r="M1036" s="31">
        <v>4010</v>
      </c>
      <c r="N1036" s="316">
        <v>0.5</v>
      </c>
      <c r="O1036" s="2"/>
      <c r="P1036" s="2"/>
      <c r="Q1036" s="2"/>
      <c r="R1036" s="2"/>
    </row>
    <row r="1037" spans="1:18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7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  <c r="Q1037" s="2"/>
      <c r="R1037" s="2"/>
    </row>
    <row r="1038" spans="1:18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7"/>
        <v>12,23</v>
      </c>
      <c r="L1038" s="75" t="s">
        <v>265</v>
      </c>
      <c r="M1038" s="75">
        <v>16908</v>
      </c>
      <c r="N1038" s="322">
        <v>0.375</v>
      </c>
      <c r="O1038" s="2"/>
      <c r="P1038" s="2"/>
      <c r="Q1038" s="2"/>
      <c r="R1038" s="2"/>
    </row>
    <row r="1039" spans="1:18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7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  <c r="Q1039" s="2"/>
      <c r="R1039" s="2"/>
    </row>
    <row r="1040" spans="1:18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7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  <c r="Q1040" s="2"/>
      <c r="R1040" s="2"/>
    </row>
    <row r="1041" spans="1:18" ht="19.5" hidden="1" thickBot="1" x14ac:dyDescent="0.3">
      <c r="A1041" s="990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7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  <c r="Q1041" s="2"/>
      <c r="R1041" s="2"/>
    </row>
    <row r="1042" spans="1:18" ht="19.5" hidden="1" thickBot="1" x14ac:dyDescent="0.3">
      <c r="A1042" s="990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7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  <c r="Q1042" s="2"/>
      <c r="R1042" s="2"/>
    </row>
    <row r="1043" spans="1:18" ht="19.5" hidden="1" thickBot="1" x14ac:dyDescent="0.3">
      <c r="A1043" s="991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7"/>
        <v>12,23</v>
      </c>
      <c r="L1043" s="48" t="s">
        <v>28</v>
      </c>
      <c r="M1043" s="48">
        <v>6286</v>
      </c>
      <c r="N1043" s="315">
        <v>0.375</v>
      </c>
      <c r="O1043" s="2"/>
      <c r="P1043" s="2"/>
      <c r="Q1043" s="2"/>
      <c r="R1043" s="2"/>
    </row>
    <row r="1044" spans="1:18" ht="19.5" hidden="1" thickBot="1" x14ac:dyDescent="0.3">
      <c r="A1044" s="991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7"/>
        <v>12,23</v>
      </c>
      <c r="L1044" s="56" t="s">
        <v>28</v>
      </c>
      <c r="M1044" s="56">
        <v>2527</v>
      </c>
      <c r="N1044" s="318">
        <v>0.375</v>
      </c>
      <c r="O1044" s="2"/>
      <c r="P1044" s="2"/>
      <c r="Q1044" s="2"/>
      <c r="R1044" s="2"/>
    </row>
    <row r="1045" spans="1:18" ht="19.5" hidden="1" thickBot="1" x14ac:dyDescent="0.3">
      <c r="A1045" s="991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7"/>
        <v>12,23</v>
      </c>
      <c r="L1045" s="31" t="s">
        <v>28</v>
      </c>
      <c r="M1045" s="31">
        <v>1586</v>
      </c>
      <c r="N1045" s="316">
        <v>0.375</v>
      </c>
      <c r="O1045" s="2"/>
      <c r="P1045" s="2"/>
      <c r="Q1045" s="2"/>
      <c r="R1045" s="2"/>
    </row>
    <row r="1046" spans="1:18" ht="19.5" hidden="1" thickBot="1" x14ac:dyDescent="0.3">
      <c r="A1046" s="990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7"/>
        <v>12,23</v>
      </c>
      <c r="L1046" s="82" t="s">
        <v>266</v>
      </c>
      <c r="M1046" s="82">
        <v>15076</v>
      </c>
      <c r="N1046" s="319">
        <v>0.375</v>
      </c>
      <c r="O1046" s="2"/>
      <c r="P1046" s="2"/>
      <c r="Q1046" s="2"/>
      <c r="R1046" s="2"/>
    </row>
    <row r="1047" spans="1:18" ht="19.5" hidden="1" thickBot="1" x14ac:dyDescent="0.3">
      <c r="A1047" s="990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7"/>
        <v>12,23</v>
      </c>
      <c r="L1047" s="107" t="s">
        <v>28</v>
      </c>
      <c r="M1047" s="107">
        <v>2707</v>
      </c>
      <c r="N1047" s="321">
        <v>0.375</v>
      </c>
      <c r="O1047" s="2"/>
      <c r="P1047" s="2"/>
      <c r="Q1047" s="2"/>
      <c r="R1047" s="2"/>
    </row>
    <row r="1048" spans="1:18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7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  <c r="Q1048" s="2"/>
      <c r="R1048" s="2"/>
    </row>
    <row r="1049" spans="1:18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7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  <c r="Q1049" s="2"/>
      <c r="R1049" s="2"/>
    </row>
    <row r="1050" spans="1:18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7"/>
        <v>12,23</v>
      </c>
      <c r="L1050" s="75" t="s">
        <v>266</v>
      </c>
      <c r="M1050" s="75">
        <v>18555</v>
      </c>
      <c r="N1050" s="322">
        <v>0.5</v>
      </c>
      <c r="O1050" s="2"/>
      <c r="P1050" s="2"/>
      <c r="Q1050" s="2"/>
      <c r="R1050" s="2"/>
    </row>
    <row r="1051" spans="1:18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7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  <c r="Q1051" s="2"/>
      <c r="R1051" s="2"/>
    </row>
    <row r="1052" spans="1:18" ht="19.5" hidden="1" thickBot="1" x14ac:dyDescent="0.3">
      <c r="A1052" s="991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7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  <c r="Q1052" s="2"/>
      <c r="R1052" s="2"/>
    </row>
    <row r="1053" spans="1:18" ht="19.5" hidden="1" thickBot="1" x14ac:dyDescent="0.3">
      <c r="A1053" s="991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7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  <c r="Q1053" s="2"/>
      <c r="R1053" s="2"/>
    </row>
    <row r="1054" spans="1:18" ht="19.5" hidden="1" thickBot="1" x14ac:dyDescent="0.3">
      <c r="A1054" s="991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7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  <c r="Q1054" s="2"/>
      <c r="R1054" s="2"/>
    </row>
    <row r="1055" spans="1:18" ht="19.5" hidden="1" thickBot="1" x14ac:dyDescent="0.3">
      <c r="A1055" s="991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7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  <c r="Q1055" s="2"/>
      <c r="R1055" s="2"/>
    </row>
    <row r="1056" spans="1:18" ht="19.5" hidden="1" thickBot="1" x14ac:dyDescent="0.3">
      <c r="A1056" s="991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7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  <c r="Q1056" s="2"/>
      <c r="R1056" s="2"/>
    </row>
    <row r="1057" spans="1:18" ht="113.25" hidden="1" thickBot="1" x14ac:dyDescent="0.3">
      <c r="A1057" s="991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7"/>
        <v>--,--</v>
      </c>
      <c r="L1057" s="56" t="s">
        <v>266</v>
      </c>
      <c r="M1057" s="56"/>
      <c r="N1057" s="318"/>
      <c r="O1057" s="2"/>
      <c r="P1057" s="2"/>
      <c r="Q1057" s="2"/>
      <c r="R1057" s="2"/>
    </row>
    <row r="1058" spans="1:18" ht="19.5" hidden="1" thickBot="1" x14ac:dyDescent="0.3">
      <c r="A1058" s="991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7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  <c r="Q1058" s="2"/>
      <c r="R1058" s="2"/>
    </row>
    <row r="1059" spans="1:18" ht="19.5" hidden="1" thickBot="1" x14ac:dyDescent="0.3">
      <c r="A1059" s="991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7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  <c r="Q1059" s="2"/>
      <c r="R1059" s="2"/>
    </row>
    <row r="1060" spans="1:18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7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  <c r="Q1060" s="2"/>
      <c r="R1060" s="2"/>
    </row>
    <row r="1061" spans="1:18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7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  <c r="Q1061" s="2"/>
      <c r="R1061" s="2"/>
    </row>
    <row r="1062" spans="1:18" ht="38.25" hidden="1" thickBot="1" x14ac:dyDescent="0.3">
      <c r="A1062" s="990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7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  <c r="Q1062" s="2"/>
      <c r="R1062" s="2"/>
    </row>
    <row r="1063" spans="1:18" ht="38.25" hidden="1" thickBot="1" x14ac:dyDescent="0.3">
      <c r="A1063" s="990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7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  <c r="Q1063" s="2"/>
      <c r="R1063" s="2"/>
    </row>
    <row r="1064" spans="1:18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7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  <c r="Q1064" s="2"/>
      <c r="R1064" s="2"/>
    </row>
    <row r="1065" spans="1:18" ht="19.5" hidden="1" thickBot="1" x14ac:dyDescent="0.3">
      <c r="A1065" s="990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7"/>
        <v>12,23</v>
      </c>
      <c r="L1065" s="82" t="s">
        <v>28</v>
      </c>
      <c r="M1065" s="82">
        <v>3861</v>
      </c>
      <c r="N1065" s="319">
        <v>0.375</v>
      </c>
      <c r="O1065" s="2"/>
      <c r="P1065" s="2"/>
      <c r="Q1065" s="2"/>
      <c r="R1065" s="2"/>
    </row>
    <row r="1066" spans="1:18" ht="19.5" hidden="1" thickBot="1" x14ac:dyDescent="0.3">
      <c r="A1066" s="990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7"/>
        <v>12,23</v>
      </c>
      <c r="L1066" s="109" t="s">
        <v>28</v>
      </c>
      <c r="M1066" s="109">
        <v>9097</v>
      </c>
      <c r="N1066" s="320">
        <v>0.375</v>
      </c>
      <c r="O1066" s="2"/>
      <c r="P1066" s="2"/>
      <c r="Q1066" s="2"/>
      <c r="R1066" s="2"/>
    </row>
    <row r="1067" spans="1:18" ht="19.5" hidden="1" thickBot="1" x14ac:dyDescent="0.3">
      <c r="A1067" s="990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7"/>
        <v>12,23</v>
      </c>
      <c r="L1067" s="107" t="s">
        <v>28</v>
      </c>
      <c r="M1067" s="107">
        <v>4831</v>
      </c>
      <c r="N1067" s="321">
        <v>0.375</v>
      </c>
      <c r="O1067" s="2"/>
      <c r="P1067" s="2"/>
      <c r="Q1067" s="2"/>
      <c r="R1067" s="2"/>
    </row>
    <row r="1068" spans="1:18" ht="19.5" hidden="1" thickBot="1" x14ac:dyDescent="0.3">
      <c r="A1068" s="991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7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  <c r="Q1068" s="2"/>
      <c r="R1068" s="2"/>
    </row>
    <row r="1069" spans="1:18" ht="19.5" hidden="1" thickBot="1" x14ac:dyDescent="0.3">
      <c r="A1069" s="991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7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  <c r="Q1069" s="2"/>
      <c r="R1069" s="2"/>
    </row>
    <row r="1070" spans="1:18" ht="19.5" hidden="1" thickBot="1" x14ac:dyDescent="0.3">
      <c r="A1070" s="990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7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  <c r="Q1070" s="2"/>
      <c r="R1070" s="2"/>
    </row>
    <row r="1071" spans="1:18" ht="19.5" hidden="1" thickBot="1" x14ac:dyDescent="0.3">
      <c r="A1071" s="990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7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  <c r="Q1071" s="2"/>
      <c r="R1071" s="2"/>
    </row>
    <row r="1072" spans="1:18" ht="19.5" hidden="1" thickBot="1" x14ac:dyDescent="0.3">
      <c r="A1072" s="991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7"/>
        <v>12,23</v>
      </c>
      <c r="L1072" s="48" t="s">
        <v>266</v>
      </c>
      <c r="M1072" s="48">
        <v>13014</v>
      </c>
      <c r="N1072" s="315">
        <v>0.5</v>
      </c>
      <c r="O1072" s="2"/>
      <c r="P1072" s="2"/>
      <c r="Q1072" s="2"/>
      <c r="R1072" s="2"/>
    </row>
    <row r="1073" spans="1:18" ht="19.5" hidden="1" thickBot="1" x14ac:dyDescent="0.3">
      <c r="A1073" s="991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7"/>
        <v>12,23</v>
      </c>
      <c r="L1073" s="56" t="s">
        <v>28</v>
      </c>
      <c r="M1073" s="56">
        <v>403</v>
      </c>
      <c r="N1073" s="318">
        <v>0.5</v>
      </c>
      <c r="O1073" s="2"/>
      <c r="P1073" s="2"/>
      <c r="Q1073" s="2"/>
      <c r="R1073" s="2"/>
    </row>
    <row r="1074" spans="1:18" ht="19.5" hidden="1" thickBot="1" x14ac:dyDescent="0.3">
      <c r="A1074" s="991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7"/>
        <v>12,23</v>
      </c>
      <c r="L1074" s="31" t="s">
        <v>28</v>
      </c>
      <c r="M1074" s="31">
        <v>4740</v>
      </c>
      <c r="N1074" s="316">
        <v>0.5</v>
      </c>
      <c r="O1074" s="2"/>
      <c r="P1074" s="2"/>
      <c r="Q1074" s="2"/>
      <c r="R1074" s="2"/>
    </row>
    <row r="1075" spans="1:18" ht="19.5" hidden="1" thickBot="1" x14ac:dyDescent="0.3">
      <c r="A1075" s="990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7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  <c r="Q1075" s="2"/>
      <c r="R1075" s="2"/>
    </row>
    <row r="1076" spans="1:18" ht="19.5" hidden="1" thickBot="1" x14ac:dyDescent="0.3">
      <c r="A1076" s="990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7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  <c r="Q1076" s="2"/>
      <c r="R1076" s="2"/>
    </row>
    <row r="1077" spans="1:18" ht="19.5" hidden="1" thickBot="1" x14ac:dyDescent="0.3">
      <c r="A1077" s="990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7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  <c r="Q1077" s="2"/>
      <c r="R1077" s="2"/>
    </row>
    <row r="1078" spans="1:18" ht="38.25" hidden="1" thickBot="1" x14ac:dyDescent="0.3">
      <c r="A1078" s="991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7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  <c r="Q1078" s="2"/>
      <c r="R1078" s="2"/>
    </row>
    <row r="1079" spans="1:18" ht="38.25" hidden="1" thickBot="1" x14ac:dyDescent="0.3">
      <c r="A1079" s="991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7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  <c r="Q1079" s="2"/>
      <c r="R1079" s="2"/>
    </row>
    <row r="1080" spans="1:18" ht="19.5" hidden="1" customHeight="1" thickBot="1" x14ac:dyDescent="0.3">
      <c r="A1080" s="990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992" t="s">
        <v>72</v>
      </c>
      <c r="H1080" s="82" t="s">
        <v>289</v>
      </c>
      <c r="I1080" s="147" t="s">
        <v>289</v>
      </c>
      <c r="J1080" s="86"/>
      <c r="K1080" s="82" t="str">
        <f t="shared" si="17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  <c r="Q1080" s="2"/>
      <c r="R1080" s="2"/>
    </row>
    <row r="1081" spans="1:18" ht="19.5" hidden="1" thickBot="1" x14ac:dyDescent="0.3">
      <c r="A1081" s="990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992"/>
      <c r="H1081" s="107" t="s">
        <v>289</v>
      </c>
      <c r="I1081" s="148" t="s">
        <v>289</v>
      </c>
      <c r="J1081" s="94"/>
      <c r="K1081" s="107" t="str">
        <f t="shared" si="17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  <c r="Q1081" s="2"/>
      <c r="R1081" s="2"/>
    </row>
    <row r="1082" spans="1:18" ht="19.5" hidden="1" thickBot="1" x14ac:dyDescent="0.3">
      <c r="A1082" s="991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7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  <c r="Q1082" s="2"/>
      <c r="R1082" s="2"/>
    </row>
    <row r="1083" spans="1:18" ht="19.5" hidden="1" thickBot="1" x14ac:dyDescent="0.3">
      <c r="A1083" s="991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7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  <c r="Q1083" s="2"/>
      <c r="R1083" s="2"/>
    </row>
    <row r="1084" spans="1:18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7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  <c r="Q1084" s="2"/>
      <c r="R1084" s="2"/>
    </row>
    <row r="1085" spans="1:18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7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  <c r="Q1085" s="2"/>
      <c r="R1085" s="2"/>
    </row>
    <row r="1086" spans="1:18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7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  <c r="Q1086" s="2"/>
      <c r="R1086" s="2"/>
    </row>
    <row r="1087" spans="1:18" ht="19.5" hidden="1" thickBot="1" x14ac:dyDescent="0.3">
      <c r="A1087" s="991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7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  <c r="Q1087" s="2"/>
      <c r="R1087" s="2"/>
    </row>
    <row r="1088" spans="1:18" ht="19.5" hidden="1" thickBot="1" x14ac:dyDescent="0.3">
      <c r="A1088" s="991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7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  <c r="Q1088" s="2"/>
      <c r="R1088" s="2"/>
    </row>
    <row r="1089" spans="1:18" ht="19.5" hidden="1" thickBot="1" x14ac:dyDescent="0.3">
      <c r="A1089" s="991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7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  <c r="Q1089" s="2"/>
      <c r="R1089" s="2"/>
    </row>
    <row r="1090" spans="1:18" ht="19.5" hidden="1" thickBot="1" x14ac:dyDescent="0.3">
      <c r="A1090" s="991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7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  <c r="Q1090" s="2"/>
      <c r="R1090" s="2"/>
    </row>
    <row r="1091" spans="1:18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8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  <c r="Q1091" s="2"/>
      <c r="R1091" s="2"/>
    </row>
    <row r="1092" spans="1:18" ht="19.5" hidden="1" thickBot="1" x14ac:dyDescent="0.3">
      <c r="A1092" s="991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8"/>
        <v>12,23</v>
      </c>
      <c r="L1092" s="48" t="s">
        <v>266</v>
      </c>
      <c r="M1092" s="48">
        <v>17560</v>
      </c>
      <c r="N1092" s="315">
        <v>0.5</v>
      </c>
      <c r="O1092" s="2"/>
      <c r="P1092" s="2"/>
      <c r="Q1092" s="2"/>
      <c r="R1092" s="2"/>
    </row>
    <row r="1093" spans="1:18" ht="19.5" hidden="1" thickBot="1" x14ac:dyDescent="0.3">
      <c r="A1093" s="991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8"/>
        <v>12,23</v>
      </c>
      <c r="L1093" s="31" t="s">
        <v>28</v>
      </c>
      <c r="M1093" s="31">
        <v>234</v>
      </c>
      <c r="N1093" s="316">
        <v>0.5</v>
      </c>
      <c r="O1093" s="2"/>
      <c r="P1093" s="2"/>
      <c r="Q1093" s="2"/>
      <c r="R1093" s="2"/>
    </row>
    <row r="1094" spans="1:18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8"/>
        <v>12,23</v>
      </c>
      <c r="L1094" s="40" t="s">
        <v>266</v>
      </c>
      <c r="M1094" s="40">
        <v>18043</v>
      </c>
      <c r="N1094" s="317">
        <v>0.375</v>
      </c>
      <c r="O1094" s="2"/>
      <c r="P1094" s="2"/>
      <c r="Q1094" s="2"/>
      <c r="R1094" s="2"/>
    </row>
    <row r="1095" spans="1:18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8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  <c r="Q1095" s="2"/>
      <c r="R1095" s="2"/>
    </row>
    <row r="1096" spans="1:18" ht="38.25" hidden="1" thickBot="1" x14ac:dyDescent="0.3">
      <c r="A1096" s="990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8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  <c r="Q1096" s="2"/>
      <c r="R1096" s="2"/>
    </row>
    <row r="1097" spans="1:18" ht="38.25" hidden="1" thickBot="1" x14ac:dyDescent="0.3">
      <c r="A1097" s="990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8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  <c r="Q1097" s="2"/>
      <c r="R1097" s="2"/>
    </row>
    <row r="1098" spans="1:18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8"/>
        <v>12,23</v>
      </c>
      <c r="L1098" s="75" t="s">
        <v>266</v>
      </c>
      <c r="M1098" s="75">
        <v>18088</v>
      </c>
      <c r="N1098" s="322">
        <v>0.5</v>
      </c>
      <c r="O1098" s="2"/>
      <c r="P1098" s="2"/>
      <c r="Q1098" s="2"/>
      <c r="R1098" s="2"/>
    </row>
    <row r="1099" spans="1:18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8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  <c r="Q1099" s="2"/>
      <c r="R1099" s="2"/>
    </row>
    <row r="1100" spans="1:18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8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  <c r="Q1100" s="2"/>
      <c r="R1100" s="2"/>
    </row>
    <row r="1101" spans="1:18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8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  <c r="Q1101" s="2"/>
      <c r="R1101" s="2"/>
    </row>
    <row r="1102" spans="1:18" ht="19.5" hidden="1" thickBot="1" x14ac:dyDescent="0.3">
      <c r="A1102" s="991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8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  <c r="Q1102" s="2"/>
      <c r="R1102" s="2"/>
    </row>
    <row r="1103" spans="1:18" ht="19.5" hidden="1" thickBot="1" x14ac:dyDescent="0.3">
      <c r="A1103" s="991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8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  <c r="Q1103" s="2"/>
      <c r="R1103" s="2"/>
    </row>
    <row r="1104" spans="1:18" ht="19.5" hidden="1" thickBot="1" x14ac:dyDescent="0.3">
      <c r="A1104" s="991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8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  <c r="Q1104" s="2"/>
      <c r="R1104" s="2"/>
    </row>
    <row r="1105" spans="1:18" ht="19.5" hidden="1" thickBot="1" x14ac:dyDescent="0.3">
      <c r="A1105" s="991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8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  <c r="Q1105" s="2"/>
      <c r="R1105" s="2"/>
    </row>
    <row r="1106" spans="1:18" ht="19.5" hidden="1" thickBot="1" x14ac:dyDescent="0.3">
      <c r="A1106" s="990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8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  <c r="Q1106" s="2"/>
      <c r="R1106" s="2"/>
    </row>
    <row r="1107" spans="1:18" ht="19.5" hidden="1" thickBot="1" x14ac:dyDescent="0.3">
      <c r="A1107" s="990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8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  <c r="Q1107" s="2"/>
      <c r="R1107" s="2"/>
    </row>
    <row r="1108" spans="1:18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8"/>
        <v>12,23</v>
      </c>
      <c r="L1108" s="75" t="s">
        <v>265</v>
      </c>
      <c r="M1108" s="75">
        <v>17539</v>
      </c>
      <c r="N1108" s="322">
        <v>0.375</v>
      </c>
      <c r="O1108" s="2"/>
      <c r="P1108" s="2"/>
      <c r="Q1108" s="2"/>
      <c r="R1108" s="2"/>
    </row>
    <row r="1109" spans="1:18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8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  <c r="Q1109" s="2"/>
      <c r="R1109" s="2"/>
    </row>
    <row r="1110" spans="1:18" ht="19.5" hidden="1" thickBot="1" x14ac:dyDescent="0.3">
      <c r="A1110" s="991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8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  <c r="Q1110" s="2"/>
      <c r="R1110" s="2"/>
    </row>
    <row r="1111" spans="1:18" ht="19.5" hidden="1" thickBot="1" x14ac:dyDescent="0.3">
      <c r="A1111" s="991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8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  <c r="Q1111" s="2"/>
      <c r="R1111" s="2"/>
    </row>
    <row r="1112" spans="1:18" ht="19.5" hidden="1" thickBot="1" x14ac:dyDescent="0.3">
      <c r="A1112" s="991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8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  <c r="Q1112" s="2"/>
      <c r="R1112" s="2"/>
    </row>
    <row r="1113" spans="1:18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8"/>
        <v>12,23</v>
      </c>
      <c r="L1113" s="40" t="s">
        <v>28</v>
      </c>
      <c r="M1113" s="40">
        <v>17615</v>
      </c>
      <c r="N1113" s="317">
        <v>0.5</v>
      </c>
      <c r="O1113" s="2"/>
      <c r="P1113" s="2"/>
      <c r="Q1113" s="2"/>
      <c r="R1113" s="2"/>
    </row>
    <row r="1114" spans="1:18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8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  <c r="Q1114" s="2"/>
      <c r="R1114" s="2"/>
    </row>
    <row r="1115" spans="1:18" ht="75.75" hidden="1" thickBot="1" x14ac:dyDescent="0.3">
      <c r="A1115" s="990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8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  <c r="Q1115" s="2"/>
      <c r="R1115" s="2"/>
    </row>
    <row r="1116" spans="1:18" ht="19.5" hidden="1" thickBot="1" x14ac:dyDescent="0.3">
      <c r="A1116" s="990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8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  <c r="Q1116" s="2"/>
      <c r="R1116" s="2"/>
    </row>
    <row r="1117" spans="1:18" ht="19.5" hidden="1" thickBot="1" x14ac:dyDescent="0.3">
      <c r="A1117" s="991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8"/>
        <v>12,23</v>
      </c>
      <c r="L1117" s="48" t="s">
        <v>28</v>
      </c>
      <c r="M1117" s="48">
        <v>1305</v>
      </c>
      <c r="N1117" s="315">
        <v>0.625</v>
      </c>
      <c r="O1117" s="2"/>
      <c r="P1117" s="2"/>
      <c r="Q1117" s="2"/>
      <c r="R1117" s="2"/>
    </row>
    <row r="1118" spans="1:18" ht="38.25" hidden="1" thickBot="1" x14ac:dyDescent="0.3">
      <c r="A1118" s="991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8"/>
        <v>12,23</v>
      </c>
      <c r="L1118" s="23" t="s">
        <v>28</v>
      </c>
      <c r="M1118" s="23">
        <v>900</v>
      </c>
      <c r="N1118" s="329">
        <v>0.625</v>
      </c>
      <c r="O1118" s="2"/>
      <c r="P1118" s="2"/>
      <c r="Q1118" s="2"/>
      <c r="R1118" s="2"/>
    </row>
    <row r="1119" spans="1:18" ht="38.25" hidden="1" thickBot="1" x14ac:dyDescent="0.3">
      <c r="A1119" s="991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8"/>
        <v>12,23</v>
      </c>
      <c r="L1119" s="23" t="s">
        <v>28</v>
      </c>
      <c r="M1119" s="23">
        <v>12801</v>
      </c>
      <c r="N1119" s="329">
        <v>0.625</v>
      </c>
      <c r="O1119" s="2"/>
      <c r="P1119" s="2"/>
      <c r="Q1119" s="2"/>
      <c r="R1119" s="2"/>
    </row>
    <row r="1120" spans="1:18" ht="38.25" hidden="1" thickBot="1" x14ac:dyDescent="0.3">
      <c r="A1120" s="991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8"/>
        <v>12,23</v>
      </c>
      <c r="L1120" s="71" t="s">
        <v>28</v>
      </c>
      <c r="M1120" s="71">
        <v>2625</v>
      </c>
      <c r="N1120" s="323">
        <v>0.625</v>
      </c>
      <c r="O1120" s="2"/>
      <c r="P1120" s="2"/>
      <c r="Q1120" s="2"/>
      <c r="R1120" s="2"/>
    </row>
    <row r="1121" spans="1:18" ht="19.5" hidden="1" customHeight="1" thickBot="1" x14ac:dyDescent="0.3">
      <c r="A1121" s="990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992" t="s">
        <v>72</v>
      </c>
      <c r="H1121" s="82" t="s">
        <v>294</v>
      </c>
      <c r="I1121" s="147" t="s">
        <v>294</v>
      </c>
      <c r="J1121" s="86"/>
      <c r="K1121" s="82" t="str">
        <f t="shared" si="18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  <c r="Q1121" s="2"/>
      <c r="R1121" s="2"/>
    </row>
    <row r="1122" spans="1:18" ht="19.5" hidden="1" thickBot="1" x14ac:dyDescent="0.3">
      <c r="A1122" s="990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992"/>
      <c r="H1122" s="90" t="s">
        <v>294</v>
      </c>
      <c r="I1122" s="172" t="s">
        <v>294</v>
      </c>
      <c r="J1122" s="173"/>
      <c r="K1122" s="90" t="str">
        <f t="shared" si="18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  <c r="Q1122" s="2"/>
      <c r="R1122" s="2"/>
    </row>
    <row r="1123" spans="1:18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8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  <c r="Q1123" s="2"/>
      <c r="R1123" s="2"/>
    </row>
    <row r="1124" spans="1:18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8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  <c r="Q1124" s="2"/>
      <c r="R1124" s="2"/>
    </row>
    <row r="1125" spans="1:18" ht="38.25" hidden="1" thickBot="1" x14ac:dyDescent="0.3">
      <c r="A1125" s="991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8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  <c r="Q1125" s="2"/>
      <c r="R1125" s="2"/>
    </row>
    <row r="1126" spans="1:18" ht="19.5" hidden="1" thickBot="1" x14ac:dyDescent="0.3">
      <c r="A1126" s="991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8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  <c r="Q1126" s="2"/>
      <c r="R1126" s="2"/>
    </row>
    <row r="1127" spans="1:18" ht="19.5" hidden="1" thickBot="1" x14ac:dyDescent="0.3">
      <c r="A1127" s="990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8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  <c r="Q1127" s="2"/>
      <c r="R1127" s="2"/>
    </row>
    <row r="1128" spans="1:18" ht="19.5" hidden="1" thickBot="1" x14ac:dyDescent="0.3">
      <c r="A1128" s="990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8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  <c r="Q1128" s="2"/>
      <c r="R1128" s="2"/>
    </row>
    <row r="1129" spans="1:18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8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  <c r="Q1129" s="2"/>
      <c r="R1129" s="2"/>
    </row>
    <row r="1130" spans="1:18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8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  <c r="Q1130" s="2"/>
      <c r="R1130" s="2"/>
    </row>
    <row r="1131" spans="1:18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8"/>
        <v>12,23</v>
      </c>
      <c r="L1131" s="75" t="s">
        <v>265</v>
      </c>
      <c r="M1131" s="75">
        <v>17966</v>
      </c>
      <c r="N1131" s="322">
        <v>0.375</v>
      </c>
      <c r="O1131" s="2"/>
      <c r="P1131" s="2"/>
      <c r="Q1131" s="2"/>
      <c r="R1131" s="2"/>
    </row>
    <row r="1132" spans="1:18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8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  <c r="Q1132" s="2"/>
      <c r="R1132" s="2"/>
    </row>
    <row r="1133" spans="1:18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8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  <c r="Q1133" s="2"/>
      <c r="R1133" s="2"/>
    </row>
    <row r="1134" spans="1:18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8"/>
        <v>12,23</v>
      </c>
      <c r="L1134" s="40" t="s">
        <v>28</v>
      </c>
      <c r="M1134" s="40">
        <v>17280</v>
      </c>
      <c r="N1134" s="317">
        <v>0.5</v>
      </c>
      <c r="O1134" s="2"/>
      <c r="P1134" s="2"/>
      <c r="Q1134" s="2"/>
      <c r="R1134" s="2"/>
    </row>
    <row r="1135" spans="1:18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8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  <c r="Q1135" s="2"/>
      <c r="R1135" s="2"/>
    </row>
    <row r="1136" spans="1:18" ht="19.5" hidden="1" thickBot="1" x14ac:dyDescent="0.3">
      <c r="A1136" s="990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8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  <c r="Q1136" s="2"/>
      <c r="R1136" s="2"/>
    </row>
    <row r="1137" spans="1:18" ht="19.5" hidden="1" thickBot="1" x14ac:dyDescent="0.3">
      <c r="A1137" s="990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8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  <c r="Q1137" s="2"/>
      <c r="R1137" s="2"/>
    </row>
    <row r="1138" spans="1:18" ht="19.5" hidden="1" thickBot="1" x14ac:dyDescent="0.3">
      <c r="A1138" s="991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8"/>
        <v>12,23</v>
      </c>
      <c r="L1138" s="48" t="s">
        <v>28</v>
      </c>
      <c r="M1138" s="48">
        <v>13747</v>
      </c>
      <c r="N1138" s="315">
        <v>0.625</v>
      </c>
      <c r="O1138" s="2"/>
      <c r="P1138" s="2"/>
      <c r="Q1138" s="2"/>
      <c r="R1138" s="2"/>
    </row>
    <row r="1139" spans="1:18" ht="19.5" hidden="1" thickBot="1" x14ac:dyDescent="0.3">
      <c r="A1139" s="991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8"/>
        <v>12,23</v>
      </c>
      <c r="L1139" s="71" t="s">
        <v>28</v>
      </c>
      <c r="M1139" s="71">
        <v>3614</v>
      </c>
      <c r="N1139" s="323">
        <v>0.625</v>
      </c>
      <c r="O1139" s="2"/>
      <c r="P1139" s="2"/>
      <c r="Q1139" s="2"/>
      <c r="R1139" s="2"/>
    </row>
    <row r="1140" spans="1:18" ht="19.5" hidden="1" thickBot="1" x14ac:dyDescent="0.3">
      <c r="A1140" s="990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8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  <c r="Q1140" s="2"/>
      <c r="R1140" s="2"/>
    </row>
    <row r="1141" spans="1:18" ht="19.5" hidden="1" thickBot="1" x14ac:dyDescent="0.3">
      <c r="A1141" s="990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8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  <c r="Q1141" s="2"/>
      <c r="R1141" s="2"/>
    </row>
    <row r="1142" spans="1:18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8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  <c r="Q1142" s="2"/>
      <c r="R1142" s="2"/>
    </row>
    <row r="1143" spans="1:18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8"/>
        <v>01,24</v>
      </c>
      <c r="L1143" s="40" t="s">
        <v>265</v>
      </c>
      <c r="M1143" s="40">
        <v>17892</v>
      </c>
      <c r="N1143" s="317">
        <v>0.375</v>
      </c>
      <c r="O1143" s="2"/>
      <c r="P1143" s="2"/>
      <c r="Q1143" s="2"/>
      <c r="R1143" s="2"/>
    </row>
    <row r="1144" spans="1:18" ht="38.25" hidden="1" thickBot="1" x14ac:dyDescent="0.3">
      <c r="A1144" s="991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8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  <c r="Q1144" s="2"/>
      <c r="R1144" s="2"/>
    </row>
    <row r="1145" spans="1:18" ht="38.25" hidden="1" thickBot="1" x14ac:dyDescent="0.3">
      <c r="A1145" s="991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8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  <c r="Q1145" s="2"/>
      <c r="R1145" s="2"/>
    </row>
    <row r="1146" spans="1:18" ht="38.25" hidden="1" thickBot="1" x14ac:dyDescent="0.3">
      <c r="A1146" s="990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8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  <c r="Q1146" s="2"/>
      <c r="R1146" s="2"/>
    </row>
    <row r="1147" spans="1:18" ht="38.25" hidden="1" thickBot="1" x14ac:dyDescent="0.3">
      <c r="A1147" s="990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8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  <c r="Q1147" s="2"/>
      <c r="R1147" s="2"/>
    </row>
    <row r="1148" spans="1:18" ht="19.5" hidden="1" thickBot="1" x14ac:dyDescent="0.3">
      <c r="A1148" s="991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8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  <c r="Q1148" s="2"/>
      <c r="R1148" s="2"/>
    </row>
    <row r="1149" spans="1:18" ht="19.5" hidden="1" thickBot="1" x14ac:dyDescent="0.3">
      <c r="A1149" s="991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8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  <c r="Q1149" s="2"/>
      <c r="R1149" s="2"/>
    </row>
    <row r="1150" spans="1:18" ht="19.5" hidden="1" thickBot="1" x14ac:dyDescent="0.3">
      <c r="A1150" s="991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8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  <c r="Q1150" s="2"/>
      <c r="R1150" s="2"/>
    </row>
    <row r="1151" spans="1:18" ht="19.5" hidden="1" thickBot="1" x14ac:dyDescent="0.3">
      <c r="A1151" s="991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8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  <c r="Q1151" s="2"/>
      <c r="R1151" s="2"/>
    </row>
    <row r="1152" spans="1:18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8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  <c r="Q1152" s="2"/>
      <c r="R1152" s="2"/>
    </row>
    <row r="1153" spans="1:18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8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  <c r="Q1153" s="2"/>
      <c r="R1153" s="2"/>
    </row>
    <row r="1154" spans="1:18" ht="19.5" hidden="1" thickBot="1" x14ac:dyDescent="0.3">
      <c r="A1154" s="990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8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  <c r="Q1154" s="2"/>
      <c r="R1154" s="2"/>
    </row>
    <row r="1155" spans="1:18" ht="19.5" hidden="1" thickBot="1" x14ac:dyDescent="0.3">
      <c r="A1155" s="990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9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  <c r="Q1155" s="2"/>
      <c r="R1155" s="2"/>
    </row>
    <row r="1156" spans="1:18" ht="19.5" hidden="1" thickBot="1" x14ac:dyDescent="0.3">
      <c r="A1156" s="990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9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  <c r="Q1156" s="2"/>
      <c r="R1156" s="2"/>
    </row>
    <row r="1157" spans="1:18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9"/>
        <v>01,24</v>
      </c>
      <c r="L1157" s="75" t="s">
        <v>28</v>
      </c>
      <c r="M1157" s="75">
        <v>17257</v>
      </c>
      <c r="N1157" s="322">
        <v>0.375</v>
      </c>
      <c r="O1157" s="2"/>
      <c r="P1157" s="2"/>
      <c r="Q1157" s="2"/>
      <c r="R1157" s="2"/>
    </row>
    <row r="1158" spans="1:18" ht="19.5" hidden="1" thickBot="1" x14ac:dyDescent="0.3">
      <c r="A1158" s="990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9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  <c r="Q1158" s="2"/>
      <c r="R1158" s="2"/>
    </row>
    <row r="1159" spans="1:18" ht="19.5" hidden="1" thickBot="1" x14ac:dyDescent="0.3">
      <c r="A1159" s="990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9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  <c r="Q1159" s="2"/>
      <c r="R1159" s="2"/>
    </row>
    <row r="1160" spans="1:18" ht="19.5" hidden="1" thickBot="1" x14ac:dyDescent="0.3">
      <c r="A1160" s="990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9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  <c r="Q1160" s="2"/>
      <c r="R1160" s="2"/>
    </row>
    <row r="1161" spans="1:18" ht="19.5" hidden="1" thickBot="1" x14ac:dyDescent="0.3">
      <c r="A1161" s="990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9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  <c r="Q1161" s="2"/>
      <c r="R1161" s="2"/>
    </row>
    <row r="1162" spans="1:18" ht="19.5" hidden="1" thickBot="1" x14ac:dyDescent="0.3">
      <c r="A1162" s="990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9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  <c r="Q1162" s="2"/>
      <c r="R1162" s="2"/>
    </row>
    <row r="1163" spans="1:18" ht="19.5" hidden="1" thickBot="1" x14ac:dyDescent="0.3">
      <c r="A1163" s="991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9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  <c r="Q1163" s="2"/>
      <c r="R1163" s="2"/>
    </row>
    <row r="1164" spans="1:18" ht="19.5" hidden="1" thickBot="1" x14ac:dyDescent="0.3">
      <c r="A1164" s="991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9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  <c r="Q1164" s="2"/>
      <c r="R1164" s="2"/>
    </row>
    <row r="1165" spans="1:18" ht="19.5" hidden="1" thickBot="1" x14ac:dyDescent="0.3">
      <c r="A1165" s="991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9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  <c r="Q1165" s="2"/>
      <c r="R1165" s="2"/>
    </row>
    <row r="1166" spans="1:18" ht="19.5" hidden="1" thickBot="1" x14ac:dyDescent="0.3">
      <c r="A1166" s="991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9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  <c r="Q1166" s="2"/>
      <c r="R1166" s="2"/>
    </row>
    <row r="1167" spans="1:18" ht="19.5" hidden="1" customHeight="1" thickBot="1" x14ac:dyDescent="0.3">
      <c r="A1167" s="990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992" t="s">
        <v>72</v>
      </c>
      <c r="H1167" s="82" t="s">
        <v>309</v>
      </c>
      <c r="I1167" s="147" t="s">
        <v>309</v>
      </c>
      <c r="J1167" s="86"/>
      <c r="K1167" s="82" t="str">
        <f t="shared" si="19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  <c r="Q1167" s="2"/>
      <c r="R1167" s="2"/>
    </row>
    <row r="1168" spans="1:18" ht="19.5" hidden="1" thickBot="1" x14ac:dyDescent="0.3">
      <c r="A1168" s="990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992"/>
      <c r="H1168" s="90" t="s">
        <v>309</v>
      </c>
      <c r="I1168" s="172" t="s">
        <v>309</v>
      </c>
      <c r="J1168" s="173"/>
      <c r="K1168" s="90" t="str">
        <f t="shared" si="19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  <c r="Q1168" s="2"/>
      <c r="R1168" s="2"/>
    </row>
    <row r="1169" spans="1:18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9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  <c r="Q1169" s="2"/>
      <c r="R1169" s="2"/>
    </row>
    <row r="1170" spans="1:18" ht="38.25" hidden="1" thickBot="1" x14ac:dyDescent="0.3">
      <c r="A1170" s="990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9"/>
        <v>01,24</v>
      </c>
      <c r="L1170" s="82" t="s">
        <v>266</v>
      </c>
      <c r="M1170" s="82">
        <v>11041</v>
      </c>
      <c r="N1170" s="319">
        <v>0.5</v>
      </c>
      <c r="O1170" s="2"/>
      <c r="P1170" s="2"/>
      <c r="Q1170" s="2"/>
      <c r="R1170" s="2"/>
    </row>
    <row r="1171" spans="1:18" ht="38.25" hidden="1" thickBot="1" x14ac:dyDescent="0.3">
      <c r="A1171" s="990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9"/>
        <v>01,24</v>
      </c>
      <c r="L1171" s="90" t="s">
        <v>28</v>
      </c>
      <c r="M1171" s="90">
        <v>6913</v>
      </c>
      <c r="N1171" s="325">
        <v>0.5</v>
      </c>
      <c r="O1171" s="2"/>
      <c r="P1171" s="2"/>
      <c r="Q1171" s="2"/>
      <c r="R1171" s="2"/>
    </row>
    <row r="1172" spans="1:18" ht="19.5" hidden="1" thickBot="1" x14ac:dyDescent="0.3">
      <c r="A1172" s="991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9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  <c r="Q1172" s="2"/>
      <c r="R1172" s="2"/>
    </row>
    <row r="1173" spans="1:18" ht="19.5" hidden="1" thickBot="1" x14ac:dyDescent="0.3">
      <c r="A1173" s="991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9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  <c r="Q1173" s="2"/>
      <c r="R1173" s="2"/>
    </row>
    <row r="1174" spans="1:18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9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  <c r="Q1174" s="2"/>
      <c r="R1174" s="2"/>
    </row>
    <row r="1175" spans="1:18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9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  <c r="Q1175" s="2"/>
      <c r="R1175" s="2"/>
    </row>
    <row r="1176" spans="1:18" ht="19.5" hidden="1" thickBot="1" x14ac:dyDescent="0.3">
      <c r="A1176" s="990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9"/>
        <v>01,24</v>
      </c>
      <c r="L1176" s="82" t="s">
        <v>28</v>
      </c>
      <c r="M1176" s="82">
        <v>6977</v>
      </c>
      <c r="N1176" s="319">
        <v>0.375</v>
      </c>
      <c r="O1176" s="2"/>
      <c r="P1176" s="2"/>
      <c r="Q1176" s="2"/>
      <c r="R1176" s="2"/>
    </row>
    <row r="1177" spans="1:18" ht="19.5" hidden="1" thickBot="1" x14ac:dyDescent="0.3">
      <c r="A1177" s="990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9"/>
        <v>01,24</v>
      </c>
      <c r="L1177" s="98" t="s">
        <v>28</v>
      </c>
      <c r="M1177" s="98">
        <v>861</v>
      </c>
      <c r="N1177" s="364">
        <v>0.375</v>
      </c>
      <c r="O1177" s="2"/>
      <c r="P1177" s="2"/>
      <c r="Q1177" s="2"/>
      <c r="R1177" s="2"/>
    </row>
    <row r="1178" spans="1:18" ht="19.5" hidden="1" thickBot="1" x14ac:dyDescent="0.3">
      <c r="A1178" s="990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9"/>
        <v>01,24</v>
      </c>
      <c r="L1178" s="98" t="s">
        <v>28</v>
      </c>
      <c r="M1178" s="98">
        <v>1559</v>
      </c>
      <c r="N1178" s="364">
        <v>0.375</v>
      </c>
      <c r="O1178" s="2"/>
      <c r="P1178" s="2"/>
      <c r="Q1178" s="2"/>
      <c r="R1178" s="2"/>
    </row>
    <row r="1179" spans="1:18" ht="19.5" hidden="1" thickBot="1" x14ac:dyDescent="0.3">
      <c r="A1179" s="990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9"/>
        <v>01,24</v>
      </c>
      <c r="L1179" s="90" t="s">
        <v>28</v>
      </c>
      <c r="M1179" s="90">
        <v>3078</v>
      </c>
      <c r="N1179" s="325">
        <v>0.375</v>
      </c>
      <c r="O1179" s="2"/>
      <c r="P1179" s="2"/>
      <c r="Q1179" s="2"/>
      <c r="R1179" s="2"/>
    </row>
    <row r="1180" spans="1:18" ht="19.5" hidden="1" thickBot="1" x14ac:dyDescent="0.3">
      <c r="A1180" s="991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9"/>
        <v>01,24</v>
      </c>
      <c r="L1180" s="48" t="s">
        <v>266</v>
      </c>
      <c r="M1180" s="48">
        <v>15326</v>
      </c>
      <c r="N1180" s="315">
        <v>0.5</v>
      </c>
      <c r="O1180" s="2"/>
      <c r="P1180" s="2"/>
      <c r="Q1180" s="2"/>
      <c r="R1180" s="2"/>
    </row>
    <row r="1181" spans="1:18" ht="19.5" hidden="1" thickBot="1" x14ac:dyDescent="0.3">
      <c r="A1181" s="991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9"/>
        <v>01,24</v>
      </c>
      <c r="L1181" s="71" t="s">
        <v>28</v>
      </c>
      <c r="M1181" s="71">
        <v>105</v>
      </c>
      <c r="N1181" s="323">
        <v>0.5</v>
      </c>
      <c r="O1181" s="2"/>
      <c r="P1181" s="2"/>
      <c r="Q1181" s="2"/>
      <c r="R1181" s="2"/>
    </row>
    <row r="1182" spans="1:18" ht="19.5" hidden="1" thickBot="1" x14ac:dyDescent="0.3">
      <c r="A1182" s="990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9"/>
        <v>01,24</v>
      </c>
      <c r="L1182" s="82" t="s">
        <v>266</v>
      </c>
      <c r="M1182" s="82">
        <v>16665</v>
      </c>
      <c r="N1182" s="319">
        <v>0.375</v>
      </c>
      <c r="O1182" s="2"/>
      <c r="P1182" s="2"/>
      <c r="Q1182" s="2"/>
      <c r="R1182" s="2"/>
    </row>
    <row r="1183" spans="1:18" ht="19.5" hidden="1" thickBot="1" x14ac:dyDescent="0.3">
      <c r="A1183" s="990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9"/>
        <v>01,24</v>
      </c>
      <c r="L1183" s="90" t="s">
        <v>28</v>
      </c>
      <c r="M1183" s="90">
        <v>1381</v>
      </c>
      <c r="N1183" s="325">
        <v>0.375</v>
      </c>
      <c r="O1183" s="2"/>
      <c r="P1183" s="2"/>
      <c r="Q1183" s="2"/>
      <c r="R1183" s="2"/>
    </row>
    <row r="1184" spans="1:18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9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  <c r="Q1184" s="2"/>
      <c r="R1184" s="2"/>
    </row>
    <row r="1185" spans="1:18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9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  <c r="Q1185" s="2"/>
      <c r="R1185" s="2"/>
    </row>
    <row r="1186" spans="1:18" ht="19.5" hidden="1" thickBot="1" x14ac:dyDescent="0.3">
      <c r="A1186" s="991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9"/>
        <v>01,24</v>
      </c>
      <c r="L1186" s="48" t="s">
        <v>266</v>
      </c>
      <c r="M1186" s="48">
        <v>1422</v>
      </c>
      <c r="N1186" s="315">
        <v>0.5</v>
      </c>
      <c r="O1186" s="2"/>
      <c r="P1186" s="2"/>
      <c r="Q1186" s="2"/>
      <c r="R1186" s="2"/>
    </row>
    <row r="1187" spans="1:18" ht="19.5" hidden="1" thickBot="1" x14ac:dyDescent="0.3">
      <c r="A1187" s="991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9"/>
        <v>01,24</v>
      </c>
      <c r="L1187" s="23" t="s">
        <v>266</v>
      </c>
      <c r="M1187" s="23">
        <v>734</v>
      </c>
      <c r="N1187" s="329">
        <v>0.5</v>
      </c>
      <c r="O1187" s="2"/>
      <c r="P1187" s="2"/>
      <c r="Q1187" s="2"/>
      <c r="R1187" s="2"/>
    </row>
    <row r="1188" spans="1:18" ht="19.5" hidden="1" thickBot="1" x14ac:dyDescent="0.3">
      <c r="A1188" s="991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9"/>
        <v>01,24</v>
      </c>
      <c r="L1188" s="23" t="s">
        <v>266</v>
      </c>
      <c r="M1188" s="23">
        <v>5602</v>
      </c>
      <c r="N1188" s="329">
        <v>0.5</v>
      </c>
      <c r="O1188" s="2"/>
      <c r="P1188" s="2"/>
      <c r="Q1188" s="2"/>
      <c r="R1188" s="2"/>
    </row>
    <row r="1189" spans="1:18" ht="19.5" hidden="1" thickBot="1" x14ac:dyDescent="0.3">
      <c r="A1189" s="991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9"/>
        <v>01,24</v>
      </c>
      <c r="L1189" s="23" t="s">
        <v>266</v>
      </c>
      <c r="M1189" s="23">
        <v>2476</v>
      </c>
      <c r="N1189" s="329">
        <v>0.5</v>
      </c>
      <c r="O1189" s="2"/>
      <c r="P1189" s="2"/>
      <c r="Q1189" s="2"/>
      <c r="R1189" s="2"/>
    </row>
    <row r="1190" spans="1:18" ht="19.5" hidden="1" thickBot="1" x14ac:dyDescent="0.3">
      <c r="A1190" s="991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9"/>
        <v>01,24</v>
      </c>
      <c r="L1190" s="71" t="s">
        <v>266</v>
      </c>
      <c r="M1190" s="71">
        <v>6617</v>
      </c>
      <c r="N1190" s="323">
        <v>0.5</v>
      </c>
      <c r="O1190" s="2"/>
      <c r="P1190" s="2"/>
      <c r="Q1190" s="2"/>
      <c r="R1190" s="2"/>
    </row>
    <row r="1191" spans="1:18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9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  <c r="Q1191" s="2"/>
      <c r="R1191" s="2"/>
    </row>
    <row r="1192" spans="1:18" ht="19.5" hidden="1" thickBot="1" x14ac:dyDescent="0.3">
      <c r="A1192" s="991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9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  <c r="Q1192" s="2"/>
      <c r="R1192" s="2"/>
    </row>
    <row r="1193" spans="1:18" ht="19.5" hidden="1" thickBot="1" x14ac:dyDescent="0.3">
      <c r="A1193" s="991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9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  <c r="Q1193" s="2"/>
      <c r="R1193" s="2"/>
    </row>
    <row r="1194" spans="1:18" ht="19.5" hidden="1" thickBot="1" x14ac:dyDescent="0.3">
      <c r="A1194" s="990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9"/>
        <v>01,24</v>
      </c>
      <c r="L1194" s="82" t="s">
        <v>28</v>
      </c>
      <c r="M1194" s="82">
        <v>9286</v>
      </c>
      <c r="N1194" s="319">
        <v>0.375</v>
      </c>
      <c r="O1194" s="2"/>
      <c r="P1194" s="2"/>
      <c r="Q1194" s="2"/>
      <c r="R1194" s="2"/>
    </row>
    <row r="1195" spans="1:18" ht="19.5" hidden="1" thickBot="1" x14ac:dyDescent="0.3">
      <c r="A1195" s="990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9"/>
        <v>01,24</v>
      </c>
      <c r="L1195" s="98" t="s">
        <v>28</v>
      </c>
      <c r="M1195" s="98">
        <v>1305</v>
      </c>
      <c r="N1195" s="364">
        <v>0.375</v>
      </c>
      <c r="O1195" s="2"/>
      <c r="P1195" s="2"/>
      <c r="Q1195" s="2"/>
      <c r="R1195" s="2"/>
    </row>
    <row r="1196" spans="1:18" ht="19.5" hidden="1" thickBot="1" x14ac:dyDescent="0.3">
      <c r="A1196" s="990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9"/>
        <v>01,24</v>
      </c>
      <c r="L1196" s="98" t="s">
        <v>28</v>
      </c>
      <c r="M1196" s="98">
        <v>93</v>
      </c>
      <c r="N1196" s="364">
        <v>0.375</v>
      </c>
      <c r="O1196" s="2"/>
      <c r="P1196" s="2"/>
      <c r="Q1196" s="2"/>
      <c r="R1196" s="2"/>
    </row>
    <row r="1197" spans="1:18" ht="19.5" hidden="1" thickBot="1" x14ac:dyDescent="0.3">
      <c r="A1197" s="990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9"/>
        <v>01,24</v>
      </c>
      <c r="L1197" s="90" t="s">
        <v>28</v>
      </c>
      <c r="M1197" s="90">
        <v>6851</v>
      </c>
      <c r="N1197" s="325">
        <v>0.375</v>
      </c>
      <c r="O1197" s="2"/>
      <c r="P1197" s="2"/>
      <c r="Q1197" s="2"/>
      <c r="R1197" s="2"/>
    </row>
    <row r="1198" spans="1:18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9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  <c r="Q1198" s="2"/>
      <c r="R1198" s="2"/>
    </row>
    <row r="1199" spans="1:18" ht="19.5" hidden="1" thickBot="1" x14ac:dyDescent="0.3">
      <c r="A1199" s="990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9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  <c r="Q1199" s="2"/>
      <c r="R1199" s="2"/>
    </row>
    <row r="1200" spans="1:18" ht="19.5" hidden="1" thickBot="1" x14ac:dyDescent="0.3">
      <c r="A1200" s="990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9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  <c r="Q1200" s="2"/>
      <c r="R1200" s="2"/>
    </row>
    <row r="1201" spans="1:18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9"/>
        <v>01,24</v>
      </c>
      <c r="L1201" s="75" t="s">
        <v>28</v>
      </c>
      <c r="M1201" s="75">
        <v>17810</v>
      </c>
      <c r="N1201" s="322">
        <v>0.5</v>
      </c>
      <c r="O1201" s="2"/>
      <c r="P1201" s="2"/>
      <c r="Q1201" s="2"/>
      <c r="R1201" s="2"/>
    </row>
    <row r="1202" spans="1:18" ht="19.5" hidden="1" customHeight="1" thickBot="1" x14ac:dyDescent="0.3">
      <c r="A1202" s="990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992" t="s">
        <v>72</v>
      </c>
      <c r="H1202" s="82" t="s">
        <v>317</v>
      </c>
      <c r="I1202" s="147" t="s">
        <v>317</v>
      </c>
      <c r="J1202" s="86"/>
      <c r="K1202" s="82" t="str">
        <f t="shared" si="19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  <c r="Q1202" s="2"/>
      <c r="R1202" s="2"/>
    </row>
    <row r="1203" spans="1:18" ht="19.5" hidden="1" thickBot="1" x14ac:dyDescent="0.3">
      <c r="A1203" s="990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992"/>
      <c r="H1203" s="90" t="s">
        <v>317</v>
      </c>
      <c r="I1203" s="172" t="s">
        <v>317</v>
      </c>
      <c r="J1203" s="173"/>
      <c r="K1203" s="90" t="str">
        <f t="shared" si="19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  <c r="Q1203" s="2"/>
      <c r="R1203" s="2"/>
    </row>
    <row r="1204" spans="1:18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9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  <c r="Q1204" s="2"/>
      <c r="R1204" s="2"/>
    </row>
    <row r="1205" spans="1:18" ht="38.25" hidden="1" thickBot="1" x14ac:dyDescent="0.3">
      <c r="A1205" s="990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9"/>
        <v>01,24</v>
      </c>
      <c r="L1205" s="82" t="s">
        <v>266</v>
      </c>
      <c r="M1205" s="82">
        <v>11718</v>
      </c>
      <c r="N1205" s="319">
        <v>0.375</v>
      </c>
      <c r="O1205" s="2"/>
      <c r="P1205" s="2"/>
      <c r="Q1205" s="2"/>
      <c r="R1205" s="2"/>
    </row>
    <row r="1206" spans="1:18" ht="38.25" hidden="1" thickBot="1" x14ac:dyDescent="0.3">
      <c r="A1206" s="990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9"/>
        <v>01,24</v>
      </c>
      <c r="L1206" s="90" t="s">
        <v>28</v>
      </c>
      <c r="M1206" s="90">
        <v>4002</v>
      </c>
      <c r="N1206" s="325">
        <v>0.375</v>
      </c>
      <c r="O1206" s="2"/>
      <c r="P1206" s="2"/>
      <c r="Q1206" s="2"/>
      <c r="R1206" s="2"/>
    </row>
    <row r="1207" spans="1:18" ht="19.5" hidden="1" thickBot="1" x14ac:dyDescent="0.3">
      <c r="A1207" s="991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9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  <c r="Q1207" s="2"/>
      <c r="R1207" s="2"/>
    </row>
    <row r="1208" spans="1:18" ht="19.5" hidden="1" thickBot="1" x14ac:dyDescent="0.3">
      <c r="A1208" s="991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9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  <c r="Q1208" s="2"/>
      <c r="R1208" s="2"/>
    </row>
    <row r="1209" spans="1:18" ht="19.5" hidden="1" thickBot="1" x14ac:dyDescent="0.3">
      <c r="A1209" s="990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9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  <c r="Q1209" s="2"/>
      <c r="R1209" s="2"/>
    </row>
    <row r="1210" spans="1:18" ht="19.5" hidden="1" thickBot="1" x14ac:dyDescent="0.3">
      <c r="A1210" s="990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9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  <c r="Q1210" s="2"/>
      <c r="R1210" s="2"/>
    </row>
    <row r="1211" spans="1:18" ht="38.25" hidden="1" thickBot="1" x14ac:dyDescent="0.3">
      <c r="A1211" s="991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9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  <c r="Q1211" s="2"/>
      <c r="R1211" s="2"/>
    </row>
    <row r="1212" spans="1:18" ht="38.25" hidden="1" thickBot="1" x14ac:dyDescent="0.3">
      <c r="A1212" s="991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9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  <c r="Q1212" s="2"/>
      <c r="R1212" s="2"/>
    </row>
    <row r="1213" spans="1:18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9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  <c r="Q1213" s="2"/>
      <c r="R1213" s="2"/>
    </row>
    <row r="1214" spans="1:18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9"/>
        <v>01,24</v>
      </c>
      <c r="L1214" s="75" t="s">
        <v>265</v>
      </c>
      <c r="M1214" s="75">
        <v>11629</v>
      </c>
      <c r="N1214" s="322">
        <v>0.375</v>
      </c>
      <c r="O1214" s="2"/>
      <c r="P1214" s="2"/>
      <c r="Q1214" s="2"/>
      <c r="R1214" s="2"/>
    </row>
    <row r="1215" spans="1:18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9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  <c r="Q1215" s="2"/>
      <c r="R1215" s="2"/>
    </row>
    <row r="1216" spans="1:18" ht="19.5" hidden="1" thickBot="1" x14ac:dyDescent="0.3">
      <c r="A1216" s="991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9"/>
        <v>01,24</v>
      </c>
      <c r="L1216" s="48" t="s">
        <v>28</v>
      </c>
      <c r="M1216" s="48">
        <v>10323</v>
      </c>
      <c r="N1216" s="315">
        <v>0.375</v>
      </c>
      <c r="O1216" s="2"/>
      <c r="P1216" s="2"/>
      <c r="Q1216" s="2"/>
      <c r="R1216" s="2"/>
    </row>
    <row r="1217" spans="1:18" ht="19.5" hidden="1" thickBot="1" x14ac:dyDescent="0.3">
      <c r="A1217" s="991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9"/>
        <v>01,24</v>
      </c>
      <c r="L1217" s="71" t="s">
        <v>28</v>
      </c>
      <c r="M1217" s="71">
        <v>2800</v>
      </c>
      <c r="N1217" s="323">
        <v>0.375</v>
      </c>
      <c r="O1217" s="2"/>
      <c r="P1217" s="2"/>
      <c r="Q1217" s="2"/>
      <c r="R1217" s="2"/>
    </row>
    <row r="1218" spans="1:18" ht="19.5" hidden="1" thickBot="1" x14ac:dyDescent="0.3">
      <c r="A1218" s="990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9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  <c r="Q1218" s="2"/>
      <c r="R1218" s="2"/>
    </row>
    <row r="1219" spans="1:18" ht="19.5" hidden="1" thickBot="1" x14ac:dyDescent="0.3">
      <c r="A1219" s="990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20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  <c r="Q1219" s="2"/>
      <c r="R1219" s="2"/>
    </row>
    <row r="1220" spans="1:18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20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  <c r="Q1220" s="2"/>
      <c r="R1220" s="2"/>
    </row>
    <row r="1221" spans="1:18" ht="19.5" hidden="1" thickBot="1" x14ac:dyDescent="0.3">
      <c r="A1221" s="990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20"/>
        <v>01,24</v>
      </c>
      <c r="L1221" s="82" t="s">
        <v>266</v>
      </c>
      <c r="M1221" s="82">
        <v>16386</v>
      </c>
      <c r="N1221" s="319">
        <v>0.375</v>
      </c>
      <c r="O1221" s="2"/>
      <c r="P1221" s="2"/>
      <c r="Q1221" s="2"/>
      <c r="R1221" s="2"/>
    </row>
    <row r="1222" spans="1:18" ht="19.5" hidden="1" thickBot="1" x14ac:dyDescent="0.3">
      <c r="A1222" s="990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20"/>
        <v>01,24</v>
      </c>
      <c r="L1222" s="90" t="s">
        <v>28</v>
      </c>
      <c r="M1222" s="90">
        <v>1639</v>
      </c>
      <c r="N1222" s="325">
        <v>0.375</v>
      </c>
      <c r="O1222" s="2"/>
      <c r="P1222" s="2"/>
      <c r="Q1222" s="2"/>
      <c r="R1222" s="2"/>
    </row>
    <row r="1223" spans="1:18" ht="19.5" hidden="1" thickBot="1" x14ac:dyDescent="0.3">
      <c r="A1223" s="991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20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  <c r="Q1223" s="2"/>
      <c r="R1223" s="2"/>
    </row>
    <row r="1224" spans="1:18" ht="19.5" hidden="1" thickBot="1" x14ac:dyDescent="0.3">
      <c r="A1224" s="991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20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  <c r="Q1224" s="2"/>
      <c r="R1224" s="2"/>
    </row>
    <row r="1225" spans="1:18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20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  <c r="Q1225" s="2"/>
      <c r="R1225" s="2"/>
    </row>
    <row r="1226" spans="1:18" ht="19.5" hidden="1" thickBot="1" x14ac:dyDescent="0.3">
      <c r="A1226" s="991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20"/>
        <v>01,24</v>
      </c>
      <c r="L1226" s="48" t="s">
        <v>266</v>
      </c>
      <c r="M1226" s="48">
        <v>9287</v>
      </c>
      <c r="N1226" s="315">
        <v>0.5</v>
      </c>
      <c r="O1226" s="2"/>
      <c r="P1226" s="2"/>
      <c r="Q1226" s="2"/>
      <c r="R1226" s="2"/>
    </row>
    <row r="1227" spans="1:18" ht="19.5" hidden="1" thickBot="1" x14ac:dyDescent="0.3">
      <c r="A1227" s="991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20"/>
        <v>01,24</v>
      </c>
      <c r="L1227" s="23" t="s">
        <v>28</v>
      </c>
      <c r="M1227" s="23">
        <v>838</v>
      </c>
      <c r="N1227" s="329">
        <v>0.5</v>
      </c>
      <c r="O1227" s="2"/>
      <c r="P1227" s="2"/>
      <c r="Q1227" s="2"/>
      <c r="R1227" s="2"/>
    </row>
    <row r="1228" spans="1:18" ht="19.5" hidden="1" thickBot="1" x14ac:dyDescent="0.3">
      <c r="A1228" s="991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20"/>
        <v>01,24</v>
      </c>
      <c r="L1228" s="23" t="s">
        <v>266</v>
      </c>
      <c r="M1228" s="23">
        <v>579</v>
      </c>
      <c r="N1228" s="329">
        <v>0.5</v>
      </c>
      <c r="O1228" s="2"/>
      <c r="P1228" s="2"/>
      <c r="Q1228" s="2"/>
      <c r="R1228" s="2"/>
    </row>
    <row r="1229" spans="1:18" ht="19.5" hidden="1" thickBot="1" x14ac:dyDescent="0.3">
      <c r="A1229" s="991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20"/>
        <v>01,24</v>
      </c>
      <c r="L1229" s="23" t="s">
        <v>266</v>
      </c>
      <c r="M1229" s="23">
        <v>4398</v>
      </c>
      <c r="N1229" s="329">
        <v>0.5</v>
      </c>
      <c r="O1229" s="2"/>
      <c r="P1229" s="2"/>
      <c r="Q1229" s="2"/>
      <c r="R1229" s="2"/>
    </row>
    <row r="1230" spans="1:18" ht="19.5" hidden="1" thickBot="1" x14ac:dyDescent="0.3">
      <c r="A1230" s="991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20"/>
        <v>01,24</v>
      </c>
      <c r="L1230" s="71" t="s">
        <v>266</v>
      </c>
      <c r="M1230" s="71">
        <v>2827</v>
      </c>
      <c r="N1230" s="323">
        <v>0.5</v>
      </c>
      <c r="O1230" s="2"/>
      <c r="P1230" s="2"/>
      <c r="Q1230" s="2"/>
      <c r="R1230" s="2"/>
    </row>
    <row r="1231" spans="1:18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20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  <c r="Q1231" s="2"/>
      <c r="R1231" s="2"/>
    </row>
    <row r="1232" spans="1:18" ht="19.5" hidden="1" thickBot="1" x14ac:dyDescent="0.3">
      <c r="A1232" s="991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20"/>
        <v>01,24</v>
      </c>
      <c r="L1232" s="48" t="s">
        <v>28</v>
      </c>
      <c r="M1232" s="48">
        <v>5006</v>
      </c>
      <c r="N1232" s="315">
        <v>0.375</v>
      </c>
      <c r="O1232" s="2"/>
      <c r="P1232" s="2"/>
      <c r="Q1232" s="2"/>
      <c r="R1232" s="2"/>
    </row>
    <row r="1233" spans="1:18" ht="19.5" hidden="1" thickBot="1" x14ac:dyDescent="0.3">
      <c r="A1233" s="991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20"/>
        <v>01,24</v>
      </c>
      <c r="L1233" s="71" t="s">
        <v>28</v>
      </c>
      <c r="M1233" s="71">
        <v>12761</v>
      </c>
      <c r="N1233" s="323">
        <v>0.375</v>
      </c>
      <c r="O1233" s="2"/>
      <c r="P1233" s="2"/>
      <c r="Q1233" s="2"/>
      <c r="R1233" s="2"/>
    </row>
    <row r="1234" spans="1:18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20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  <c r="Q1234" s="2"/>
      <c r="R1234" s="2"/>
    </row>
    <row r="1235" spans="1:18" ht="19.5" hidden="1" thickBot="1" x14ac:dyDescent="0.3">
      <c r="A1235" s="991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20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  <c r="Q1235" s="2"/>
      <c r="R1235" s="2"/>
    </row>
    <row r="1236" spans="1:18" ht="19.5" hidden="1" thickBot="1" x14ac:dyDescent="0.3">
      <c r="A1236" s="991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20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  <c r="Q1236" s="2"/>
      <c r="R1236" s="2"/>
    </row>
    <row r="1237" spans="1:18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20"/>
        <v>01,24</v>
      </c>
      <c r="L1237" s="40" t="s">
        <v>266</v>
      </c>
      <c r="M1237" s="40">
        <v>14400</v>
      </c>
      <c r="N1237" s="317">
        <v>0.5</v>
      </c>
      <c r="O1237" s="2"/>
      <c r="P1237" s="2"/>
      <c r="Q1237" s="2"/>
      <c r="R1237" s="2"/>
    </row>
    <row r="1238" spans="1:18" ht="19.5" hidden="1" thickBot="1" x14ac:dyDescent="0.3">
      <c r="A1238" s="991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20"/>
        <v>01,24</v>
      </c>
      <c r="L1238" s="48" t="s">
        <v>266</v>
      </c>
      <c r="M1238" s="48">
        <v>15445</v>
      </c>
      <c r="N1238" s="315">
        <v>0.375</v>
      </c>
      <c r="O1238" s="2"/>
      <c r="P1238" s="2"/>
      <c r="Q1238" s="2"/>
      <c r="R1238" s="2"/>
    </row>
    <row r="1239" spans="1:18" ht="19.5" hidden="1" thickBot="1" x14ac:dyDescent="0.3">
      <c r="A1239" s="991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20"/>
        <v>01,24</v>
      </c>
      <c r="L1239" s="71" t="s">
        <v>28</v>
      </c>
      <c r="M1239" s="71">
        <v>2614</v>
      </c>
      <c r="N1239" s="323">
        <v>0.375</v>
      </c>
      <c r="O1239" s="2"/>
      <c r="P1239" s="2"/>
      <c r="Q1239" s="2"/>
      <c r="R1239" s="2"/>
    </row>
    <row r="1240" spans="1:18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20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  <c r="Q1240" s="2"/>
      <c r="R1240" s="2"/>
    </row>
    <row r="1241" spans="1:18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20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  <c r="Q1241" s="2"/>
      <c r="R1241" s="2"/>
    </row>
    <row r="1242" spans="1:18" ht="19.5" hidden="1" thickBot="1" x14ac:dyDescent="0.3">
      <c r="A1242" s="990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20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  <c r="Q1242" s="2"/>
      <c r="R1242" s="2"/>
    </row>
    <row r="1243" spans="1:18" ht="19.5" hidden="1" thickBot="1" x14ac:dyDescent="0.3">
      <c r="A1243" s="990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20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  <c r="Q1243" s="2"/>
      <c r="R1243" s="2"/>
    </row>
    <row r="1244" spans="1:18" ht="19.5" hidden="1" thickBot="1" x14ac:dyDescent="0.3">
      <c r="A1244" s="991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20"/>
        <v>01,24</v>
      </c>
      <c r="L1244" s="48" t="s">
        <v>28</v>
      </c>
      <c r="M1244" s="48">
        <v>7029</v>
      </c>
      <c r="N1244" s="315">
        <v>0.5</v>
      </c>
      <c r="O1244" s="2"/>
      <c r="P1244" s="2"/>
      <c r="Q1244" s="2"/>
      <c r="R1244" s="2"/>
    </row>
    <row r="1245" spans="1:18" ht="19.5" hidden="1" thickBot="1" x14ac:dyDescent="0.3">
      <c r="A1245" s="991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20"/>
        <v>01,24</v>
      </c>
      <c r="L1245" s="71" t="s">
        <v>28</v>
      </c>
      <c r="M1245" s="71">
        <v>9152</v>
      </c>
      <c r="N1245" s="323">
        <v>0.5</v>
      </c>
      <c r="O1245" s="2"/>
      <c r="P1245" s="2"/>
      <c r="Q1245" s="2"/>
      <c r="R1245" s="2"/>
    </row>
    <row r="1246" spans="1:18" ht="19.5" hidden="1" thickBot="1" x14ac:dyDescent="0.3">
      <c r="A1246" s="990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20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  <c r="Q1246" s="2"/>
      <c r="R1246" s="2"/>
    </row>
    <row r="1247" spans="1:18" ht="19.5" hidden="1" thickBot="1" x14ac:dyDescent="0.3">
      <c r="A1247" s="990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20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  <c r="Q1247" s="2"/>
      <c r="R1247" s="2"/>
    </row>
    <row r="1248" spans="1:18" ht="19.5" hidden="1" thickBot="1" x14ac:dyDescent="0.3">
      <c r="A1248" s="991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20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  <c r="Q1248" s="2"/>
      <c r="R1248" s="2"/>
    </row>
    <row r="1249" spans="1:18" ht="19.5" hidden="1" thickBot="1" x14ac:dyDescent="0.3">
      <c r="A1249" s="991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20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  <c r="Q1249" s="2"/>
      <c r="R1249" s="2"/>
    </row>
    <row r="1250" spans="1:18" ht="19.5" hidden="1" customHeight="1" thickBot="1" x14ac:dyDescent="0.3">
      <c r="A1250" s="990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992" t="s">
        <v>72</v>
      </c>
      <c r="H1250" s="82" t="s">
        <v>328</v>
      </c>
      <c r="I1250" s="147" t="s">
        <v>328</v>
      </c>
      <c r="J1250" s="86"/>
      <c r="K1250" s="82" t="str">
        <f t="shared" si="20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  <c r="Q1250" s="2"/>
      <c r="R1250" s="2"/>
    </row>
    <row r="1251" spans="1:18" ht="19.5" hidden="1" thickBot="1" x14ac:dyDescent="0.3">
      <c r="A1251" s="990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992"/>
      <c r="H1251" s="90" t="s">
        <v>328</v>
      </c>
      <c r="I1251" s="172" t="s">
        <v>329</v>
      </c>
      <c r="J1251" s="173"/>
      <c r="K1251" s="90" t="str">
        <f t="shared" si="20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  <c r="Q1251" s="2"/>
      <c r="R1251" s="2"/>
    </row>
    <row r="1252" spans="1:18" ht="19.5" hidden="1" thickBot="1" x14ac:dyDescent="0.3">
      <c r="A1252" s="991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20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  <c r="Q1252" s="2"/>
      <c r="R1252" s="2"/>
    </row>
    <row r="1253" spans="1:18" ht="19.5" hidden="1" thickBot="1" x14ac:dyDescent="0.3">
      <c r="A1253" s="991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20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  <c r="Q1253" s="2"/>
      <c r="R1253" s="2"/>
    </row>
    <row r="1254" spans="1:18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20"/>
        <v>01,24</v>
      </c>
      <c r="L1254" s="40" t="s">
        <v>266</v>
      </c>
      <c r="M1254" s="40">
        <v>18218</v>
      </c>
      <c r="N1254" s="317">
        <v>0.5</v>
      </c>
      <c r="O1254" s="2"/>
      <c r="P1254" s="2"/>
      <c r="Q1254" s="2"/>
      <c r="R1254" s="2"/>
    </row>
    <row r="1255" spans="1:18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20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  <c r="Q1255" s="2"/>
      <c r="R1255" s="2"/>
    </row>
    <row r="1256" spans="1:18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20"/>
        <v>01,24</v>
      </c>
      <c r="L1256" s="40" t="s">
        <v>266</v>
      </c>
      <c r="M1256" s="40">
        <v>17664</v>
      </c>
      <c r="N1256" s="317">
        <v>0.375</v>
      </c>
      <c r="O1256" s="2"/>
      <c r="P1256" s="2"/>
      <c r="Q1256" s="2"/>
      <c r="R1256" s="2"/>
    </row>
    <row r="1257" spans="1:18" ht="38.25" hidden="1" thickBot="1" x14ac:dyDescent="0.3">
      <c r="A1257" s="991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20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  <c r="Q1257" s="2"/>
      <c r="R1257" s="2"/>
    </row>
    <row r="1258" spans="1:18" ht="38.25" hidden="1" thickBot="1" x14ac:dyDescent="0.3">
      <c r="A1258" s="991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20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  <c r="Q1258" s="2"/>
      <c r="R1258" s="2"/>
    </row>
    <row r="1259" spans="1:18" ht="19.5" hidden="1" thickBot="1" x14ac:dyDescent="0.3">
      <c r="A1259" s="990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20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  <c r="Q1259" s="2"/>
      <c r="R1259" s="2"/>
    </row>
    <row r="1260" spans="1:18" ht="19.5" hidden="1" thickBot="1" x14ac:dyDescent="0.3">
      <c r="A1260" s="990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20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  <c r="Q1260" s="2"/>
      <c r="R1260" s="2"/>
    </row>
    <row r="1261" spans="1:18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20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  <c r="Q1261" s="2"/>
      <c r="R1261" s="2"/>
    </row>
    <row r="1262" spans="1:18" ht="19.5" hidden="1" thickBot="1" x14ac:dyDescent="0.3">
      <c r="A1262" s="990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20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  <c r="Q1262" s="2"/>
      <c r="R1262" s="2"/>
    </row>
    <row r="1263" spans="1:18" ht="19.5" hidden="1" thickBot="1" x14ac:dyDescent="0.3">
      <c r="A1263" s="990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20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  <c r="Q1263" s="2"/>
      <c r="R1263" s="2"/>
    </row>
    <row r="1264" spans="1:18" ht="19.5" hidden="1" thickBot="1" x14ac:dyDescent="0.3">
      <c r="A1264" s="991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20"/>
        <v>01,24</v>
      </c>
      <c r="L1264" s="48" t="s">
        <v>28</v>
      </c>
      <c r="M1264" s="48">
        <v>6999</v>
      </c>
      <c r="N1264" s="315">
        <v>0.375</v>
      </c>
      <c r="O1264" s="2"/>
      <c r="P1264" s="2"/>
      <c r="Q1264" s="2"/>
      <c r="R1264" s="2"/>
    </row>
    <row r="1265" spans="1:18" ht="19.5" hidden="1" thickBot="1" x14ac:dyDescent="0.3">
      <c r="A1265" s="991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20"/>
        <v>01,24</v>
      </c>
      <c r="L1265" s="71" t="s">
        <v>28</v>
      </c>
      <c r="M1265" s="71">
        <v>6466</v>
      </c>
      <c r="N1265" s="323">
        <v>0.375</v>
      </c>
      <c r="O1265" s="2"/>
      <c r="P1265" s="2"/>
      <c r="Q1265" s="2"/>
      <c r="R1265" s="2"/>
    </row>
    <row r="1266" spans="1:18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20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  <c r="Q1266" s="2"/>
      <c r="R1266" s="2"/>
    </row>
    <row r="1267" spans="1:18" ht="57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20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  <c r="Q1267" s="2"/>
      <c r="R1267" s="2"/>
    </row>
    <row r="1268" spans="1:18" ht="19.5" hidden="1" thickBot="1" x14ac:dyDescent="0.3">
      <c r="A1268" s="991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20"/>
        <v>01,24</v>
      </c>
      <c r="L1268" s="48" t="s">
        <v>266</v>
      </c>
      <c r="M1268" s="48">
        <v>17580</v>
      </c>
      <c r="N1268" s="315">
        <v>0.5</v>
      </c>
      <c r="O1268" s="2"/>
      <c r="P1268" s="2"/>
      <c r="Q1268" s="2"/>
      <c r="R1268" s="2"/>
    </row>
    <row r="1269" spans="1:18" ht="19.5" hidden="1" thickBot="1" x14ac:dyDescent="0.3">
      <c r="A1269" s="991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20"/>
        <v>01,24</v>
      </c>
      <c r="L1269" s="71" t="s">
        <v>28</v>
      </c>
      <c r="M1269" s="71">
        <v>334</v>
      </c>
      <c r="N1269" s="323">
        <v>0.5</v>
      </c>
      <c r="O1269" s="2"/>
      <c r="P1269" s="2"/>
      <c r="Q1269" s="2"/>
      <c r="R1269" s="2"/>
    </row>
    <row r="1270" spans="1:18" ht="19.5" hidden="1" thickBot="1" x14ac:dyDescent="0.3">
      <c r="A1270" s="990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20"/>
        <v>01,24</v>
      </c>
      <c r="L1270" s="82" t="s">
        <v>266</v>
      </c>
      <c r="M1270" s="82">
        <v>17546</v>
      </c>
      <c r="N1270" s="319">
        <v>0.375</v>
      </c>
      <c r="O1270" s="2"/>
      <c r="P1270" s="2"/>
      <c r="Q1270" s="2"/>
      <c r="R1270" s="2"/>
    </row>
    <row r="1271" spans="1:18" ht="19.5" hidden="1" thickBot="1" x14ac:dyDescent="0.3">
      <c r="A1271" s="990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20"/>
        <v>01,24</v>
      </c>
      <c r="L1271" s="90" t="s">
        <v>28</v>
      </c>
      <c r="M1271" s="90">
        <v>473</v>
      </c>
      <c r="N1271" s="325">
        <v>0.375</v>
      </c>
      <c r="O1271" s="2"/>
      <c r="P1271" s="2"/>
      <c r="Q1271" s="2"/>
      <c r="R1271" s="2"/>
    </row>
    <row r="1272" spans="1:18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20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  <c r="Q1272" s="2"/>
      <c r="R1272" s="2"/>
    </row>
    <row r="1273" spans="1:18" ht="19.5" hidden="1" thickBot="1" x14ac:dyDescent="0.3">
      <c r="A1273" s="990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20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  <c r="Q1273" s="2"/>
      <c r="R1273" s="2"/>
    </row>
    <row r="1274" spans="1:18" ht="19.5" hidden="1" thickBot="1" x14ac:dyDescent="0.3">
      <c r="A1274" s="990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20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  <c r="Q1274" s="2"/>
      <c r="R1274" s="2"/>
    </row>
    <row r="1275" spans="1:18" ht="19.5" hidden="1" thickBot="1" x14ac:dyDescent="0.3">
      <c r="A1275" s="990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20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  <c r="Q1275" s="2"/>
      <c r="R1275" s="2"/>
    </row>
    <row r="1276" spans="1:18" ht="19.5" hidden="1" thickBot="1" x14ac:dyDescent="0.3">
      <c r="A1276" s="990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20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  <c r="Q1276" s="2"/>
      <c r="R1276" s="2"/>
    </row>
    <row r="1277" spans="1:18" ht="19.5" hidden="1" thickBot="1" x14ac:dyDescent="0.3">
      <c r="A1277" s="990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20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  <c r="Q1277" s="2"/>
      <c r="R1277" s="2"/>
    </row>
    <row r="1278" spans="1:18" ht="19.5" hidden="1" thickBot="1" x14ac:dyDescent="0.3">
      <c r="A1278" s="990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20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  <c r="Q1278" s="2"/>
      <c r="R1278" s="2"/>
    </row>
    <row r="1279" spans="1:18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20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  <c r="Q1279" s="2"/>
      <c r="R1279" s="2"/>
    </row>
    <row r="1280" spans="1:18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20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  <c r="Q1280" s="2"/>
      <c r="R1280" s="2"/>
    </row>
    <row r="1281" spans="1:18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20"/>
        <v>01,24</v>
      </c>
      <c r="L1281" s="75" t="s">
        <v>28</v>
      </c>
      <c r="M1281" s="75">
        <v>17158</v>
      </c>
      <c r="N1281" s="322">
        <v>0.375</v>
      </c>
      <c r="O1281" s="2"/>
      <c r="P1281" s="2"/>
      <c r="Q1281" s="2"/>
      <c r="R1281" s="2"/>
    </row>
    <row r="1282" spans="1:18" ht="19.5" hidden="1" thickBot="1" x14ac:dyDescent="0.3">
      <c r="A1282" s="990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20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  <c r="Q1282" s="2"/>
      <c r="R1282" s="2"/>
    </row>
    <row r="1283" spans="1:18" ht="19.5" hidden="1" thickBot="1" x14ac:dyDescent="0.3">
      <c r="A1283" s="990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1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  <c r="Q1283" s="2"/>
      <c r="R1283" s="2"/>
    </row>
    <row r="1284" spans="1:18" ht="19.5" hidden="1" thickBot="1" x14ac:dyDescent="0.3">
      <c r="A1284" s="991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1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  <c r="Q1284" s="2"/>
      <c r="R1284" s="2"/>
    </row>
    <row r="1285" spans="1:18" ht="19.5" hidden="1" thickBot="1" x14ac:dyDescent="0.3">
      <c r="A1285" s="991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1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  <c r="Q1285" s="2"/>
      <c r="R1285" s="2"/>
    </row>
    <row r="1286" spans="1:18" ht="19.5" hidden="1" thickBot="1" x14ac:dyDescent="0.3">
      <c r="A1286" s="990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1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  <c r="Q1286" s="2"/>
      <c r="R1286" s="2"/>
    </row>
    <row r="1287" spans="1:18" ht="19.5" hidden="1" thickBot="1" x14ac:dyDescent="0.3">
      <c r="A1287" s="990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1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  <c r="Q1287" s="2"/>
      <c r="R1287" s="2"/>
    </row>
    <row r="1288" spans="1:18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1"/>
        <v>01,24</v>
      </c>
      <c r="L1288" s="75" t="s">
        <v>28</v>
      </c>
      <c r="M1288" s="75">
        <v>18258</v>
      </c>
      <c r="N1288" s="322">
        <v>0.375</v>
      </c>
      <c r="O1288" s="2"/>
      <c r="P1288" s="2"/>
      <c r="Q1288" s="2"/>
      <c r="R1288" s="2"/>
    </row>
    <row r="1289" spans="1:18" ht="19.5" hidden="1" thickBot="1" x14ac:dyDescent="0.3">
      <c r="A1289" s="990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1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  <c r="Q1289" s="2"/>
      <c r="R1289" s="2"/>
    </row>
    <row r="1290" spans="1:18" ht="19.5" hidden="1" thickBot="1" x14ac:dyDescent="0.3">
      <c r="A1290" s="990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1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  <c r="Q1290" s="2"/>
      <c r="R1290" s="2"/>
    </row>
    <row r="1291" spans="1:18" ht="18.75" hidden="1" customHeight="1" thickBot="1" x14ac:dyDescent="0.3">
      <c r="A1291" s="991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993" t="s">
        <v>72</v>
      </c>
      <c r="H1291" s="48" t="s">
        <v>336</v>
      </c>
      <c r="I1291" s="163" t="s">
        <v>336</v>
      </c>
      <c r="J1291" s="52"/>
      <c r="K1291" s="48" t="str">
        <f t="shared" si="21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  <c r="Q1291" s="2"/>
      <c r="R1291" s="2"/>
    </row>
    <row r="1292" spans="1:18" ht="19.5" hidden="1" thickBot="1" x14ac:dyDescent="0.3">
      <c r="A1292" s="991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993"/>
      <c r="H1292" s="71" t="s">
        <v>336</v>
      </c>
      <c r="I1292" s="167" t="s">
        <v>337</v>
      </c>
      <c r="J1292" s="168"/>
      <c r="K1292" s="71" t="str">
        <f t="shared" si="21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  <c r="Q1292" s="2"/>
      <c r="R1292" s="2"/>
    </row>
    <row r="1293" spans="1:18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1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  <c r="Q1293" s="2"/>
      <c r="R1293" s="2"/>
    </row>
    <row r="1294" spans="1:18" ht="19.5" hidden="1" thickBot="1" x14ac:dyDescent="0.3">
      <c r="A1294" s="991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1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  <c r="Q1294" s="2"/>
      <c r="R1294" s="2"/>
    </row>
    <row r="1295" spans="1:18" ht="19.5" hidden="1" thickBot="1" x14ac:dyDescent="0.3">
      <c r="A1295" s="991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1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  <c r="Q1295" s="2"/>
      <c r="R1295" s="2"/>
    </row>
    <row r="1296" spans="1:18" ht="19.5" hidden="1" thickBot="1" x14ac:dyDescent="0.3">
      <c r="A1296" s="990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1"/>
        <v>01,24</v>
      </c>
      <c r="L1296" s="82" t="s">
        <v>28</v>
      </c>
      <c r="M1296" s="82">
        <v>1500</v>
      </c>
      <c r="N1296" s="319">
        <v>0.5</v>
      </c>
      <c r="O1296" s="2"/>
      <c r="P1296" s="2"/>
      <c r="Q1296" s="2"/>
      <c r="R1296" s="2"/>
    </row>
    <row r="1297" spans="1:18" ht="19.5" hidden="1" thickBot="1" x14ac:dyDescent="0.3">
      <c r="A1297" s="990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1"/>
        <v>01,24</v>
      </c>
      <c r="L1297" s="98" t="s">
        <v>28</v>
      </c>
      <c r="M1297" s="98">
        <v>9530</v>
      </c>
      <c r="N1297" s="364">
        <v>0.5</v>
      </c>
      <c r="O1297" s="2"/>
      <c r="P1297" s="2"/>
      <c r="Q1297" s="2"/>
      <c r="R1297" s="2"/>
    </row>
    <row r="1298" spans="1:18" ht="19.5" hidden="1" thickBot="1" x14ac:dyDescent="0.3">
      <c r="A1298" s="990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1"/>
        <v>01,24</v>
      </c>
      <c r="L1298" s="90" t="s">
        <v>28</v>
      </c>
      <c r="M1298" s="90">
        <v>6361</v>
      </c>
      <c r="N1298" s="325">
        <v>0.5</v>
      </c>
      <c r="O1298" s="2"/>
      <c r="P1298" s="2"/>
      <c r="Q1298" s="2"/>
      <c r="R1298" s="2"/>
    </row>
    <row r="1299" spans="1:18" ht="19.5" hidden="1" thickBot="1" x14ac:dyDescent="0.3">
      <c r="A1299" s="991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1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  <c r="Q1299" s="2"/>
      <c r="R1299" s="2"/>
    </row>
    <row r="1300" spans="1:18" ht="19.5" hidden="1" thickBot="1" x14ac:dyDescent="0.3">
      <c r="A1300" s="991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1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  <c r="Q1300" s="2"/>
      <c r="R1300" s="2"/>
    </row>
    <row r="1301" spans="1:18" ht="38.25" hidden="1" thickBot="1" x14ac:dyDescent="0.3">
      <c r="A1301" s="990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1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  <c r="Q1301" s="2"/>
      <c r="R1301" s="2"/>
    </row>
    <row r="1302" spans="1:18" ht="38.25" hidden="1" thickBot="1" x14ac:dyDescent="0.3">
      <c r="A1302" s="990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1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  <c r="Q1302" s="2"/>
      <c r="R1302" s="2"/>
    </row>
    <row r="1303" spans="1:18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1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  <c r="Q1303" s="2"/>
      <c r="R1303" s="2"/>
    </row>
    <row r="1304" spans="1:18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1"/>
        <v>01,24</v>
      </c>
      <c r="L1304" s="40" t="s">
        <v>266</v>
      </c>
      <c r="M1304" s="40">
        <v>17851</v>
      </c>
      <c r="N1304" s="317">
        <v>0.375</v>
      </c>
      <c r="O1304" s="2"/>
      <c r="P1304" s="2"/>
      <c r="Q1304" s="2"/>
      <c r="R1304" s="2"/>
    </row>
    <row r="1305" spans="1:18" ht="38.25" hidden="1" thickBot="1" x14ac:dyDescent="0.3">
      <c r="A1305" s="991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1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  <c r="Q1305" s="2"/>
      <c r="R1305" s="2"/>
    </row>
    <row r="1306" spans="1:18" ht="38.25" hidden="1" thickBot="1" x14ac:dyDescent="0.3">
      <c r="A1306" s="991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1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  <c r="Q1306" s="2"/>
      <c r="R1306" s="2"/>
    </row>
    <row r="1307" spans="1:18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1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  <c r="Q1307" s="2"/>
      <c r="R1307" s="2"/>
    </row>
    <row r="1308" spans="1:18" ht="19.5" hidden="1" thickBot="1" x14ac:dyDescent="0.3">
      <c r="A1308" s="991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1"/>
        <v>01,24</v>
      </c>
      <c r="L1308" s="48" t="s">
        <v>28</v>
      </c>
      <c r="M1308" s="48">
        <v>7324</v>
      </c>
      <c r="N1308" s="315">
        <v>0.375</v>
      </c>
      <c r="O1308" s="2"/>
      <c r="P1308" s="2"/>
      <c r="Q1308" s="2"/>
      <c r="R1308" s="2"/>
    </row>
    <row r="1309" spans="1:18" ht="19.5" hidden="1" thickBot="1" x14ac:dyDescent="0.3">
      <c r="A1309" s="991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1"/>
        <v>01,24</v>
      </c>
      <c r="L1309" s="71" t="s">
        <v>28</v>
      </c>
      <c r="M1309" s="71">
        <v>4783</v>
      </c>
      <c r="N1309" s="323">
        <v>0.375</v>
      </c>
      <c r="O1309" s="2"/>
      <c r="P1309" s="2"/>
      <c r="Q1309" s="2"/>
      <c r="R1309" s="2"/>
    </row>
    <row r="1310" spans="1:18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1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  <c r="Q1310" s="2"/>
      <c r="R1310" s="2"/>
    </row>
    <row r="1311" spans="1:18" ht="19.5" hidden="1" thickBot="1" x14ac:dyDescent="0.3">
      <c r="A1311" s="991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1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  <c r="Q1311" s="2"/>
      <c r="R1311" s="2"/>
    </row>
    <row r="1312" spans="1:18" ht="19.5" hidden="1" thickBot="1" x14ac:dyDescent="0.3">
      <c r="A1312" s="991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1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  <c r="Q1312" s="2"/>
      <c r="R1312" s="2"/>
    </row>
    <row r="1313" spans="1:18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1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  <c r="Q1313" s="2"/>
      <c r="R1313" s="2"/>
    </row>
    <row r="1314" spans="1:18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1"/>
        <v>02,24</v>
      </c>
      <c r="L1314" s="75" t="s">
        <v>266</v>
      </c>
      <c r="M1314" s="75">
        <v>17957</v>
      </c>
      <c r="N1314" s="322">
        <v>0.375</v>
      </c>
      <c r="O1314" s="2"/>
      <c r="P1314" s="2"/>
      <c r="Q1314" s="2"/>
      <c r="R1314" s="2"/>
    </row>
    <row r="1315" spans="1:18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1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  <c r="Q1315" s="2"/>
      <c r="R1315" s="2"/>
    </row>
    <row r="1316" spans="1:18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1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  <c r="Q1316" s="2"/>
      <c r="R1316" s="2"/>
    </row>
    <row r="1317" spans="1:18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1"/>
        <v>02,24</v>
      </c>
      <c r="L1317" s="40" t="s">
        <v>266</v>
      </c>
      <c r="M1317" s="40">
        <v>17708</v>
      </c>
      <c r="N1317" s="317">
        <v>0.5</v>
      </c>
      <c r="O1317" s="2"/>
      <c r="P1317" s="2"/>
      <c r="Q1317" s="2"/>
      <c r="R1317" s="2"/>
    </row>
    <row r="1318" spans="1:18" ht="19.5" hidden="1" thickBot="1" x14ac:dyDescent="0.3">
      <c r="A1318" s="991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1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  <c r="Q1318" s="2"/>
      <c r="R1318" s="2"/>
    </row>
    <row r="1319" spans="1:18" ht="19.5" hidden="1" thickBot="1" x14ac:dyDescent="0.3">
      <c r="A1319" s="991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1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  <c r="Q1319" s="2"/>
      <c r="R1319" s="2"/>
    </row>
    <row r="1320" spans="1:18" ht="19.5" hidden="1" thickBot="1" x14ac:dyDescent="0.3">
      <c r="A1320" s="991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1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  <c r="Q1320" s="2"/>
      <c r="R1320" s="2"/>
    </row>
    <row r="1321" spans="1:18" ht="19.5" hidden="1" thickBot="1" x14ac:dyDescent="0.3">
      <c r="A1321" s="991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1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  <c r="Q1321" s="2"/>
      <c r="R1321" s="2"/>
    </row>
    <row r="1322" spans="1:18" ht="19.5" hidden="1" thickBot="1" x14ac:dyDescent="0.3">
      <c r="A1322" s="991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1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  <c r="Q1322" s="2"/>
      <c r="R1322" s="2"/>
    </row>
    <row r="1323" spans="1:18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1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  <c r="Q1323" s="2"/>
      <c r="R1323" s="2"/>
    </row>
    <row r="1324" spans="1:18" ht="19.5" hidden="1" thickBot="1" x14ac:dyDescent="0.3">
      <c r="A1324" s="991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1"/>
        <v>02,24</v>
      </c>
      <c r="L1324" s="48" t="s">
        <v>266</v>
      </c>
      <c r="M1324" s="48">
        <v>5213</v>
      </c>
      <c r="N1324" s="315">
        <v>0.375</v>
      </c>
      <c r="O1324" s="2"/>
      <c r="P1324" s="2"/>
      <c r="Q1324" s="2"/>
      <c r="R1324" s="2"/>
    </row>
    <row r="1325" spans="1:18" ht="19.5" hidden="1" thickBot="1" x14ac:dyDescent="0.3">
      <c r="A1325" s="991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1"/>
        <v>02,24</v>
      </c>
      <c r="L1325" s="71" t="s">
        <v>266</v>
      </c>
      <c r="M1325" s="71">
        <v>2605</v>
      </c>
      <c r="N1325" s="323">
        <v>0.375</v>
      </c>
      <c r="O1325" s="2"/>
      <c r="P1325" s="2"/>
      <c r="Q1325" s="2"/>
      <c r="R1325" s="2"/>
    </row>
    <row r="1326" spans="1:18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1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  <c r="Q1326" s="2"/>
      <c r="R1326" s="2"/>
    </row>
    <row r="1327" spans="1:18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1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  <c r="Q1327" s="2"/>
      <c r="R1327" s="2"/>
    </row>
    <row r="1328" spans="1:18" ht="19.5" hidden="1" thickBot="1" x14ac:dyDescent="0.3">
      <c r="A1328" s="990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1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  <c r="Q1328" s="2"/>
      <c r="R1328" s="2"/>
    </row>
    <row r="1329" spans="1:18" ht="19.5" hidden="1" thickBot="1" x14ac:dyDescent="0.3">
      <c r="A1329" s="990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1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  <c r="Q1329" s="2"/>
      <c r="R1329" s="2"/>
    </row>
    <row r="1330" spans="1:18" ht="19.5" hidden="1" thickBot="1" x14ac:dyDescent="0.3">
      <c r="A1330" s="991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1"/>
        <v>02,24</v>
      </c>
      <c r="L1330" s="48" t="s">
        <v>28</v>
      </c>
      <c r="M1330" s="48">
        <v>9410</v>
      </c>
      <c r="N1330" s="315">
        <v>0.5</v>
      </c>
      <c r="O1330" s="2"/>
      <c r="P1330" s="2"/>
      <c r="Q1330" s="2"/>
      <c r="R1330" s="2"/>
    </row>
    <row r="1331" spans="1:18" ht="19.5" hidden="1" thickBot="1" x14ac:dyDescent="0.3">
      <c r="A1331" s="991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1"/>
        <v>02,24</v>
      </c>
      <c r="L1331" s="71" t="s">
        <v>28</v>
      </c>
      <c r="M1331" s="71">
        <v>7944</v>
      </c>
      <c r="N1331" s="323">
        <v>0.5</v>
      </c>
      <c r="O1331" s="2"/>
      <c r="P1331" s="2"/>
      <c r="Q1331" s="2"/>
      <c r="R1331" s="2"/>
    </row>
    <row r="1332" spans="1:18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1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  <c r="Q1332" s="2"/>
      <c r="R1332" s="2"/>
    </row>
    <row r="1333" spans="1:18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1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  <c r="Q1333" s="2"/>
      <c r="R1333" s="2"/>
    </row>
    <row r="1334" spans="1:18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1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  <c r="Q1334" s="2"/>
      <c r="R1334" s="2"/>
    </row>
    <row r="1335" spans="1:18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1"/>
        <v>02,24</v>
      </c>
      <c r="L1335" s="75" t="s">
        <v>266</v>
      </c>
      <c r="M1335" s="75">
        <v>17875</v>
      </c>
      <c r="N1335" s="322">
        <v>0.375</v>
      </c>
      <c r="O1335" s="2"/>
      <c r="P1335" s="2"/>
      <c r="Q1335" s="2"/>
      <c r="R1335" s="2"/>
    </row>
    <row r="1336" spans="1:18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1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  <c r="Q1336" s="2"/>
      <c r="R1336" s="2"/>
    </row>
    <row r="1337" spans="1:18" ht="18.75" hidden="1" customHeight="1" thickBot="1" x14ac:dyDescent="0.3">
      <c r="A1337" s="991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994" t="s">
        <v>72</v>
      </c>
      <c r="H1337" s="48" t="s">
        <v>343</v>
      </c>
      <c r="I1337" s="163" t="s">
        <v>343</v>
      </c>
      <c r="J1337" s="52"/>
      <c r="K1337" s="48" t="str">
        <f t="shared" si="21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  <c r="Q1337" s="2"/>
      <c r="R1337" s="2"/>
    </row>
    <row r="1338" spans="1:18" ht="19.5" hidden="1" thickBot="1" x14ac:dyDescent="0.3">
      <c r="A1338" s="991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994"/>
      <c r="H1338" s="71" t="s">
        <v>343</v>
      </c>
      <c r="I1338" s="167" t="s">
        <v>343</v>
      </c>
      <c r="J1338" s="168"/>
      <c r="K1338" s="71" t="str">
        <f t="shared" si="21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  <c r="Q1338" s="2"/>
      <c r="R1338" s="2"/>
    </row>
    <row r="1339" spans="1:18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1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  <c r="Q1339" s="2"/>
      <c r="R1339" s="2"/>
    </row>
    <row r="1340" spans="1:18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1"/>
        <v>02,24</v>
      </c>
      <c r="L1340" s="75" t="s">
        <v>28</v>
      </c>
      <c r="M1340" s="75">
        <v>13238</v>
      </c>
      <c r="N1340" s="322">
        <v>0.375</v>
      </c>
      <c r="O1340" s="2"/>
      <c r="P1340" s="2"/>
      <c r="Q1340" s="2"/>
      <c r="R1340" s="2"/>
    </row>
    <row r="1341" spans="1:18" ht="19.5" hidden="1" thickBot="1" x14ac:dyDescent="0.3">
      <c r="A1341" s="990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1"/>
        <v>02,24</v>
      </c>
      <c r="L1341" s="82" t="s">
        <v>28</v>
      </c>
      <c r="M1341" s="82">
        <v>3208</v>
      </c>
      <c r="N1341" s="319">
        <v>0.5</v>
      </c>
      <c r="O1341" s="2"/>
      <c r="P1341" s="2"/>
      <c r="Q1341" s="2"/>
      <c r="R1341" s="2"/>
    </row>
    <row r="1342" spans="1:18" ht="19.5" hidden="1" thickBot="1" x14ac:dyDescent="0.3">
      <c r="A1342" s="990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1"/>
        <v>02,24</v>
      </c>
      <c r="L1342" s="98" t="s">
        <v>28</v>
      </c>
      <c r="M1342" s="98">
        <v>7987</v>
      </c>
      <c r="N1342" s="364">
        <v>0.5</v>
      </c>
      <c r="O1342" s="2"/>
      <c r="P1342" s="2"/>
      <c r="Q1342" s="2"/>
      <c r="R1342" s="2"/>
    </row>
    <row r="1343" spans="1:18" ht="19.5" hidden="1" thickBot="1" x14ac:dyDescent="0.3">
      <c r="A1343" s="990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1"/>
        <v>02,24</v>
      </c>
      <c r="L1343" s="90" t="s">
        <v>28</v>
      </c>
      <c r="M1343" s="90">
        <v>6289</v>
      </c>
      <c r="N1343" s="325">
        <v>0.5</v>
      </c>
      <c r="O1343" s="2"/>
      <c r="P1343" s="2"/>
      <c r="Q1343" s="2"/>
      <c r="R1343" s="2"/>
    </row>
    <row r="1344" spans="1:18" ht="19.5" hidden="1" thickBot="1" x14ac:dyDescent="0.3">
      <c r="A1344" s="991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1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  <c r="Q1344" s="2"/>
      <c r="R1344" s="2"/>
    </row>
    <row r="1345" spans="1:18" ht="19.5" hidden="1" thickBot="1" x14ac:dyDescent="0.3">
      <c r="A1345" s="991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1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  <c r="Q1345" s="2"/>
      <c r="R1345" s="2"/>
    </row>
    <row r="1346" spans="1:18" ht="19.5" hidden="1" thickBot="1" x14ac:dyDescent="0.3">
      <c r="A1346" s="991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1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  <c r="Q1346" s="2"/>
      <c r="R1346" s="2"/>
    </row>
    <row r="1347" spans="1:18" ht="19.5" hidden="1" thickBot="1" x14ac:dyDescent="0.3">
      <c r="A1347" s="990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2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  <c r="Q1347" s="2"/>
      <c r="R1347" s="2"/>
    </row>
    <row r="1348" spans="1:18" ht="19.5" hidden="1" thickBot="1" x14ac:dyDescent="0.3">
      <c r="A1348" s="990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2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  <c r="Q1348" s="2"/>
      <c r="R1348" s="2"/>
    </row>
    <row r="1349" spans="1:18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2"/>
        <v>02,24</v>
      </c>
      <c r="L1349" s="75" t="s">
        <v>265</v>
      </c>
      <c r="M1349" s="75">
        <v>17641</v>
      </c>
      <c r="N1349" s="322">
        <v>0.375</v>
      </c>
      <c r="O1349" s="2"/>
      <c r="P1349" s="2"/>
      <c r="Q1349" s="2"/>
      <c r="R1349" s="2"/>
    </row>
    <row r="1350" spans="1:18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2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  <c r="Q1350" s="2"/>
      <c r="R1350" s="2"/>
    </row>
    <row r="1351" spans="1:18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2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  <c r="Q1351" s="2"/>
      <c r="R1351" s="2"/>
    </row>
    <row r="1352" spans="1:18" ht="19.5" hidden="1" thickBot="1" x14ac:dyDescent="0.3">
      <c r="A1352" s="990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2"/>
        <v>02,24</v>
      </c>
      <c r="L1352" s="82" t="s">
        <v>28</v>
      </c>
      <c r="M1352" s="82">
        <v>3565</v>
      </c>
      <c r="N1352" s="319">
        <v>0.375</v>
      </c>
      <c r="O1352" s="2"/>
      <c r="P1352" s="2"/>
      <c r="Q1352" s="2"/>
      <c r="R1352" s="2"/>
    </row>
    <row r="1353" spans="1:18" ht="19.5" hidden="1" thickBot="1" x14ac:dyDescent="0.3">
      <c r="A1353" s="990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2"/>
        <v>02,24</v>
      </c>
      <c r="L1353" s="90" t="s">
        <v>28</v>
      </c>
      <c r="M1353" s="90">
        <v>9295</v>
      </c>
      <c r="N1353" s="325">
        <v>0.375</v>
      </c>
      <c r="O1353" s="2"/>
      <c r="P1353" s="2"/>
      <c r="Q1353" s="2"/>
      <c r="R1353" s="2"/>
    </row>
    <row r="1354" spans="1:18" ht="19.5" hidden="1" thickBot="1" x14ac:dyDescent="0.3">
      <c r="A1354" s="991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2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  <c r="Q1354" s="2"/>
      <c r="R1354" s="2"/>
    </row>
    <row r="1355" spans="1:18" ht="19.5" hidden="1" thickBot="1" x14ac:dyDescent="0.3">
      <c r="A1355" s="991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2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  <c r="Q1355" s="2"/>
      <c r="R1355" s="2"/>
    </row>
    <row r="1356" spans="1:18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2"/>
        <v>02,24</v>
      </c>
      <c r="L1356" s="40" t="s">
        <v>266</v>
      </c>
      <c r="M1356" s="40">
        <v>16330</v>
      </c>
      <c r="N1356" s="317">
        <v>0.5</v>
      </c>
      <c r="O1356" s="2"/>
      <c r="P1356" s="2"/>
      <c r="Q1356" s="2"/>
      <c r="R1356" s="2"/>
    </row>
    <row r="1357" spans="1:18" ht="19.5" hidden="1" thickBot="1" x14ac:dyDescent="0.3">
      <c r="A1357" s="991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2"/>
        <v>02,24</v>
      </c>
      <c r="L1357" s="48" t="s">
        <v>266</v>
      </c>
      <c r="M1357" s="48">
        <v>16055</v>
      </c>
      <c r="N1357" s="315">
        <v>0.375</v>
      </c>
      <c r="O1357" s="2"/>
      <c r="P1357" s="2"/>
      <c r="Q1357" s="2"/>
      <c r="R1357" s="2"/>
    </row>
    <row r="1358" spans="1:18" ht="19.5" hidden="1" thickBot="1" x14ac:dyDescent="0.3">
      <c r="A1358" s="991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2"/>
        <v>02,24</v>
      </c>
      <c r="L1358" s="71" t="s">
        <v>28</v>
      </c>
      <c r="M1358" s="71">
        <v>2026</v>
      </c>
      <c r="N1358" s="323">
        <v>0.375</v>
      </c>
      <c r="O1358" s="2"/>
      <c r="P1358" s="2"/>
      <c r="Q1358" s="2"/>
      <c r="R1358" s="2"/>
    </row>
    <row r="1359" spans="1:18" ht="19.5" hidden="1" thickBot="1" x14ac:dyDescent="0.3">
      <c r="A1359" s="990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2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  <c r="Q1359" s="2"/>
      <c r="R1359" s="2"/>
    </row>
    <row r="1360" spans="1:18" ht="19.5" hidden="1" thickBot="1" x14ac:dyDescent="0.3">
      <c r="A1360" s="990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2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  <c r="Q1360" s="2"/>
      <c r="R1360" s="2"/>
    </row>
    <row r="1361" spans="1:18" ht="19.5" hidden="1" thickBot="1" x14ac:dyDescent="0.3">
      <c r="A1361" s="991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2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  <c r="Q1361" s="2"/>
      <c r="R1361" s="2"/>
    </row>
    <row r="1362" spans="1:18" ht="19.5" hidden="1" thickBot="1" x14ac:dyDescent="0.3">
      <c r="A1362" s="991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2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  <c r="Q1362" s="2"/>
      <c r="R1362" s="2"/>
    </row>
    <row r="1363" spans="1:18" ht="19.5" hidden="1" thickBot="1" x14ac:dyDescent="0.3">
      <c r="A1363" s="990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2"/>
        <v>02,24</v>
      </c>
      <c r="L1363" s="82" t="s">
        <v>266</v>
      </c>
      <c r="M1363" s="82">
        <v>803</v>
      </c>
      <c r="N1363" s="319">
        <v>0.5</v>
      </c>
      <c r="O1363" s="2"/>
      <c r="P1363" s="2"/>
      <c r="Q1363" s="2"/>
      <c r="R1363" s="2"/>
    </row>
    <row r="1364" spans="1:18" ht="19.5" hidden="1" thickBot="1" x14ac:dyDescent="0.3">
      <c r="A1364" s="990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2"/>
        <v>02,24</v>
      </c>
      <c r="L1364" s="98" t="s">
        <v>266</v>
      </c>
      <c r="M1364" s="98">
        <v>1375</v>
      </c>
      <c r="N1364" s="364">
        <v>0.5</v>
      </c>
      <c r="O1364" s="2"/>
      <c r="P1364" s="2"/>
      <c r="Q1364" s="2"/>
      <c r="R1364" s="2"/>
    </row>
    <row r="1365" spans="1:18" ht="19.5" hidden="1" thickBot="1" x14ac:dyDescent="0.3">
      <c r="A1365" s="990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2"/>
        <v>02,24</v>
      </c>
      <c r="L1365" s="98" t="s">
        <v>266</v>
      </c>
      <c r="M1365" s="98">
        <v>3442</v>
      </c>
      <c r="N1365" s="364">
        <v>0.5</v>
      </c>
      <c r="O1365" s="2"/>
      <c r="P1365" s="2"/>
      <c r="Q1365" s="2"/>
      <c r="R1365" s="2"/>
    </row>
    <row r="1366" spans="1:18" ht="19.5" hidden="1" thickBot="1" x14ac:dyDescent="0.3">
      <c r="A1366" s="990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2"/>
        <v>02,24</v>
      </c>
      <c r="L1366" s="90" t="s">
        <v>266</v>
      </c>
      <c r="M1366" s="90">
        <v>1078</v>
      </c>
      <c r="N1366" s="325">
        <v>0.5</v>
      </c>
      <c r="O1366" s="2"/>
      <c r="P1366" s="2"/>
      <c r="Q1366" s="2"/>
      <c r="R1366" s="2"/>
    </row>
    <row r="1367" spans="1:18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2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  <c r="Q1367" s="2"/>
      <c r="R1367" s="2"/>
    </row>
    <row r="1368" spans="1:18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2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  <c r="Q1368" s="2"/>
      <c r="R1368" s="2"/>
    </row>
    <row r="1369" spans="1:18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2"/>
        <v>02,24</v>
      </c>
      <c r="L1369" s="75" t="s">
        <v>28</v>
      </c>
      <c r="M1369" s="75">
        <v>17804</v>
      </c>
      <c r="N1369" s="322">
        <v>0.375</v>
      </c>
      <c r="O1369" s="2"/>
      <c r="P1369" s="2"/>
      <c r="Q1369" s="2"/>
      <c r="R1369" s="2"/>
    </row>
    <row r="1370" spans="1:18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2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  <c r="Q1370" s="2"/>
      <c r="R1370" s="2"/>
    </row>
    <row r="1371" spans="1:18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2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  <c r="Q1371" s="2"/>
      <c r="R1371" s="2"/>
    </row>
    <row r="1372" spans="1:18" ht="19.5" hidden="1" thickBot="1" x14ac:dyDescent="0.3">
      <c r="A1372" s="990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2"/>
        <v>02,24</v>
      </c>
      <c r="L1372" s="82" t="s">
        <v>28</v>
      </c>
      <c r="M1372" s="82">
        <v>5179</v>
      </c>
      <c r="N1372" s="319">
        <v>0.5</v>
      </c>
      <c r="O1372" s="2"/>
      <c r="P1372" s="2"/>
      <c r="Q1372" s="2"/>
      <c r="R1372" s="2"/>
    </row>
    <row r="1373" spans="1:18" ht="19.5" hidden="1" thickBot="1" x14ac:dyDescent="0.3">
      <c r="A1373" s="990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2"/>
        <v>02,24</v>
      </c>
      <c r="L1373" s="90" t="s">
        <v>28</v>
      </c>
      <c r="M1373" s="90">
        <v>11985</v>
      </c>
      <c r="N1373" s="325">
        <v>0.5</v>
      </c>
      <c r="O1373" s="2"/>
      <c r="P1373" s="2"/>
      <c r="Q1373" s="2"/>
      <c r="R1373" s="2"/>
    </row>
    <row r="1374" spans="1:18" ht="19.5" hidden="1" thickBot="1" x14ac:dyDescent="0.3">
      <c r="A1374" s="991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2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  <c r="Q1374" s="2"/>
      <c r="R1374" s="2"/>
    </row>
    <row r="1375" spans="1:18" ht="19.5" hidden="1" thickBot="1" x14ac:dyDescent="0.3">
      <c r="A1375" s="991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2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  <c r="Q1375" s="2"/>
      <c r="R1375" s="2"/>
    </row>
    <row r="1376" spans="1:18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2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  <c r="Q1376" s="2"/>
      <c r="R1376" s="2"/>
    </row>
    <row r="1377" spans="1:18" ht="18.75" hidden="1" customHeight="1" thickBot="1" x14ac:dyDescent="0.3">
      <c r="A1377" s="991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993" t="s">
        <v>72</v>
      </c>
      <c r="H1377" s="48" t="s">
        <v>350</v>
      </c>
      <c r="I1377" s="163" t="s">
        <v>350</v>
      </c>
      <c r="J1377" s="52"/>
      <c r="K1377" s="48" t="str">
        <f t="shared" si="22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  <c r="Q1377" s="2"/>
      <c r="R1377" s="2"/>
    </row>
    <row r="1378" spans="1:18" ht="19.5" hidden="1" thickBot="1" x14ac:dyDescent="0.3">
      <c r="A1378" s="991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993"/>
      <c r="H1378" s="71" t="s">
        <v>350</v>
      </c>
      <c r="I1378" s="167" t="s">
        <v>350</v>
      </c>
      <c r="J1378" s="168"/>
      <c r="K1378" s="71" t="str">
        <f t="shared" si="22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  <c r="Q1378" s="2"/>
      <c r="R1378" s="2"/>
    </row>
    <row r="1379" spans="1:18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2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  <c r="Q1379" s="2"/>
      <c r="R1379" s="2"/>
    </row>
    <row r="1380" spans="1:18" ht="19.5" hidden="1" thickBot="1" x14ac:dyDescent="0.3">
      <c r="A1380" s="991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2"/>
        <v>02,24</v>
      </c>
      <c r="L1380" s="48" t="s">
        <v>28</v>
      </c>
      <c r="M1380" s="48">
        <v>4500</v>
      </c>
      <c r="N1380" s="315">
        <v>0.5</v>
      </c>
      <c r="O1380" s="2"/>
      <c r="P1380" s="2"/>
      <c r="Q1380" s="2"/>
      <c r="R1380" s="2"/>
    </row>
    <row r="1381" spans="1:18" ht="19.5" hidden="1" thickBot="1" x14ac:dyDescent="0.3">
      <c r="A1381" s="991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2"/>
        <v>02,24</v>
      </c>
      <c r="L1381" s="71" t="s">
        <v>28</v>
      </c>
      <c r="M1381" s="71">
        <v>12913</v>
      </c>
      <c r="N1381" s="323">
        <v>0.5</v>
      </c>
      <c r="O1381" s="2"/>
      <c r="P1381" s="2"/>
      <c r="Q1381" s="2"/>
      <c r="R1381" s="2"/>
    </row>
    <row r="1382" spans="1:18" ht="19.5" hidden="1" thickBot="1" x14ac:dyDescent="0.3">
      <c r="A1382" s="990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2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  <c r="Q1382" s="2"/>
      <c r="R1382" s="2"/>
    </row>
    <row r="1383" spans="1:18" ht="19.5" hidden="1" thickBot="1" x14ac:dyDescent="0.3">
      <c r="A1383" s="990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2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  <c r="Q1383" s="2"/>
      <c r="R1383" s="2"/>
    </row>
    <row r="1384" spans="1:18" ht="19.5" hidden="1" thickBot="1" x14ac:dyDescent="0.3">
      <c r="A1384" s="991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2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  <c r="Q1384" s="2"/>
      <c r="R1384" s="2"/>
    </row>
    <row r="1385" spans="1:18" ht="19.5" hidden="1" thickBot="1" x14ac:dyDescent="0.3">
      <c r="A1385" s="991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2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  <c r="Q1385" s="2"/>
      <c r="R1385" s="2"/>
    </row>
    <row r="1386" spans="1:18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2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  <c r="Q1386" s="2"/>
      <c r="R1386" s="2"/>
    </row>
    <row r="1387" spans="1:18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2"/>
        <v>02,24</v>
      </c>
      <c r="L1387" s="75" t="s">
        <v>265</v>
      </c>
      <c r="M1387" s="75">
        <v>16617</v>
      </c>
      <c r="N1387" s="322">
        <v>0.375</v>
      </c>
      <c r="O1387" s="2"/>
      <c r="P1387" s="2"/>
      <c r="Q1387" s="2"/>
      <c r="R1387" s="2"/>
    </row>
    <row r="1388" spans="1:18" ht="19.5" hidden="1" thickBot="1" x14ac:dyDescent="0.3">
      <c r="A1388" s="990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2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  <c r="Q1388" s="2"/>
      <c r="R1388" s="2"/>
    </row>
    <row r="1389" spans="1:18" ht="19.5" hidden="1" thickBot="1" x14ac:dyDescent="0.3">
      <c r="A1389" s="990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2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  <c r="Q1389" s="2"/>
      <c r="R1389" s="2"/>
    </row>
    <row r="1390" spans="1:18" ht="19.5" hidden="1" thickBot="1" x14ac:dyDescent="0.3">
      <c r="A1390" s="991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2"/>
        <v>02,24</v>
      </c>
      <c r="L1390" s="48" t="s">
        <v>28</v>
      </c>
      <c r="M1390" s="48">
        <v>6035</v>
      </c>
      <c r="N1390" s="315">
        <v>0.375</v>
      </c>
      <c r="O1390" s="2"/>
      <c r="P1390" s="2"/>
      <c r="Q1390" s="2"/>
      <c r="R1390" s="2"/>
    </row>
    <row r="1391" spans="1:18" ht="19.5" hidden="1" thickBot="1" x14ac:dyDescent="0.3">
      <c r="A1391" s="991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2"/>
        <v>02,24</v>
      </c>
      <c r="L1391" s="71" t="s">
        <v>28</v>
      </c>
      <c r="M1391" s="71">
        <v>7246</v>
      </c>
      <c r="N1391" s="323">
        <v>0.375</v>
      </c>
      <c r="O1391" s="2"/>
      <c r="P1391" s="2"/>
      <c r="Q1391" s="2"/>
      <c r="R1391" s="2"/>
    </row>
    <row r="1392" spans="1:18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2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  <c r="Q1392" s="2"/>
      <c r="R1392" s="2"/>
    </row>
    <row r="1393" spans="1:18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2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  <c r="Q1393" s="2"/>
      <c r="R1393" s="2"/>
    </row>
    <row r="1394" spans="1:18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2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  <c r="Q1394" s="2"/>
      <c r="R1394" s="2"/>
    </row>
    <row r="1395" spans="1:18" ht="19.5" hidden="1" thickBot="1" x14ac:dyDescent="0.3">
      <c r="A1395" s="991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2"/>
        <v>02,24</v>
      </c>
      <c r="L1395" s="48" t="s">
        <v>266</v>
      </c>
      <c r="M1395" s="48">
        <v>14143</v>
      </c>
      <c r="N1395" s="315">
        <v>0.375</v>
      </c>
      <c r="O1395" s="2"/>
      <c r="P1395" s="2"/>
      <c r="Q1395" s="2"/>
      <c r="R1395" s="2"/>
    </row>
    <row r="1396" spans="1:18" ht="19.5" hidden="1" thickBot="1" x14ac:dyDescent="0.3">
      <c r="A1396" s="991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2"/>
        <v>02,24</v>
      </c>
      <c r="L1396" s="71" t="s">
        <v>28</v>
      </c>
      <c r="M1396" s="71">
        <v>3906</v>
      </c>
      <c r="N1396" s="323">
        <v>0.375</v>
      </c>
      <c r="O1396" s="2"/>
      <c r="P1396" s="2"/>
      <c r="Q1396" s="2"/>
      <c r="R1396" s="2"/>
    </row>
    <row r="1397" spans="1:18" ht="19.5" hidden="1" thickBot="1" x14ac:dyDescent="0.3">
      <c r="A1397" s="990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2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  <c r="Q1397" s="2"/>
      <c r="R1397" s="2"/>
    </row>
    <row r="1398" spans="1:18" ht="19.5" hidden="1" thickBot="1" x14ac:dyDescent="0.3">
      <c r="A1398" s="990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2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  <c r="Q1398" s="2"/>
      <c r="R1398" s="2"/>
    </row>
    <row r="1399" spans="1:18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2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  <c r="Q1399" s="2"/>
      <c r="R1399" s="2"/>
    </row>
    <row r="1400" spans="1:18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2"/>
        <v>02,24</v>
      </c>
      <c r="L1400" s="40" t="s">
        <v>266</v>
      </c>
      <c r="M1400" s="40">
        <v>16029</v>
      </c>
      <c r="N1400" s="317">
        <v>0.5</v>
      </c>
      <c r="O1400" s="2"/>
      <c r="P1400" s="2"/>
      <c r="Q1400" s="2"/>
      <c r="R1400" s="2"/>
    </row>
    <row r="1401" spans="1:18" ht="17.25" hidden="1" customHeight="1" thickBot="1" x14ac:dyDescent="0.3">
      <c r="A1401" s="991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993" t="s">
        <v>358</v>
      </c>
      <c r="H1401" s="48" t="s">
        <v>354</v>
      </c>
      <c r="I1401" s="163" t="s">
        <v>355</v>
      </c>
      <c r="J1401" s="52"/>
      <c r="K1401" s="48" t="str">
        <f t="shared" si="22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  <c r="Q1401" s="2"/>
      <c r="R1401" s="2"/>
    </row>
    <row r="1402" spans="1:18" ht="19.5" hidden="1" thickBot="1" x14ac:dyDescent="0.3">
      <c r="A1402" s="991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993"/>
      <c r="H1402" s="23" t="s">
        <v>354</v>
      </c>
      <c r="I1402" s="180" t="s">
        <v>355</v>
      </c>
      <c r="J1402" s="27"/>
      <c r="K1402" s="23" t="str">
        <f t="shared" si="22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  <c r="Q1402" s="2"/>
      <c r="R1402" s="2"/>
    </row>
    <row r="1403" spans="1:18" ht="19.5" hidden="1" thickBot="1" x14ac:dyDescent="0.3">
      <c r="A1403" s="991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993"/>
      <c r="H1403" s="23" t="s">
        <v>354</v>
      </c>
      <c r="I1403" s="180" t="s">
        <v>355</v>
      </c>
      <c r="J1403" s="27"/>
      <c r="K1403" s="23" t="str">
        <f t="shared" si="22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  <c r="Q1403" s="2"/>
      <c r="R1403" s="2"/>
    </row>
    <row r="1404" spans="1:18" ht="19.5" hidden="1" thickBot="1" x14ac:dyDescent="0.3">
      <c r="A1404" s="991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993"/>
      <c r="H1404" s="71" t="s">
        <v>354</v>
      </c>
      <c r="I1404" s="167" t="s">
        <v>355</v>
      </c>
      <c r="J1404" s="168"/>
      <c r="K1404" s="71" t="str">
        <f t="shared" si="22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  <c r="Q1404" s="2"/>
      <c r="R1404" s="2"/>
    </row>
    <row r="1405" spans="1:18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2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  <c r="Q1405" s="2"/>
      <c r="R1405" s="2"/>
    </row>
    <row r="1406" spans="1:18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2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  <c r="Q1406" s="2"/>
      <c r="R1406" s="2"/>
    </row>
    <row r="1407" spans="1:18" ht="19.5" hidden="1" thickBot="1" x14ac:dyDescent="0.3">
      <c r="A1407" s="990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2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  <c r="Q1407" s="2"/>
      <c r="R1407" s="2"/>
    </row>
    <row r="1408" spans="1:18" ht="19.5" hidden="1" thickBot="1" x14ac:dyDescent="0.3">
      <c r="A1408" s="990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2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  <c r="Q1408" s="2"/>
      <c r="R1408" s="2"/>
    </row>
    <row r="1409" spans="1:18" ht="19.5" hidden="1" thickBot="1" x14ac:dyDescent="0.3">
      <c r="A1409" s="991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2"/>
        <v>02,24</v>
      </c>
      <c r="L1409" s="48" t="s">
        <v>28</v>
      </c>
      <c r="M1409" s="48">
        <v>2576</v>
      </c>
      <c r="N1409" s="315">
        <v>0.375</v>
      </c>
      <c r="O1409" s="2"/>
      <c r="P1409" s="2"/>
      <c r="Q1409" s="2"/>
      <c r="R1409" s="2"/>
    </row>
    <row r="1410" spans="1:18" ht="19.5" hidden="1" thickBot="1" x14ac:dyDescent="0.3">
      <c r="A1410" s="991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2"/>
        <v>02,24</v>
      </c>
      <c r="L1410" s="71" t="s">
        <v>28</v>
      </c>
      <c r="M1410" s="71">
        <v>15089</v>
      </c>
      <c r="N1410" s="323">
        <v>0.375</v>
      </c>
      <c r="O1410" s="2"/>
      <c r="P1410" s="2"/>
      <c r="Q1410" s="2"/>
      <c r="R1410" s="2"/>
    </row>
    <row r="1411" spans="1:18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3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  <c r="Q1411" s="2"/>
      <c r="R1411" s="2"/>
    </row>
    <row r="1412" spans="1:18" ht="19.5" hidden="1" thickBot="1" x14ac:dyDescent="0.3">
      <c r="A1412" s="991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3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  <c r="Q1412" s="2"/>
      <c r="R1412" s="2"/>
    </row>
    <row r="1413" spans="1:18" ht="19.5" hidden="1" thickBot="1" x14ac:dyDescent="0.3">
      <c r="A1413" s="991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3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  <c r="Q1413" s="2"/>
      <c r="R1413" s="2"/>
    </row>
    <row r="1414" spans="1:18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3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  <c r="Q1414" s="2"/>
      <c r="R1414" s="2"/>
    </row>
    <row r="1415" spans="1:18" ht="19.5" hidden="1" thickBot="1" x14ac:dyDescent="0.3">
      <c r="A1415" s="991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3"/>
        <v>02,24</v>
      </c>
      <c r="L1415" s="48" t="s">
        <v>28</v>
      </c>
      <c r="M1415" s="48">
        <v>12026</v>
      </c>
      <c r="N1415" s="315">
        <v>0.5</v>
      </c>
      <c r="O1415" s="2"/>
      <c r="P1415" s="2"/>
      <c r="Q1415" s="2"/>
      <c r="R1415" s="2"/>
    </row>
    <row r="1416" spans="1:18" ht="19.5" hidden="1" thickBot="1" x14ac:dyDescent="0.3">
      <c r="A1416" s="991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3"/>
        <v>02,24</v>
      </c>
      <c r="L1416" s="71" t="s">
        <v>28</v>
      </c>
      <c r="M1416" s="71">
        <v>5265</v>
      </c>
      <c r="N1416" s="323">
        <v>0.5</v>
      </c>
      <c r="O1416" s="2"/>
      <c r="P1416" s="2"/>
      <c r="Q1416" s="2"/>
      <c r="R1416" s="2"/>
    </row>
    <row r="1417" spans="1:18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3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  <c r="Q1417" s="2"/>
      <c r="R1417" s="2"/>
    </row>
    <row r="1418" spans="1:18" ht="19.5" hidden="1" customHeight="1" thickBot="1" x14ac:dyDescent="0.3">
      <c r="A1418" s="991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993" t="s">
        <v>72</v>
      </c>
      <c r="H1418" s="48" t="s">
        <v>356</v>
      </c>
      <c r="I1418" s="163" t="s">
        <v>356</v>
      </c>
      <c r="J1418" s="52"/>
      <c r="K1418" s="48" t="str">
        <f t="shared" si="23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  <c r="Q1418" s="2"/>
      <c r="R1418" s="2"/>
    </row>
    <row r="1419" spans="1:18" ht="19.5" hidden="1" thickBot="1" x14ac:dyDescent="0.3">
      <c r="A1419" s="991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993"/>
      <c r="H1419" s="71" t="s">
        <v>356</v>
      </c>
      <c r="I1419" s="167" t="s">
        <v>356</v>
      </c>
      <c r="J1419" s="168"/>
      <c r="K1419" s="71" t="str">
        <f t="shared" si="23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  <c r="Q1419" s="2"/>
      <c r="R1419" s="2"/>
    </row>
    <row r="1420" spans="1:18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3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  <c r="Q1420" s="2"/>
      <c r="R1420" s="2"/>
    </row>
    <row r="1421" spans="1:18" ht="19.5" hidden="1" thickBot="1" x14ac:dyDescent="0.3">
      <c r="A1421" s="991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3"/>
        <v>02,24</v>
      </c>
      <c r="L1421" s="48" t="s">
        <v>265</v>
      </c>
      <c r="M1421" s="48">
        <v>3525</v>
      </c>
      <c r="N1421" s="315">
        <v>0.375</v>
      </c>
      <c r="O1421" s="2"/>
      <c r="P1421" s="2"/>
      <c r="Q1421" s="2"/>
      <c r="R1421" s="2"/>
    </row>
    <row r="1422" spans="1:18" ht="19.5" hidden="1" thickBot="1" x14ac:dyDescent="0.3">
      <c r="A1422" s="991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3"/>
        <v>02,24</v>
      </c>
      <c r="L1422" s="71" t="s">
        <v>265</v>
      </c>
      <c r="M1422" s="71">
        <v>13607</v>
      </c>
      <c r="N1422" s="323">
        <v>0.375</v>
      </c>
      <c r="O1422" s="2"/>
      <c r="P1422" s="2"/>
      <c r="Q1422" s="2"/>
      <c r="R1422" s="2"/>
    </row>
    <row r="1423" spans="1:18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3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  <c r="Q1423" s="2"/>
      <c r="R1423" s="2"/>
    </row>
    <row r="1424" spans="1:18" ht="19.5" hidden="1" thickBot="1" x14ac:dyDescent="0.3">
      <c r="A1424" s="991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3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  <c r="Q1424" s="2"/>
      <c r="R1424" s="2"/>
    </row>
    <row r="1425" spans="1:18" ht="19.5" hidden="1" thickBot="1" x14ac:dyDescent="0.3">
      <c r="A1425" s="991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3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  <c r="Q1425" s="2"/>
      <c r="R1425" s="2"/>
    </row>
    <row r="1426" spans="1:18" ht="19.5" hidden="1" thickBot="1" x14ac:dyDescent="0.3">
      <c r="A1426" s="990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3"/>
        <v>02,24</v>
      </c>
      <c r="L1426" s="82" t="s">
        <v>28</v>
      </c>
      <c r="M1426" s="82">
        <v>7989</v>
      </c>
      <c r="N1426" s="319">
        <v>0.5</v>
      </c>
      <c r="O1426" s="2"/>
      <c r="P1426" s="2"/>
      <c r="Q1426" s="2"/>
      <c r="R1426" s="2"/>
    </row>
    <row r="1427" spans="1:18" ht="19.5" hidden="1" thickBot="1" x14ac:dyDescent="0.3">
      <c r="A1427" s="990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3"/>
        <v>02,24</v>
      </c>
      <c r="L1427" s="90" t="s">
        <v>28</v>
      </c>
      <c r="M1427" s="90">
        <v>9214</v>
      </c>
      <c r="N1427" s="325">
        <v>0.5</v>
      </c>
      <c r="O1427" s="2"/>
      <c r="P1427" s="2"/>
      <c r="Q1427" s="2"/>
      <c r="R1427" s="2"/>
    </row>
    <row r="1428" spans="1:18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3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  <c r="Q1428" s="2"/>
      <c r="R1428" s="2"/>
    </row>
    <row r="1429" spans="1:18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3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  <c r="Q1429" s="2"/>
      <c r="R1429" s="2"/>
    </row>
    <row r="1430" spans="1:18" ht="19.5" hidden="1" thickBot="1" x14ac:dyDescent="0.3">
      <c r="A1430" s="991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3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  <c r="Q1430" s="2"/>
      <c r="R1430" s="2"/>
    </row>
    <row r="1431" spans="1:18" ht="19.5" hidden="1" thickBot="1" x14ac:dyDescent="0.3">
      <c r="A1431" s="991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3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  <c r="Q1431" s="2"/>
      <c r="R1431" s="2"/>
    </row>
    <row r="1432" spans="1:18" ht="19.5" hidden="1" thickBot="1" x14ac:dyDescent="0.3">
      <c r="A1432" s="991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3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  <c r="Q1432" s="2"/>
      <c r="R1432" s="2"/>
    </row>
    <row r="1433" spans="1:18" ht="75.75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3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  <c r="Q1433" s="2"/>
      <c r="R1433" s="2"/>
    </row>
    <row r="1434" spans="1:18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3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  <c r="Q1434" s="2"/>
      <c r="R1434" s="2"/>
    </row>
    <row r="1435" spans="1:18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3"/>
        <v>02,24</v>
      </c>
      <c r="L1435" s="40" t="s">
        <v>266</v>
      </c>
      <c r="M1435" s="40">
        <v>17910.93</v>
      </c>
      <c r="N1435" s="317">
        <v>0.5</v>
      </c>
      <c r="O1435" s="2"/>
      <c r="P1435" s="2"/>
      <c r="Q1435" s="2"/>
      <c r="R1435" s="2"/>
    </row>
    <row r="1436" spans="1:18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3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  <c r="Q1436" s="2"/>
      <c r="R1436" s="2"/>
    </row>
    <row r="1437" spans="1:18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3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  <c r="Q1437" s="2"/>
      <c r="R1437" s="2"/>
    </row>
    <row r="1438" spans="1:18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3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  <c r="Q1438" s="2"/>
      <c r="R1438" s="2"/>
    </row>
    <row r="1439" spans="1:18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3"/>
        <v>02,24</v>
      </c>
      <c r="L1439" s="40" t="s">
        <v>266</v>
      </c>
      <c r="M1439" s="40">
        <v>17913</v>
      </c>
      <c r="N1439" s="317">
        <v>0.5</v>
      </c>
      <c r="O1439" s="2"/>
      <c r="P1439" s="2"/>
      <c r="Q1439" s="2"/>
      <c r="R1439" s="2"/>
    </row>
    <row r="1440" spans="1:18" ht="19.5" hidden="1" thickBot="1" x14ac:dyDescent="0.3">
      <c r="A1440" s="991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3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  <c r="Q1440" s="2"/>
      <c r="R1440" s="2"/>
    </row>
    <row r="1441" spans="1:18" ht="19.5" hidden="1" thickBot="1" x14ac:dyDescent="0.3">
      <c r="A1441" s="991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3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  <c r="Q1441" s="2"/>
      <c r="R1441" s="2"/>
    </row>
    <row r="1442" spans="1:18" ht="19.5" hidden="1" thickBot="1" x14ac:dyDescent="0.3">
      <c r="A1442" s="990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3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  <c r="Q1442" s="2"/>
      <c r="R1442" s="2"/>
    </row>
    <row r="1443" spans="1:18" ht="19.5" hidden="1" thickBot="1" x14ac:dyDescent="0.3">
      <c r="A1443" s="990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3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  <c r="Q1443" s="2"/>
      <c r="R1443" s="2"/>
    </row>
    <row r="1444" spans="1:18" ht="19.5" hidden="1" thickBot="1" x14ac:dyDescent="0.3">
      <c r="A1444" s="990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3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  <c r="Q1444" s="2"/>
      <c r="R1444" s="2"/>
    </row>
    <row r="1445" spans="1:18" ht="19.5" hidden="1" thickBot="1" x14ac:dyDescent="0.3">
      <c r="A1445" s="990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3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  <c r="Q1445" s="2"/>
      <c r="R1445" s="2"/>
    </row>
    <row r="1446" spans="1:18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3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  <c r="Q1446" s="2"/>
      <c r="R1446" s="2"/>
    </row>
    <row r="1447" spans="1:18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3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  <c r="Q1447" s="2"/>
      <c r="R1447" s="2"/>
    </row>
    <row r="1448" spans="1:18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3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  <c r="Q1448" s="2"/>
      <c r="R1448" s="2"/>
    </row>
    <row r="1449" spans="1:18" ht="19.5" hidden="1" thickBot="1" x14ac:dyDescent="0.3">
      <c r="A1449" s="990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3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  <c r="Q1449" s="2"/>
      <c r="R1449" s="2"/>
    </row>
    <row r="1450" spans="1:18" ht="19.5" hidden="1" thickBot="1" x14ac:dyDescent="0.3">
      <c r="A1450" s="990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3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  <c r="Q1450" s="2"/>
      <c r="R1450" s="2"/>
    </row>
    <row r="1451" spans="1:18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3"/>
        <v>02,24</v>
      </c>
      <c r="L1451" s="75" t="s">
        <v>28</v>
      </c>
      <c r="M1451" s="75">
        <v>17015.82</v>
      </c>
      <c r="N1451" s="322">
        <v>0.375</v>
      </c>
      <c r="O1451" s="2"/>
      <c r="P1451" s="2"/>
      <c r="Q1451" s="2"/>
      <c r="R1451" s="2"/>
    </row>
    <row r="1452" spans="1:18" ht="19.5" hidden="1" thickBot="1" x14ac:dyDescent="0.3">
      <c r="A1452" s="990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3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  <c r="Q1452" s="2"/>
      <c r="R1452" s="2"/>
    </row>
    <row r="1453" spans="1:18" ht="19.5" hidden="1" thickBot="1" x14ac:dyDescent="0.3">
      <c r="A1453" s="990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3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  <c r="Q1453" s="2"/>
      <c r="R1453" s="2"/>
    </row>
    <row r="1454" spans="1:18" ht="19.5" hidden="1" thickBot="1" x14ac:dyDescent="0.3">
      <c r="A1454" s="991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3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  <c r="Q1454" s="2"/>
      <c r="R1454" s="2"/>
    </row>
    <row r="1455" spans="1:18" ht="19.5" hidden="1" thickBot="1" x14ac:dyDescent="0.3">
      <c r="A1455" s="991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3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  <c r="Q1455" s="2"/>
      <c r="R1455" s="2"/>
    </row>
    <row r="1456" spans="1:18" ht="19.5" hidden="1" thickBot="1" x14ac:dyDescent="0.3">
      <c r="A1456" s="990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3"/>
        <v>02,24</v>
      </c>
      <c r="L1456" s="82" t="s">
        <v>28</v>
      </c>
      <c r="M1456" s="82">
        <v>6133.4</v>
      </c>
      <c r="N1456" s="319">
        <v>0.5</v>
      </c>
      <c r="O1456" s="2"/>
      <c r="P1456" s="2"/>
      <c r="Q1456" s="2"/>
      <c r="R1456" s="2"/>
    </row>
    <row r="1457" spans="1:18" ht="19.5" hidden="1" thickBot="1" x14ac:dyDescent="0.3">
      <c r="A1457" s="990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3"/>
        <v>02,24</v>
      </c>
      <c r="L1457" s="98" t="s">
        <v>28</v>
      </c>
      <c r="M1457" s="98">
        <v>2272.46</v>
      </c>
      <c r="N1457" s="364">
        <v>0.5</v>
      </c>
      <c r="O1457" s="2"/>
      <c r="P1457" s="2"/>
      <c r="Q1457" s="2"/>
      <c r="R1457" s="2"/>
    </row>
    <row r="1458" spans="1:18" ht="19.5" hidden="1" thickBot="1" x14ac:dyDescent="0.3">
      <c r="A1458" s="990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3"/>
        <v>02,24</v>
      </c>
      <c r="L1458" s="90" t="s">
        <v>28</v>
      </c>
      <c r="M1458" s="90">
        <v>9080.82</v>
      </c>
      <c r="N1458" s="325">
        <v>0.5</v>
      </c>
      <c r="O1458" s="2"/>
      <c r="P1458" s="2"/>
      <c r="Q1458" s="2"/>
      <c r="R1458" s="2"/>
    </row>
    <row r="1459" spans="1:18" ht="18.75" hidden="1" customHeight="1" thickBot="1" x14ac:dyDescent="0.3">
      <c r="A1459" s="991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993" t="s">
        <v>72</v>
      </c>
      <c r="H1459" s="48" t="s">
        <v>368</v>
      </c>
      <c r="I1459" s="163" t="s">
        <v>368</v>
      </c>
      <c r="J1459" s="52"/>
      <c r="K1459" s="48" t="str">
        <f t="shared" si="23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  <c r="Q1459" s="2"/>
      <c r="R1459" s="2"/>
    </row>
    <row r="1460" spans="1:18" ht="19.5" hidden="1" thickBot="1" x14ac:dyDescent="0.3">
      <c r="A1460" s="991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993"/>
      <c r="H1460" s="71" t="s">
        <v>368</v>
      </c>
      <c r="I1460" s="167" t="s">
        <v>368</v>
      </c>
      <c r="J1460" s="168"/>
      <c r="K1460" s="71" t="str">
        <f t="shared" si="23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  <c r="Q1460" s="2"/>
      <c r="R1460" s="2"/>
    </row>
    <row r="1461" spans="1:18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3"/>
        <v>02,24</v>
      </c>
      <c r="L1461" s="40" t="s">
        <v>266</v>
      </c>
      <c r="M1461" s="40">
        <v>17974.55</v>
      </c>
      <c r="N1461" s="317">
        <v>0.5</v>
      </c>
      <c r="O1461" s="2"/>
      <c r="P1461" s="2"/>
      <c r="Q1461" s="2"/>
      <c r="R1461" s="2"/>
    </row>
    <row r="1462" spans="1:18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3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  <c r="Q1462" s="2"/>
      <c r="R1462" s="2"/>
    </row>
    <row r="1463" spans="1:18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3"/>
        <v>02,24</v>
      </c>
      <c r="L1463" s="40" t="s">
        <v>266</v>
      </c>
      <c r="M1463" s="40">
        <v>17941.11</v>
      </c>
      <c r="N1463" s="317">
        <v>0.375</v>
      </c>
      <c r="O1463" s="2"/>
      <c r="P1463" s="2"/>
      <c r="Q1463" s="2"/>
      <c r="R1463" s="2"/>
    </row>
    <row r="1464" spans="1:18" ht="19.5" hidden="1" thickBot="1" x14ac:dyDescent="0.3">
      <c r="A1464" s="991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3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  <c r="Q1464" s="2"/>
      <c r="R1464" s="2"/>
    </row>
    <row r="1465" spans="1:18" ht="19.5" hidden="1" thickBot="1" x14ac:dyDescent="0.3">
      <c r="A1465" s="991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3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  <c r="Q1465" s="2"/>
      <c r="R1465" s="2"/>
    </row>
    <row r="1466" spans="1:18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3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  <c r="Q1466" s="2"/>
      <c r="R1466" s="2"/>
    </row>
    <row r="1467" spans="1:18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3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  <c r="Q1467" s="2"/>
      <c r="R1467" s="2"/>
    </row>
    <row r="1468" spans="1:18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3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  <c r="Q1468" s="2"/>
      <c r="R1468" s="2"/>
    </row>
    <row r="1469" spans="1:18" ht="19.5" hidden="1" thickBot="1" x14ac:dyDescent="0.3">
      <c r="A1469" s="991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3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  <c r="Q1469" s="2"/>
      <c r="R1469" s="2"/>
    </row>
    <row r="1470" spans="1:18" ht="19.5" hidden="1" thickBot="1" x14ac:dyDescent="0.3">
      <c r="A1470" s="991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3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  <c r="Q1470" s="2"/>
      <c r="R1470" s="2"/>
    </row>
    <row r="1471" spans="1:18" ht="19.5" hidden="1" thickBot="1" x14ac:dyDescent="0.3">
      <c r="A1471" s="990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3"/>
        <v>02,24</v>
      </c>
      <c r="L1471" s="82" t="s">
        <v>28</v>
      </c>
      <c r="M1471" s="82">
        <v>3575.14</v>
      </c>
      <c r="N1471" s="319">
        <v>0.375</v>
      </c>
      <c r="O1471" s="2"/>
      <c r="P1471" s="2"/>
      <c r="Q1471" s="2"/>
      <c r="R1471" s="2"/>
    </row>
    <row r="1472" spans="1:18" ht="19.5" hidden="1" thickBot="1" x14ac:dyDescent="0.3">
      <c r="A1472" s="990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3"/>
        <v>02,24</v>
      </c>
      <c r="L1472" s="90" t="s">
        <v>28</v>
      </c>
      <c r="M1472" s="90">
        <v>9696.66</v>
      </c>
      <c r="N1472" s="325">
        <v>0.375</v>
      </c>
      <c r="O1472" s="2"/>
      <c r="P1472" s="2"/>
      <c r="Q1472" s="2"/>
      <c r="R1472" s="2"/>
    </row>
    <row r="1473" spans="1:18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3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  <c r="Q1473" s="2"/>
      <c r="R1473" s="2"/>
    </row>
    <row r="1474" spans="1:18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3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  <c r="Q1474" s="2"/>
      <c r="R1474" s="2"/>
    </row>
    <row r="1475" spans="1:18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4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  <c r="Q1475" s="2"/>
      <c r="R1475" s="2"/>
    </row>
    <row r="1476" spans="1:18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4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  <c r="Q1476" s="2"/>
      <c r="R1476" s="2"/>
    </row>
    <row r="1477" spans="1:18" ht="19.5" hidden="1" thickBot="1" x14ac:dyDescent="0.3">
      <c r="A1477" s="991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4"/>
        <v>02,24</v>
      </c>
      <c r="L1477" s="48" t="s">
        <v>266</v>
      </c>
      <c r="M1477" s="48">
        <v>546</v>
      </c>
      <c r="N1477" s="315">
        <v>0.5</v>
      </c>
      <c r="O1477" s="2"/>
      <c r="P1477" s="2"/>
      <c r="Q1477" s="2"/>
      <c r="R1477" s="2"/>
    </row>
    <row r="1478" spans="1:18" ht="19.5" hidden="1" thickBot="1" x14ac:dyDescent="0.3">
      <c r="A1478" s="991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4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  <c r="Q1478" s="2"/>
      <c r="R1478" s="2"/>
    </row>
    <row r="1479" spans="1:18" ht="19.5" hidden="1" thickBot="1" x14ac:dyDescent="0.3">
      <c r="A1479" s="991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4"/>
        <v>02,24</v>
      </c>
      <c r="L1479" s="23" t="s">
        <v>266</v>
      </c>
      <c r="M1479" s="23">
        <v>2767.4</v>
      </c>
      <c r="N1479" s="329">
        <v>0.5</v>
      </c>
      <c r="O1479" s="2"/>
      <c r="P1479" s="2"/>
      <c r="Q1479" s="2"/>
      <c r="R1479" s="2"/>
    </row>
    <row r="1480" spans="1:18" ht="19.5" hidden="1" thickBot="1" x14ac:dyDescent="0.3">
      <c r="A1480" s="991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4"/>
        <v>02,24</v>
      </c>
      <c r="L1480" s="23" t="s">
        <v>266</v>
      </c>
      <c r="M1480" s="23">
        <v>6661.92</v>
      </c>
      <c r="N1480" s="329">
        <v>0.5</v>
      </c>
      <c r="O1480" s="2"/>
      <c r="P1480" s="2"/>
      <c r="Q1480" s="2"/>
      <c r="R1480" s="2"/>
    </row>
    <row r="1481" spans="1:18" ht="19.5" hidden="1" thickBot="1" x14ac:dyDescent="0.3">
      <c r="A1481" s="991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4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  <c r="Q1481" s="2"/>
      <c r="R1481" s="2"/>
    </row>
    <row r="1482" spans="1:18" ht="19.5" hidden="1" thickBot="1" x14ac:dyDescent="0.3">
      <c r="A1482" s="991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4"/>
        <v>02,24</v>
      </c>
      <c r="L1482" s="71" t="s">
        <v>266</v>
      </c>
      <c r="M1482" s="71">
        <v>2704.8</v>
      </c>
      <c r="N1482" s="323">
        <v>0.5</v>
      </c>
      <c r="O1482" s="2"/>
      <c r="P1482" s="2"/>
      <c r="Q1482" s="2"/>
      <c r="R1482" s="2"/>
    </row>
    <row r="1483" spans="1:18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4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  <c r="Q1483" s="2"/>
      <c r="R1483" s="2"/>
    </row>
    <row r="1484" spans="1:18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4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  <c r="Q1484" s="2"/>
      <c r="R1484" s="2"/>
    </row>
    <row r="1485" spans="1:18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4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  <c r="Q1485" s="2"/>
      <c r="R1485" s="2"/>
    </row>
    <row r="1486" spans="1:18" ht="19.5" hidden="1" thickBot="1" x14ac:dyDescent="0.3">
      <c r="A1486" s="991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4"/>
        <v>03,24</v>
      </c>
      <c r="L1486" s="48" t="s">
        <v>28</v>
      </c>
      <c r="M1486" s="48">
        <v>2188.64</v>
      </c>
      <c r="N1486" s="315">
        <v>0.375</v>
      </c>
      <c r="O1486" s="2"/>
      <c r="P1486" s="2"/>
      <c r="Q1486" s="2"/>
      <c r="R1486" s="2"/>
    </row>
    <row r="1487" spans="1:18" ht="19.5" hidden="1" thickBot="1" x14ac:dyDescent="0.3">
      <c r="A1487" s="991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4"/>
        <v>03,24</v>
      </c>
      <c r="L1487" s="23" t="s">
        <v>28</v>
      </c>
      <c r="M1487" s="23">
        <v>12270.82</v>
      </c>
      <c r="N1487" s="329">
        <v>0.375</v>
      </c>
      <c r="O1487" s="2"/>
      <c r="P1487" s="2"/>
      <c r="Q1487" s="2"/>
      <c r="R1487" s="2"/>
    </row>
    <row r="1488" spans="1:18" ht="19.5" hidden="1" thickBot="1" x14ac:dyDescent="0.3">
      <c r="A1488" s="991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4"/>
        <v>03,24</v>
      </c>
      <c r="L1488" s="71" t="s">
        <v>28</v>
      </c>
      <c r="M1488" s="71">
        <v>3044.82</v>
      </c>
      <c r="N1488" s="323">
        <v>0.375</v>
      </c>
      <c r="O1488" s="2"/>
      <c r="P1488" s="2"/>
      <c r="Q1488" s="2"/>
      <c r="R1488" s="2"/>
    </row>
    <row r="1489" spans="1:18" ht="19.5" hidden="1" thickBot="1" x14ac:dyDescent="0.3">
      <c r="A1489" s="990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4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  <c r="Q1489" s="2"/>
      <c r="R1489" s="2"/>
    </row>
    <row r="1490" spans="1:18" ht="19.5" hidden="1" thickBot="1" x14ac:dyDescent="0.3">
      <c r="A1490" s="990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4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  <c r="Q1490" s="2"/>
      <c r="R1490" s="2"/>
    </row>
    <row r="1491" spans="1:18" ht="19.5" hidden="1" thickBot="1" x14ac:dyDescent="0.3">
      <c r="A1491" s="991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4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  <c r="Q1491" s="2"/>
      <c r="R1491" s="2"/>
    </row>
    <row r="1492" spans="1:18" ht="19.5" hidden="1" thickBot="1" x14ac:dyDescent="0.3">
      <c r="A1492" s="991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4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  <c r="Q1492" s="2"/>
      <c r="R1492" s="2"/>
    </row>
    <row r="1493" spans="1:18" ht="18.75" hidden="1" customHeight="1" thickBot="1" x14ac:dyDescent="0.3">
      <c r="A1493" s="990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992" t="s">
        <v>72</v>
      </c>
      <c r="H1493" s="82" t="s">
        <v>375</v>
      </c>
      <c r="I1493" s="147" t="s">
        <v>375</v>
      </c>
      <c r="J1493" s="86"/>
      <c r="K1493" s="82" t="str">
        <f t="shared" si="24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  <c r="Q1493" s="2"/>
      <c r="R1493" s="2"/>
    </row>
    <row r="1494" spans="1:18" ht="19.5" hidden="1" thickBot="1" x14ac:dyDescent="0.3">
      <c r="A1494" s="990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992"/>
      <c r="H1494" s="90" t="s">
        <v>375</v>
      </c>
      <c r="I1494" s="172" t="s">
        <v>375</v>
      </c>
      <c r="J1494" s="173"/>
      <c r="K1494" s="90" t="str">
        <f t="shared" si="24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  <c r="Q1494" s="2"/>
      <c r="R1494" s="2"/>
    </row>
    <row r="1495" spans="1:18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4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  <c r="Q1495" s="2"/>
      <c r="R1495" s="2"/>
    </row>
    <row r="1496" spans="1:18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4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  <c r="Q1496" s="2"/>
      <c r="R1496" s="2"/>
    </row>
    <row r="1497" spans="1:18" ht="19.5" hidden="1" thickBot="1" x14ac:dyDescent="0.3">
      <c r="A1497" s="991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4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  <c r="Q1497" s="2"/>
      <c r="R1497" s="2"/>
    </row>
    <row r="1498" spans="1:18" ht="19.5" hidden="1" thickBot="1" x14ac:dyDescent="0.3">
      <c r="A1498" s="991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4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  <c r="Q1498" s="2"/>
      <c r="R1498" s="2"/>
    </row>
    <row r="1499" spans="1:18" ht="19.5" hidden="1" thickBot="1" x14ac:dyDescent="0.3">
      <c r="A1499" s="990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4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  <c r="Q1499" s="2"/>
      <c r="R1499" s="2"/>
    </row>
    <row r="1500" spans="1:18" ht="19.5" hidden="1" thickBot="1" x14ac:dyDescent="0.3">
      <c r="A1500" s="990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4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  <c r="Q1500" s="2"/>
      <c r="R1500" s="2"/>
    </row>
    <row r="1501" spans="1:18" ht="19.5" hidden="1" thickBot="1" x14ac:dyDescent="0.3">
      <c r="A1501" s="990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4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  <c r="Q1501" s="2"/>
      <c r="R1501" s="2"/>
    </row>
    <row r="1502" spans="1:18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4"/>
        <v>03,24</v>
      </c>
      <c r="L1502" s="75" t="s">
        <v>265</v>
      </c>
      <c r="M1502" s="75">
        <v>10025.94</v>
      </c>
      <c r="N1502" s="322">
        <v>0.375</v>
      </c>
      <c r="O1502" s="2"/>
      <c r="P1502" s="2"/>
      <c r="Q1502" s="2"/>
      <c r="R1502" s="2"/>
    </row>
    <row r="1503" spans="1:18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4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  <c r="Q1503" s="2"/>
      <c r="R1503" s="2"/>
    </row>
    <row r="1504" spans="1:18" ht="19.5" hidden="1" thickBot="1" x14ac:dyDescent="0.3">
      <c r="A1504" s="991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4"/>
        <v>03,24</v>
      </c>
      <c r="L1504" s="48" t="s">
        <v>28</v>
      </c>
      <c r="M1504" s="48">
        <v>6631.72</v>
      </c>
      <c r="N1504" s="315">
        <v>0.375</v>
      </c>
      <c r="O1504" s="2"/>
      <c r="P1504" s="2"/>
      <c r="Q1504" s="2"/>
      <c r="R1504" s="2"/>
    </row>
    <row r="1505" spans="1:18" ht="19.5" hidden="1" thickBot="1" x14ac:dyDescent="0.3">
      <c r="A1505" s="991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4"/>
        <v>03,24</v>
      </c>
      <c r="L1505" s="23" t="s">
        <v>28</v>
      </c>
      <c r="M1505" s="23">
        <v>3994.44</v>
      </c>
      <c r="N1505" s="329">
        <v>0.375</v>
      </c>
      <c r="O1505" s="2"/>
      <c r="P1505" s="2"/>
      <c r="Q1505" s="2"/>
      <c r="R1505" s="2"/>
    </row>
    <row r="1506" spans="1:18" ht="19.5" hidden="1" thickBot="1" x14ac:dyDescent="0.3">
      <c r="A1506" s="991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4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  <c r="Q1506" s="2"/>
      <c r="R1506" s="2"/>
    </row>
    <row r="1507" spans="1:18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4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  <c r="Q1507" s="2"/>
      <c r="R1507" s="2"/>
    </row>
    <row r="1508" spans="1:18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4"/>
        <v>03,24</v>
      </c>
      <c r="L1508" s="75" t="s">
        <v>266</v>
      </c>
      <c r="M1508" s="75">
        <v>17899.68</v>
      </c>
      <c r="N1508" s="322">
        <v>0.5</v>
      </c>
      <c r="O1508" s="2"/>
      <c r="P1508" s="2"/>
      <c r="Q1508" s="2"/>
      <c r="R1508" s="2"/>
    </row>
    <row r="1509" spans="1:18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4"/>
        <v>03,24</v>
      </c>
      <c r="L1509" s="40" t="s">
        <v>266</v>
      </c>
      <c r="M1509" s="40">
        <v>18080.64</v>
      </c>
      <c r="N1509" s="317">
        <v>0.375</v>
      </c>
      <c r="O1509" s="2"/>
      <c r="P1509" s="2"/>
      <c r="Q1509" s="2"/>
      <c r="R1509" s="2"/>
    </row>
    <row r="1510" spans="1:18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4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  <c r="Q1510" s="2"/>
      <c r="R1510" s="2"/>
    </row>
    <row r="1511" spans="1:18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4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  <c r="Q1511" s="2"/>
      <c r="R1511" s="2"/>
    </row>
    <row r="1512" spans="1:18" ht="19.5" hidden="1" thickBot="1" x14ac:dyDescent="0.3">
      <c r="A1512" s="991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4"/>
        <v>03,24</v>
      </c>
      <c r="L1512" s="48" t="s">
        <v>266</v>
      </c>
      <c r="M1512" s="48">
        <v>6288.64</v>
      </c>
      <c r="N1512" s="315">
        <v>0.5</v>
      </c>
      <c r="O1512" s="2"/>
      <c r="P1512" s="2"/>
      <c r="Q1512" s="2"/>
      <c r="R1512" s="2"/>
    </row>
    <row r="1513" spans="1:18" ht="19.5" hidden="1" thickBot="1" x14ac:dyDescent="0.3">
      <c r="A1513" s="991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4"/>
        <v>03,24</v>
      </c>
      <c r="L1513" s="23" t="s">
        <v>266</v>
      </c>
      <c r="M1513" s="23">
        <v>2799.56</v>
      </c>
      <c r="N1513" s="329">
        <v>0.5</v>
      </c>
      <c r="O1513" s="2"/>
      <c r="P1513" s="2"/>
      <c r="Q1513" s="2"/>
      <c r="R1513" s="2"/>
    </row>
    <row r="1514" spans="1:18" ht="19.5" hidden="1" thickBot="1" x14ac:dyDescent="0.3">
      <c r="A1514" s="991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4"/>
        <v>03,24</v>
      </c>
      <c r="L1514" s="23" t="s">
        <v>266</v>
      </c>
      <c r="M1514" s="23">
        <v>2734.85</v>
      </c>
      <c r="N1514" s="329">
        <v>0.5</v>
      </c>
      <c r="O1514" s="2"/>
      <c r="P1514" s="2"/>
      <c r="Q1514" s="2"/>
      <c r="R1514" s="2"/>
    </row>
    <row r="1515" spans="1:18" ht="19.5" hidden="1" thickBot="1" x14ac:dyDescent="0.3">
      <c r="A1515" s="991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4"/>
        <v>03,24</v>
      </c>
      <c r="L1515" s="23" t="s">
        <v>266</v>
      </c>
      <c r="M1515" s="23">
        <v>2011.2</v>
      </c>
      <c r="N1515" s="329">
        <v>0.5</v>
      </c>
      <c r="O1515" s="2"/>
      <c r="P1515" s="2"/>
      <c r="Q1515" s="2"/>
      <c r="R1515" s="2"/>
    </row>
    <row r="1516" spans="1:18" ht="19.5" hidden="1" thickBot="1" x14ac:dyDescent="0.3">
      <c r="A1516" s="991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4"/>
        <v>03,24</v>
      </c>
      <c r="L1516" s="71" t="s">
        <v>266</v>
      </c>
      <c r="M1516" s="71">
        <v>4065.07</v>
      </c>
      <c r="N1516" s="323">
        <v>0.5</v>
      </c>
      <c r="O1516" s="2"/>
      <c r="P1516" s="2"/>
      <c r="Q1516" s="2"/>
      <c r="R1516" s="2"/>
    </row>
    <row r="1517" spans="1:18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4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  <c r="Q1517" s="2"/>
      <c r="R1517" s="2"/>
    </row>
    <row r="1518" spans="1:18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4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  <c r="Q1518" s="2"/>
      <c r="R1518" s="2"/>
    </row>
    <row r="1519" spans="1:18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4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  <c r="Q1519" s="2"/>
      <c r="R1519" s="2"/>
    </row>
    <row r="1520" spans="1:18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4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  <c r="Q1520" s="2"/>
      <c r="R1520" s="2"/>
    </row>
    <row r="1521" spans="1:18" ht="19.5" hidden="1" thickBot="1" x14ac:dyDescent="0.3">
      <c r="A1521" s="990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4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  <c r="Q1521" s="2"/>
      <c r="R1521" s="2"/>
    </row>
    <row r="1522" spans="1:18" ht="19.5" hidden="1" thickBot="1" x14ac:dyDescent="0.3">
      <c r="A1522" s="990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4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  <c r="Q1522" s="2"/>
      <c r="R1522" s="2"/>
    </row>
    <row r="1523" spans="1:18" ht="19.5" hidden="1" thickBot="1" x14ac:dyDescent="0.3">
      <c r="A1523" s="991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4"/>
        <v>03,24</v>
      </c>
      <c r="L1523" s="48" t="s">
        <v>28</v>
      </c>
      <c r="M1523" s="48">
        <v>9268.92</v>
      </c>
      <c r="N1523" s="315">
        <v>0.375</v>
      </c>
      <c r="O1523" s="2"/>
      <c r="P1523" s="2"/>
      <c r="Q1523" s="2"/>
      <c r="R1523" s="2"/>
    </row>
    <row r="1524" spans="1:18" ht="19.5" hidden="1" thickBot="1" x14ac:dyDescent="0.3">
      <c r="A1524" s="991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4"/>
        <v>03,24</v>
      </c>
      <c r="L1524" s="71" t="s">
        <v>28</v>
      </c>
      <c r="M1524" s="71">
        <v>8136.7</v>
      </c>
      <c r="N1524" s="323">
        <v>0.375</v>
      </c>
      <c r="O1524" s="2"/>
      <c r="P1524" s="2"/>
      <c r="Q1524" s="2"/>
      <c r="R1524" s="2"/>
    </row>
    <row r="1525" spans="1:18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4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  <c r="Q1525" s="2"/>
      <c r="R1525" s="2"/>
    </row>
    <row r="1526" spans="1:18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4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  <c r="Q1526" s="2"/>
      <c r="R1526" s="2"/>
    </row>
    <row r="1527" spans="1:18" ht="19.5" hidden="1" thickBot="1" x14ac:dyDescent="0.3">
      <c r="A1527" s="990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4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  <c r="Q1527" s="2"/>
      <c r="R1527" s="2"/>
    </row>
    <row r="1528" spans="1:18" ht="19.5" hidden="1" thickBot="1" x14ac:dyDescent="0.3">
      <c r="A1528" s="990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4"/>
        <v>03,24</v>
      </c>
      <c r="L1528" s="98" t="s">
        <v>28</v>
      </c>
      <c r="M1528" s="98">
        <v>6229.8</v>
      </c>
      <c r="N1528" s="364">
        <v>0.5</v>
      </c>
      <c r="O1528" s="2"/>
      <c r="P1528" s="2"/>
      <c r="Q1528" s="2"/>
      <c r="R1528" s="2"/>
    </row>
    <row r="1529" spans="1:18" ht="19.5" hidden="1" thickBot="1" x14ac:dyDescent="0.3">
      <c r="A1529" s="990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4"/>
        <v>03,24</v>
      </c>
      <c r="L1529" s="90" t="s">
        <v>28</v>
      </c>
      <c r="M1529" s="90">
        <v>2115</v>
      </c>
      <c r="N1529" s="325">
        <v>0.5</v>
      </c>
      <c r="O1529" s="2"/>
      <c r="P1529" s="2"/>
      <c r="Q1529" s="2"/>
      <c r="R1529" s="2"/>
    </row>
    <row r="1530" spans="1:18" ht="19.5" hidden="1" customHeight="1" thickBot="1" x14ac:dyDescent="0.3">
      <c r="A1530" s="991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993" t="s">
        <v>72</v>
      </c>
      <c r="H1530" s="48" t="s">
        <v>382</v>
      </c>
      <c r="I1530" s="163" t="s">
        <v>382</v>
      </c>
      <c r="J1530" s="52"/>
      <c r="K1530" s="48" t="str">
        <f t="shared" si="24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  <c r="Q1530" s="2"/>
      <c r="R1530" s="2"/>
    </row>
    <row r="1531" spans="1:18" ht="19.5" hidden="1" thickBot="1" x14ac:dyDescent="0.3">
      <c r="A1531" s="991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993"/>
      <c r="H1531" s="71" t="s">
        <v>382</v>
      </c>
      <c r="I1531" s="167" t="s">
        <v>382</v>
      </c>
      <c r="J1531" s="168"/>
      <c r="K1531" s="71" t="str">
        <f t="shared" si="24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  <c r="Q1531" s="2"/>
      <c r="R1531" s="2"/>
    </row>
    <row r="1532" spans="1:18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4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  <c r="Q1532" s="2"/>
      <c r="R1532" s="2"/>
    </row>
    <row r="1533" spans="1:18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4"/>
        <v>03,24</v>
      </c>
      <c r="L1533" s="75" t="s">
        <v>265</v>
      </c>
      <c r="M1533" s="75">
        <v>17658.11</v>
      </c>
      <c r="N1533" s="322">
        <v>0.375</v>
      </c>
      <c r="O1533" s="2"/>
      <c r="P1533" s="2"/>
      <c r="Q1533" s="2"/>
      <c r="R1533" s="2"/>
    </row>
    <row r="1534" spans="1:18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4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  <c r="Q1534" s="2"/>
      <c r="R1534" s="2"/>
    </row>
    <row r="1535" spans="1:18" ht="19.5" hidden="1" thickBot="1" x14ac:dyDescent="0.3">
      <c r="A1535" s="991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4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  <c r="Q1535" s="2"/>
      <c r="R1535" s="2"/>
    </row>
    <row r="1536" spans="1:18" ht="19.5" hidden="1" thickBot="1" x14ac:dyDescent="0.3">
      <c r="A1536" s="991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4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  <c r="Q1536" s="2"/>
      <c r="R1536" s="2"/>
    </row>
    <row r="1537" spans="1:18" ht="19.5" hidden="1" thickBot="1" x14ac:dyDescent="0.3">
      <c r="A1537" s="991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4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  <c r="Q1537" s="2"/>
      <c r="R1537" s="2"/>
    </row>
    <row r="1538" spans="1:18" ht="19.5" hidden="1" thickBot="1" x14ac:dyDescent="0.3">
      <c r="A1538" s="990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4"/>
        <v>03,24</v>
      </c>
      <c r="L1538" s="82" t="s">
        <v>28</v>
      </c>
      <c r="M1538" s="82">
        <v>7097.33</v>
      </c>
      <c r="N1538" s="319">
        <v>0.5</v>
      </c>
      <c r="O1538" s="2"/>
      <c r="P1538" s="2"/>
      <c r="Q1538" s="2"/>
      <c r="R1538" s="2"/>
    </row>
    <row r="1539" spans="1:18" ht="19.5" hidden="1" thickBot="1" x14ac:dyDescent="0.3">
      <c r="A1539" s="990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5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  <c r="Q1539" s="2"/>
      <c r="R1539" s="2"/>
    </row>
    <row r="1540" spans="1:18" ht="19.5" hidden="1" thickBot="1" x14ac:dyDescent="0.3">
      <c r="A1540" s="990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5"/>
        <v>03,24</v>
      </c>
      <c r="L1540" s="90" t="s">
        <v>28</v>
      </c>
      <c r="M1540" s="90">
        <v>5065.2</v>
      </c>
      <c r="N1540" s="325">
        <v>0.5</v>
      </c>
      <c r="O1540" s="2"/>
      <c r="P1540" s="2"/>
      <c r="Q1540" s="2"/>
      <c r="R1540" s="2"/>
    </row>
    <row r="1541" spans="1:18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5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  <c r="Q1541" s="2"/>
      <c r="R1541" s="2"/>
    </row>
    <row r="1542" spans="1:18" ht="19.5" hidden="1" thickBot="1" x14ac:dyDescent="0.3">
      <c r="A1542" s="990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5"/>
        <v>03,24</v>
      </c>
      <c r="L1542" s="82" t="s">
        <v>266</v>
      </c>
      <c r="M1542" s="82">
        <v>9282.74</v>
      </c>
      <c r="N1542" s="319">
        <v>0.375</v>
      </c>
      <c r="O1542" s="2"/>
      <c r="P1542" s="2"/>
      <c r="Q1542" s="2"/>
      <c r="R1542" s="2"/>
    </row>
    <row r="1543" spans="1:18" ht="19.5" hidden="1" thickBot="1" x14ac:dyDescent="0.3">
      <c r="A1543" s="990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5"/>
        <v>03,24</v>
      </c>
      <c r="L1543" s="90" t="s">
        <v>266</v>
      </c>
      <c r="M1543" s="90">
        <v>4010.48</v>
      </c>
      <c r="N1543" s="325">
        <v>0.375</v>
      </c>
      <c r="O1543" s="2"/>
      <c r="P1543" s="2"/>
      <c r="Q1543" s="2"/>
      <c r="R1543" s="2"/>
    </row>
    <row r="1544" spans="1:18" ht="19.5" hidden="1" thickBot="1" x14ac:dyDescent="0.3">
      <c r="A1544" s="991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5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  <c r="Q1544" s="2"/>
      <c r="R1544" s="2"/>
    </row>
    <row r="1545" spans="1:18" ht="19.5" hidden="1" thickBot="1" x14ac:dyDescent="0.3">
      <c r="A1545" s="991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5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  <c r="Q1545" s="2"/>
      <c r="R1545" s="2"/>
    </row>
    <row r="1546" spans="1:18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5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  <c r="Q1546" s="2"/>
      <c r="R1546" s="2"/>
    </row>
    <row r="1547" spans="1:18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5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  <c r="Q1547" s="2"/>
      <c r="R1547" s="2"/>
    </row>
    <row r="1548" spans="1:18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5"/>
        <v>03,24</v>
      </c>
      <c r="L1548" s="40" t="s">
        <v>266</v>
      </c>
      <c r="M1548" s="40">
        <v>18040.7</v>
      </c>
      <c r="N1548" s="317">
        <v>0.375</v>
      </c>
      <c r="O1548" s="2"/>
      <c r="P1548" s="2"/>
      <c r="Q1548" s="2"/>
      <c r="R1548" s="2"/>
    </row>
    <row r="1549" spans="1:18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5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  <c r="Q1549" s="2"/>
      <c r="R1549" s="2"/>
    </row>
    <row r="1550" spans="1:18" ht="19.5" hidden="1" thickBot="1" x14ac:dyDescent="0.3">
      <c r="A1550" s="990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5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  <c r="Q1550" s="2"/>
      <c r="R1550" s="2"/>
    </row>
    <row r="1551" spans="1:18" ht="19.5" hidden="1" thickBot="1" x14ac:dyDescent="0.3">
      <c r="A1551" s="990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5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  <c r="Q1551" s="2"/>
      <c r="R1551" s="2"/>
    </row>
    <row r="1552" spans="1:18" ht="19.5" hidden="1" thickBot="1" x14ac:dyDescent="0.3">
      <c r="A1552" s="990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5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  <c r="Q1552" s="2"/>
      <c r="R1552" s="2"/>
    </row>
    <row r="1553" spans="1:18" ht="19.5" hidden="1" thickBot="1" x14ac:dyDescent="0.3">
      <c r="A1553" s="990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5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  <c r="Q1553" s="2"/>
      <c r="R1553" s="2"/>
    </row>
    <row r="1554" spans="1:18" ht="19.5" hidden="1" thickBot="1" x14ac:dyDescent="0.3">
      <c r="A1554" s="990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5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  <c r="Q1554" s="2"/>
      <c r="R1554" s="2"/>
    </row>
    <row r="1555" spans="1:18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5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  <c r="Q1555" s="2"/>
      <c r="R1555" s="2"/>
    </row>
    <row r="1556" spans="1:18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5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  <c r="Q1556" s="2"/>
      <c r="R1556" s="2"/>
    </row>
    <row r="1557" spans="1:18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5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  <c r="Q1557" s="2"/>
      <c r="R1557" s="2"/>
    </row>
    <row r="1558" spans="1:18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5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  <c r="Q1558" s="2"/>
      <c r="R1558" s="2"/>
    </row>
    <row r="1559" spans="1:18" ht="19.5" hidden="1" thickBot="1" x14ac:dyDescent="0.3">
      <c r="A1559" s="991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5"/>
        <v>03,24</v>
      </c>
      <c r="L1559" s="48" t="s">
        <v>28</v>
      </c>
      <c r="M1559" s="48">
        <v>7062.74</v>
      </c>
      <c r="N1559" s="315">
        <v>0.375</v>
      </c>
      <c r="O1559" s="2"/>
      <c r="P1559" s="2"/>
      <c r="Q1559" s="2"/>
      <c r="R1559" s="2"/>
    </row>
    <row r="1560" spans="1:18" ht="19.5" hidden="1" thickBot="1" x14ac:dyDescent="0.3">
      <c r="A1560" s="991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5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  <c r="Q1560" s="2"/>
      <c r="R1560" s="2"/>
    </row>
    <row r="1561" spans="1:18" ht="19.5" hidden="1" thickBot="1" x14ac:dyDescent="0.3">
      <c r="A1561" s="990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5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  <c r="Q1561" s="2"/>
      <c r="R1561" s="2"/>
    </row>
    <row r="1562" spans="1:18" ht="19.5" hidden="1" thickBot="1" x14ac:dyDescent="0.3">
      <c r="A1562" s="990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5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  <c r="Q1562" s="2"/>
      <c r="R1562" s="2"/>
    </row>
    <row r="1563" spans="1:18" ht="19.5" hidden="1" thickBot="1" x14ac:dyDescent="0.3">
      <c r="A1563" s="990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5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  <c r="Q1563" s="2"/>
      <c r="R1563" s="2"/>
    </row>
    <row r="1564" spans="1:18" ht="19.5" hidden="1" thickBot="1" x14ac:dyDescent="0.3">
      <c r="A1564" s="991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5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  <c r="Q1564" s="2"/>
      <c r="R1564" s="2"/>
    </row>
    <row r="1565" spans="1:18" ht="19.5" hidden="1" thickBot="1" x14ac:dyDescent="0.3">
      <c r="A1565" s="991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5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  <c r="Q1565" s="2"/>
      <c r="R1565" s="2"/>
    </row>
    <row r="1566" spans="1:18" ht="19.5" hidden="1" thickBot="1" x14ac:dyDescent="0.3">
      <c r="A1566" s="990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5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  <c r="Q1566" s="2"/>
      <c r="R1566" s="2"/>
    </row>
    <row r="1567" spans="1:18" ht="19.5" hidden="1" thickBot="1" x14ac:dyDescent="0.3">
      <c r="A1567" s="990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5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  <c r="Q1567" s="2"/>
      <c r="R1567" s="2"/>
    </row>
    <row r="1568" spans="1:18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5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  <c r="Q1568" s="2"/>
      <c r="R1568" s="2"/>
    </row>
    <row r="1569" spans="1:18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5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  <c r="Q1569" s="2"/>
      <c r="R1569" s="2"/>
    </row>
    <row r="1570" spans="1:18" ht="19.5" hidden="1" thickBot="1" x14ac:dyDescent="0.3">
      <c r="A1570" s="991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5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  <c r="Q1570" s="2"/>
      <c r="R1570" s="2"/>
    </row>
    <row r="1571" spans="1:18" ht="19.5" hidden="1" thickBot="1" x14ac:dyDescent="0.3">
      <c r="A1571" s="991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5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  <c r="Q1571" s="2"/>
      <c r="R1571" s="2"/>
    </row>
    <row r="1572" spans="1:18" ht="19.5" hidden="1" thickBot="1" x14ac:dyDescent="0.3">
      <c r="A1572" s="990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5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  <c r="Q1572" s="2"/>
      <c r="R1572" s="2"/>
    </row>
    <row r="1573" spans="1:18" ht="19.5" hidden="1" thickBot="1" x14ac:dyDescent="0.3">
      <c r="A1573" s="990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5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  <c r="Q1573" s="2"/>
      <c r="R1573" s="2"/>
    </row>
    <row r="1574" spans="1:18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5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  <c r="Q1574" s="2"/>
      <c r="R1574" s="2"/>
    </row>
    <row r="1575" spans="1:18" ht="19.5" hidden="1" thickBot="1" x14ac:dyDescent="0.3">
      <c r="A1575" s="990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5"/>
        <v>03,24</v>
      </c>
      <c r="L1575" s="82" t="s">
        <v>266</v>
      </c>
      <c r="M1575" s="82">
        <v>3773.24</v>
      </c>
      <c r="N1575" s="319">
        <v>0.375</v>
      </c>
      <c r="O1575" s="2"/>
      <c r="P1575" s="2"/>
      <c r="Q1575" s="2"/>
      <c r="R1575" s="2"/>
    </row>
    <row r="1576" spans="1:18" ht="19.5" hidden="1" thickBot="1" x14ac:dyDescent="0.3">
      <c r="A1576" s="990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5"/>
        <v>03,24</v>
      </c>
      <c r="L1576" s="98" t="s">
        <v>266</v>
      </c>
      <c r="M1576" s="98">
        <v>2010.08</v>
      </c>
      <c r="N1576" s="364">
        <v>0.375</v>
      </c>
      <c r="O1576" s="2"/>
      <c r="P1576" s="2"/>
      <c r="Q1576" s="2"/>
      <c r="R1576" s="2"/>
    </row>
    <row r="1577" spans="1:18" ht="19.5" hidden="1" customHeight="1" thickBot="1" x14ac:dyDescent="0.3">
      <c r="A1577" s="990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5"/>
        <v>03,24</v>
      </c>
      <c r="L1577" s="98" t="s">
        <v>266</v>
      </c>
      <c r="M1577" s="98">
        <v>3740.34</v>
      </c>
      <c r="N1577" s="364">
        <v>0.375</v>
      </c>
      <c r="O1577" s="2"/>
      <c r="P1577" s="2"/>
      <c r="Q1577" s="2"/>
      <c r="R1577" s="2"/>
    </row>
    <row r="1578" spans="1:18" ht="19.5" hidden="1" thickBot="1" x14ac:dyDescent="0.3">
      <c r="A1578" s="990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5"/>
        <v>03,24</v>
      </c>
      <c r="L1578" s="90" t="s">
        <v>266</v>
      </c>
      <c r="M1578" s="90">
        <v>3699.4</v>
      </c>
      <c r="N1578" s="325">
        <v>0.375</v>
      </c>
      <c r="O1578" s="2"/>
      <c r="P1578" s="2"/>
      <c r="Q1578" s="2"/>
      <c r="R1578" s="2"/>
    </row>
    <row r="1579" spans="1:18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5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  <c r="Q1579" s="2"/>
      <c r="R1579" s="2"/>
    </row>
    <row r="1580" spans="1:18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5"/>
        <v>03,24</v>
      </c>
      <c r="L1580" s="40" t="s">
        <v>266</v>
      </c>
      <c r="M1580" s="40">
        <v>17581.14</v>
      </c>
      <c r="N1580" s="317">
        <v>0.5</v>
      </c>
      <c r="O1580" s="2"/>
      <c r="P1580" s="2"/>
      <c r="Q1580" s="2"/>
      <c r="R1580" s="2"/>
    </row>
    <row r="1581" spans="1:18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5"/>
        <v>03,24</v>
      </c>
      <c r="L1581" s="75" t="s">
        <v>266</v>
      </c>
      <c r="M1581" s="75">
        <v>18067.11</v>
      </c>
      <c r="N1581" s="322">
        <v>0.375</v>
      </c>
      <c r="O1581" s="2"/>
      <c r="P1581" s="2"/>
      <c r="Q1581" s="2"/>
      <c r="R1581" s="2"/>
    </row>
    <row r="1582" spans="1:18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5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  <c r="Q1582" s="2"/>
      <c r="R1582" s="2"/>
    </row>
    <row r="1583" spans="1:18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5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  <c r="Q1583" s="2"/>
      <c r="R1583" s="2"/>
    </row>
    <row r="1584" spans="1:18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5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  <c r="Q1584" s="2"/>
      <c r="R1584" s="2"/>
    </row>
    <row r="1585" spans="1:18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5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  <c r="Q1585" s="2"/>
      <c r="R1585" s="2"/>
    </row>
    <row r="1586" spans="1:18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5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  <c r="Q1586" s="2"/>
      <c r="R1586" s="2"/>
    </row>
    <row r="1587" spans="1:18" ht="19.5" hidden="1" thickBot="1" x14ac:dyDescent="0.3">
      <c r="A1587" s="991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5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  <c r="Q1587" s="2"/>
      <c r="R1587" s="2"/>
    </row>
    <row r="1588" spans="1:18" ht="19.5" hidden="1" thickBot="1" x14ac:dyDescent="0.3">
      <c r="A1588" s="991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5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  <c r="Q1588" s="2"/>
      <c r="R1588" s="2"/>
    </row>
    <row r="1589" spans="1:18" ht="19.5" hidden="1" thickBot="1" x14ac:dyDescent="0.3">
      <c r="A1589" s="991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5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  <c r="Q1589" s="2"/>
      <c r="R1589" s="2"/>
    </row>
    <row r="1590" spans="1:18" ht="19.5" hidden="1" thickBot="1" x14ac:dyDescent="0.3">
      <c r="A1590" s="991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5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  <c r="Q1590" s="2"/>
      <c r="R1590" s="2"/>
    </row>
    <row r="1591" spans="1:18" ht="19.5" hidden="1" thickBot="1" x14ac:dyDescent="0.3">
      <c r="A1591" s="991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5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  <c r="Q1591" s="2"/>
      <c r="R1591" s="2"/>
    </row>
    <row r="1592" spans="1:18" ht="19.5" hidden="1" thickBot="1" x14ac:dyDescent="0.3">
      <c r="A1592" s="991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5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  <c r="Q1592" s="2"/>
      <c r="R1592" s="2"/>
    </row>
    <row r="1593" spans="1:18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5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  <c r="Q1593" s="2"/>
      <c r="R1593" s="2"/>
    </row>
    <row r="1594" spans="1:18" ht="19.5" hidden="1" thickBot="1" x14ac:dyDescent="0.3">
      <c r="A1594" s="991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5"/>
        <v>03,24</v>
      </c>
      <c r="L1594" s="48" t="s">
        <v>28</v>
      </c>
      <c r="M1594" s="48">
        <v>3944.54</v>
      </c>
      <c r="N1594" s="315">
        <v>0.375</v>
      </c>
      <c r="O1594" s="2"/>
      <c r="P1594" s="2"/>
      <c r="Q1594" s="2"/>
      <c r="R1594" s="2"/>
    </row>
    <row r="1595" spans="1:18" ht="19.5" hidden="1" thickBot="1" x14ac:dyDescent="0.3">
      <c r="A1595" s="991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5"/>
        <v>03,24</v>
      </c>
      <c r="L1595" s="71" t="s">
        <v>28</v>
      </c>
      <c r="M1595" s="71">
        <v>13547.74</v>
      </c>
      <c r="N1595" s="323">
        <v>0.375</v>
      </c>
      <c r="O1595" s="2"/>
      <c r="P1595" s="2"/>
      <c r="Q1595" s="2"/>
      <c r="R1595" s="2"/>
    </row>
    <row r="1596" spans="1:18" ht="19.5" hidden="1" thickBot="1" x14ac:dyDescent="0.3">
      <c r="A1596" s="990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5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  <c r="Q1596" s="2"/>
      <c r="R1596" s="2"/>
    </row>
    <row r="1597" spans="1:18" ht="19.5" hidden="1" thickBot="1" x14ac:dyDescent="0.3">
      <c r="A1597" s="990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5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  <c r="Q1597" s="2"/>
      <c r="R1597" s="2"/>
    </row>
    <row r="1598" spans="1:18" ht="19.5" hidden="1" thickBot="1" x14ac:dyDescent="0.3">
      <c r="A1598" s="991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5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  <c r="Q1598" s="2"/>
      <c r="R1598" s="2"/>
    </row>
    <row r="1599" spans="1:18" ht="19.5" hidden="1" thickBot="1" x14ac:dyDescent="0.3">
      <c r="A1599" s="991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5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  <c r="Q1599" s="2"/>
      <c r="R1599" s="2"/>
    </row>
    <row r="1600" spans="1:18" ht="19.5" hidden="1" thickBot="1" x14ac:dyDescent="0.3">
      <c r="A1600" s="990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5"/>
        <v>03,24</v>
      </c>
      <c r="L1600" s="82" t="s">
        <v>28</v>
      </c>
      <c r="M1600" s="82">
        <v>7241.04</v>
      </c>
      <c r="N1600" s="319">
        <v>0.5</v>
      </c>
      <c r="O1600" s="2"/>
      <c r="P1600" s="2"/>
      <c r="Q1600" s="2"/>
      <c r="R1600" s="2"/>
    </row>
    <row r="1601" spans="1:18" ht="19.5" hidden="1" thickBot="1" x14ac:dyDescent="0.3">
      <c r="A1601" s="990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5"/>
        <v>03,24</v>
      </c>
      <c r="L1601" s="90" t="s">
        <v>28</v>
      </c>
      <c r="M1601" s="90">
        <v>10120.42</v>
      </c>
      <c r="N1601" s="325">
        <v>0.5</v>
      </c>
      <c r="O1601" s="2"/>
      <c r="P1601" s="2"/>
      <c r="Q1601" s="2"/>
      <c r="R1601" s="2"/>
    </row>
    <row r="1602" spans="1:18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5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  <c r="Q1602" s="2"/>
      <c r="R1602" s="2"/>
    </row>
    <row r="1603" spans="1:18" ht="18.75" hidden="1" customHeight="1" thickBot="1" x14ac:dyDescent="0.3">
      <c r="A1603" s="990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992" t="s">
        <v>72</v>
      </c>
      <c r="H1603" s="82" t="s">
        <v>396</v>
      </c>
      <c r="I1603" s="147" t="s">
        <v>396</v>
      </c>
      <c r="J1603" s="86"/>
      <c r="K1603" s="82" t="str">
        <f t="shared" ref="K1603:K1666" si="26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  <c r="Q1603" s="2"/>
      <c r="R1603" s="2"/>
    </row>
    <row r="1604" spans="1:18" ht="19.5" hidden="1" thickBot="1" x14ac:dyDescent="0.3">
      <c r="A1604" s="990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992"/>
      <c r="H1604" s="90" t="s">
        <v>396</v>
      </c>
      <c r="I1604" s="172" t="s">
        <v>396</v>
      </c>
      <c r="J1604" s="173"/>
      <c r="K1604" s="90" t="str">
        <f t="shared" si="26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  <c r="Q1604" s="2"/>
      <c r="R1604" s="2"/>
    </row>
    <row r="1605" spans="1:18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6"/>
        <v>03,24</v>
      </c>
      <c r="L1605" s="75" t="s">
        <v>28</v>
      </c>
      <c r="M1605" s="75">
        <v>17670.12</v>
      </c>
      <c r="N1605" s="322">
        <v>0.5</v>
      </c>
      <c r="O1605" s="2"/>
      <c r="P1605" s="2"/>
      <c r="Q1605" s="2"/>
      <c r="R1605" s="2"/>
    </row>
    <row r="1606" spans="1:18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6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  <c r="Q1606" s="2"/>
      <c r="R1606" s="2"/>
    </row>
    <row r="1607" spans="1:18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6"/>
        <v>03,24</v>
      </c>
      <c r="L1607" s="75" t="s">
        <v>266</v>
      </c>
      <c r="M1607" s="75">
        <v>10991.62</v>
      </c>
      <c r="N1607" s="322">
        <v>0.375</v>
      </c>
      <c r="O1607" s="2"/>
      <c r="P1607" s="2"/>
      <c r="Q1607" s="2"/>
      <c r="R1607" s="2"/>
    </row>
    <row r="1608" spans="1:18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6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  <c r="Q1608" s="2"/>
      <c r="R1608" s="2"/>
    </row>
    <row r="1609" spans="1:18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6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  <c r="Q1609" s="2"/>
      <c r="R1609" s="2"/>
    </row>
    <row r="1610" spans="1:18" ht="19.5" hidden="1" thickBot="1" x14ac:dyDescent="0.3">
      <c r="A1610" s="990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6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  <c r="Q1610" s="2"/>
      <c r="R1610" s="2"/>
    </row>
    <row r="1611" spans="1:18" ht="19.5" hidden="1" thickBot="1" x14ac:dyDescent="0.3">
      <c r="A1611" s="990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6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  <c r="Q1611" s="2"/>
      <c r="R1611" s="2"/>
    </row>
    <row r="1612" spans="1:18" ht="19.5" hidden="1" thickBot="1" x14ac:dyDescent="0.3">
      <c r="A1612" s="990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6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  <c r="Q1612" s="2"/>
      <c r="R1612" s="2"/>
    </row>
    <row r="1613" spans="1:18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6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  <c r="Q1613" s="2"/>
      <c r="R1613" s="2"/>
    </row>
    <row r="1614" spans="1:18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6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  <c r="Q1614" s="2"/>
      <c r="R1614" s="2"/>
    </row>
    <row r="1615" spans="1:18" ht="19.5" hidden="1" thickBot="1" x14ac:dyDescent="0.3">
      <c r="A1615" s="991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6"/>
        <v>03,24</v>
      </c>
      <c r="L1615" s="48" t="s">
        <v>28</v>
      </c>
      <c r="M1615" s="48">
        <v>4079.89</v>
      </c>
      <c r="N1615" s="315">
        <v>0.5</v>
      </c>
      <c r="O1615" s="2"/>
      <c r="P1615" s="2"/>
      <c r="Q1615" s="2"/>
      <c r="R1615" s="2"/>
    </row>
    <row r="1616" spans="1:18" ht="19.5" hidden="1" thickBot="1" x14ac:dyDescent="0.3">
      <c r="A1616" s="991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6"/>
        <v>03,24</v>
      </c>
      <c r="L1616" s="23" t="s">
        <v>28</v>
      </c>
      <c r="M1616" s="23">
        <v>11774.72</v>
      </c>
      <c r="N1616" s="329">
        <v>0.5</v>
      </c>
      <c r="O1616" s="2"/>
      <c r="P1616" s="2"/>
      <c r="Q1616" s="2"/>
      <c r="R1616" s="2"/>
    </row>
    <row r="1617" spans="1:18" ht="19.5" hidden="1" thickBot="1" x14ac:dyDescent="0.3">
      <c r="A1617" s="991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6"/>
        <v>03,24</v>
      </c>
      <c r="L1617" s="71" t="s">
        <v>28</v>
      </c>
      <c r="M1617" s="71">
        <v>1759.8</v>
      </c>
      <c r="N1617" s="323">
        <v>0.5</v>
      </c>
      <c r="O1617" s="2"/>
      <c r="P1617" s="2"/>
      <c r="Q1617" s="2"/>
      <c r="R1617" s="2"/>
    </row>
    <row r="1618" spans="1:18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6"/>
        <v>03,24</v>
      </c>
      <c r="L1618" s="40" t="s">
        <v>266</v>
      </c>
      <c r="M1618" s="40">
        <v>12960.88</v>
      </c>
      <c r="N1618" s="317">
        <v>0.375</v>
      </c>
      <c r="O1618" s="2"/>
      <c r="P1618" s="2"/>
      <c r="Q1618" s="2"/>
      <c r="R1618" s="2"/>
    </row>
    <row r="1619" spans="1:18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6"/>
        <v>03,24</v>
      </c>
      <c r="L1619" s="75" t="s">
        <v>266</v>
      </c>
      <c r="M1619" s="75">
        <v>9001.57</v>
      </c>
      <c r="N1619" s="322">
        <v>0.375</v>
      </c>
      <c r="O1619" s="2"/>
      <c r="P1619" s="2"/>
      <c r="Q1619" s="2"/>
      <c r="R1619" s="2"/>
    </row>
    <row r="1620" spans="1:18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6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  <c r="Q1620" s="2"/>
      <c r="R1620" s="2"/>
    </row>
    <row r="1621" spans="1:18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6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  <c r="Q1621" s="2"/>
      <c r="R1621" s="2"/>
    </row>
    <row r="1622" spans="1:18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6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  <c r="Q1622" s="2"/>
      <c r="R1622" s="2"/>
    </row>
    <row r="1623" spans="1:18" ht="19.5" hidden="1" thickBot="1" x14ac:dyDescent="0.3">
      <c r="A1623" s="991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6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  <c r="Q1623" s="2"/>
      <c r="R1623" s="2"/>
    </row>
    <row r="1624" spans="1:18" ht="19.5" hidden="1" thickBot="1" x14ac:dyDescent="0.3">
      <c r="A1624" s="991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6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  <c r="Q1624" s="2"/>
      <c r="R1624" s="2"/>
    </row>
    <row r="1625" spans="1:18" ht="19.5" hidden="1" thickBot="1" x14ac:dyDescent="0.3">
      <c r="A1625" s="991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6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  <c r="Q1625" s="2"/>
      <c r="R1625" s="2"/>
    </row>
    <row r="1626" spans="1:18" ht="19.5" hidden="1" thickBot="1" x14ac:dyDescent="0.3">
      <c r="A1626" s="991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6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  <c r="Q1626" s="2"/>
      <c r="R1626" s="2"/>
    </row>
    <row r="1627" spans="1:18" ht="19.5" hidden="1" thickBot="1" x14ac:dyDescent="0.3">
      <c r="A1627" s="991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6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  <c r="Q1627" s="2"/>
      <c r="R1627" s="2"/>
    </row>
    <row r="1628" spans="1:18" ht="19.5" hidden="1" thickBot="1" x14ac:dyDescent="0.3">
      <c r="A1628" s="991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6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  <c r="Q1628" s="2"/>
      <c r="R1628" s="2"/>
    </row>
    <row r="1629" spans="1:18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6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  <c r="Q1629" s="2"/>
      <c r="R1629" s="2"/>
    </row>
    <row r="1630" spans="1:18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6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  <c r="Q1630" s="2"/>
      <c r="R1630" s="2"/>
    </row>
    <row r="1631" spans="1:18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6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  <c r="Q1631" s="2"/>
      <c r="R1631" s="2"/>
    </row>
    <row r="1632" spans="1:18" ht="19.5" hidden="1" thickBot="1" x14ac:dyDescent="0.3">
      <c r="A1632" s="991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6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  <c r="Q1632" s="2"/>
      <c r="R1632" s="2"/>
    </row>
    <row r="1633" spans="1:18" ht="19.5" hidden="1" thickBot="1" x14ac:dyDescent="0.3">
      <c r="A1633" s="991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6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  <c r="Q1633" s="2"/>
      <c r="R1633" s="2"/>
    </row>
    <row r="1634" spans="1:18" ht="19.5" hidden="1" thickBot="1" x14ac:dyDescent="0.3">
      <c r="A1634" s="990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6"/>
        <v>03,24</v>
      </c>
      <c r="L1634" s="82" t="s">
        <v>266</v>
      </c>
      <c r="M1634" s="82">
        <v>1005</v>
      </c>
      <c r="N1634" s="319">
        <v>0.375</v>
      </c>
      <c r="O1634" s="2"/>
      <c r="P1634" s="2"/>
      <c r="Q1634" s="2"/>
      <c r="R1634" s="2"/>
    </row>
    <row r="1635" spans="1:18" ht="19.5" hidden="1" thickBot="1" x14ac:dyDescent="0.3">
      <c r="A1635" s="990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6"/>
        <v>03,24</v>
      </c>
      <c r="L1635" s="90" t="s">
        <v>266</v>
      </c>
      <c r="M1635" s="90">
        <v>16670.3</v>
      </c>
      <c r="N1635" s="325">
        <v>0.375</v>
      </c>
      <c r="O1635" s="2"/>
      <c r="P1635" s="2"/>
      <c r="Q1635" s="2"/>
      <c r="R1635" s="2"/>
    </row>
    <row r="1636" spans="1:18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6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  <c r="Q1636" s="2"/>
      <c r="R1636" s="2"/>
    </row>
    <row r="1637" spans="1:18" ht="19.5" hidden="1" thickBot="1" x14ac:dyDescent="0.3">
      <c r="A1637" s="990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6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  <c r="Q1637" s="2"/>
      <c r="R1637" s="2"/>
    </row>
    <row r="1638" spans="1:18" ht="19.5" hidden="1" thickBot="1" x14ac:dyDescent="0.3">
      <c r="A1638" s="990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6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  <c r="Q1638" s="2"/>
      <c r="R1638" s="2"/>
    </row>
    <row r="1639" spans="1:18" ht="19.5" hidden="1" thickBot="1" x14ac:dyDescent="0.3">
      <c r="A1639" s="991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6"/>
        <v>03,24</v>
      </c>
      <c r="L1639" s="48" t="s">
        <v>266</v>
      </c>
      <c r="M1639" s="48">
        <v>5548.8</v>
      </c>
      <c r="N1639" s="315">
        <v>0.5</v>
      </c>
      <c r="O1639" s="2"/>
      <c r="P1639" s="2"/>
      <c r="Q1639" s="2"/>
      <c r="R1639" s="2"/>
    </row>
    <row r="1640" spans="1:18" ht="19.5" hidden="1" thickBot="1" x14ac:dyDescent="0.3">
      <c r="A1640" s="991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6"/>
        <v>03,24</v>
      </c>
      <c r="L1640" s="71" t="s">
        <v>266</v>
      </c>
      <c r="M1640" s="71">
        <v>12015</v>
      </c>
      <c r="N1640" s="323">
        <v>0.5</v>
      </c>
      <c r="O1640" s="2"/>
      <c r="P1640" s="2"/>
      <c r="Q1640" s="2"/>
      <c r="R1640" s="2"/>
    </row>
    <row r="1641" spans="1:18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6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  <c r="Q1641" s="2"/>
      <c r="R1641" s="2"/>
    </row>
    <row r="1642" spans="1:18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6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  <c r="Q1642" s="2"/>
      <c r="R1642" s="2"/>
    </row>
    <row r="1643" spans="1:18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6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  <c r="Q1643" s="2"/>
      <c r="R1643" s="2"/>
    </row>
    <row r="1644" spans="1:18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6"/>
        <v>04,24</v>
      </c>
      <c r="L1644" s="75" t="s">
        <v>266</v>
      </c>
      <c r="M1644" s="75">
        <v>17227.23</v>
      </c>
      <c r="N1644" s="322">
        <v>0.375</v>
      </c>
      <c r="O1644" s="2"/>
      <c r="P1644" s="2"/>
      <c r="Q1644" s="2"/>
      <c r="R1644" s="2"/>
    </row>
    <row r="1645" spans="1:18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6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  <c r="Q1645" s="2"/>
      <c r="R1645" s="2"/>
    </row>
    <row r="1646" spans="1:18" ht="19.5" hidden="1" thickBot="1" x14ac:dyDescent="0.3">
      <c r="A1646" s="991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6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  <c r="Q1646" s="2"/>
      <c r="R1646" s="2"/>
    </row>
    <row r="1647" spans="1:18" ht="19.5" hidden="1" thickBot="1" x14ac:dyDescent="0.3">
      <c r="A1647" s="991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6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  <c r="Q1647" s="2"/>
      <c r="R1647" s="2"/>
    </row>
    <row r="1648" spans="1:18" ht="19.5" hidden="1" thickBot="1" x14ac:dyDescent="0.3">
      <c r="A1648" s="991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6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  <c r="Q1648" s="2"/>
      <c r="R1648" s="2"/>
    </row>
    <row r="1649" spans="1:18" ht="19.5" hidden="1" thickBot="1" x14ac:dyDescent="0.3">
      <c r="A1649" s="990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6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  <c r="Q1649" s="2"/>
      <c r="R1649" s="2"/>
    </row>
    <row r="1650" spans="1:18" ht="19.5" hidden="1" thickBot="1" x14ac:dyDescent="0.3">
      <c r="A1650" s="990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6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  <c r="Q1650" s="2"/>
      <c r="R1650" s="2"/>
    </row>
    <row r="1651" spans="1:18" ht="18.75" hidden="1" customHeight="1" thickBot="1" x14ac:dyDescent="0.3">
      <c r="A1651" s="991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993" t="s">
        <v>411</v>
      </c>
      <c r="H1651" s="48" t="s">
        <v>406</v>
      </c>
      <c r="I1651" s="163" t="s">
        <v>408</v>
      </c>
      <c r="J1651" s="52"/>
      <c r="K1651" s="48" t="str">
        <f t="shared" si="26"/>
        <v>04,24</v>
      </c>
      <c r="L1651" s="48" t="s">
        <v>266</v>
      </c>
      <c r="M1651" s="48">
        <v>2516.02</v>
      </c>
      <c r="N1651" s="315">
        <v>0.375</v>
      </c>
      <c r="O1651" s="2"/>
      <c r="P1651" s="2"/>
      <c r="Q1651" s="2"/>
      <c r="R1651" s="2"/>
    </row>
    <row r="1652" spans="1:18" ht="19.5" hidden="1" thickBot="1" x14ac:dyDescent="0.3">
      <c r="A1652" s="991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993"/>
      <c r="H1652" s="71" t="s">
        <v>406</v>
      </c>
      <c r="I1652" s="167" t="s">
        <v>408</v>
      </c>
      <c r="J1652" s="168"/>
      <c r="K1652" s="71" t="str">
        <f t="shared" si="26"/>
        <v>04,24</v>
      </c>
      <c r="L1652" s="71" t="s">
        <v>266</v>
      </c>
      <c r="M1652" s="71">
        <v>6430.74</v>
      </c>
      <c r="N1652" s="323">
        <v>0.375</v>
      </c>
      <c r="O1652" s="2"/>
      <c r="P1652" s="2"/>
      <c r="Q1652" s="2"/>
      <c r="R1652" s="2"/>
    </row>
    <row r="1653" spans="1:18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6"/>
        <v>04,24</v>
      </c>
      <c r="L1653" s="40" t="s">
        <v>266</v>
      </c>
      <c r="M1653" s="40">
        <v>17677.52</v>
      </c>
      <c r="N1653" s="317">
        <v>0.5</v>
      </c>
      <c r="O1653" s="2"/>
      <c r="P1653" s="2"/>
      <c r="Q1653" s="2"/>
      <c r="R1653" s="2"/>
    </row>
    <row r="1654" spans="1:18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6"/>
        <v>04,24</v>
      </c>
      <c r="L1654" s="75" t="s">
        <v>266</v>
      </c>
      <c r="M1654" s="75">
        <v>17955.34</v>
      </c>
      <c r="N1654" s="322">
        <v>0.375</v>
      </c>
      <c r="O1654" s="2"/>
      <c r="P1654" s="2"/>
      <c r="Q1654" s="2"/>
      <c r="R1654" s="2"/>
    </row>
    <row r="1655" spans="1:18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6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  <c r="Q1655" s="2"/>
      <c r="R1655" s="2"/>
    </row>
    <row r="1656" spans="1:18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6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  <c r="Q1656" s="2"/>
      <c r="R1656" s="2"/>
    </row>
    <row r="1657" spans="1:18" ht="19.5" hidden="1" thickBot="1" x14ac:dyDescent="0.3">
      <c r="A1657" s="990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6"/>
        <v>04,24</v>
      </c>
      <c r="L1657" s="82" t="s">
        <v>266</v>
      </c>
      <c r="M1657" s="82">
        <v>2342.92</v>
      </c>
      <c r="N1657" s="319">
        <v>0.5</v>
      </c>
      <c r="O1657" s="2"/>
      <c r="P1657" s="2"/>
      <c r="Q1657" s="2"/>
      <c r="R1657" s="2"/>
    </row>
    <row r="1658" spans="1:18" ht="19.5" hidden="1" thickBot="1" x14ac:dyDescent="0.3">
      <c r="A1658" s="990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6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  <c r="Q1658" s="2"/>
      <c r="R1658" s="2"/>
    </row>
    <row r="1659" spans="1:18" ht="19.5" hidden="1" thickBot="1" x14ac:dyDescent="0.3">
      <c r="A1659" s="990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6"/>
        <v>04,24</v>
      </c>
      <c r="L1659" s="98" t="s">
        <v>266</v>
      </c>
      <c r="M1659" s="98">
        <v>3160.44</v>
      </c>
      <c r="N1659" s="364">
        <v>0.5</v>
      </c>
      <c r="O1659" s="2"/>
      <c r="P1659" s="2"/>
      <c r="Q1659" s="2"/>
      <c r="R1659" s="2"/>
    </row>
    <row r="1660" spans="1:18" ht="19.5" hidden="1" thickBot="1" x14ac:dyDescent="0.3">
      <c r="A1660" s="990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6"/>
        <v>04,24</v>
      </c>
      <c r="L1660" s="98" t="s">
        <v>266</v>
      </c>
      <c r="M1660" s="98">
        <v>2567.04</v>
      </c>
      <c r="N1660" s="364">
        <v>0.5</v>
      </c>
      <c r="O1660" s="2"/>
      <c r="P1660" s="2"/>
      <c r="Q1660" s="2"/>
      <c r="R1660" s="2"/>
    </row>
    <row r="1661" spans="1:18" ht="19.5" hidden="1" thickBot="1" x14ac:dyDescent="0.3">
      <c r="A1661" s="990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6"/>
        <v>04,24</v>
      </c>
      <c r="L1661" s="98" t="s">
        <v>266</v>
      </c>
      <c r="M1661" s="98">
        <v>5975.4</v>
      </c>
      <c r="N1661" s="364">
        <v>0.5</v>
      </c>
      <c r="O1661" s="2"/>
      <c r="P1661" s="2"/>
      <c r="Q1661" s="2"/>
      <c r="R1661" s="2"/>
    </row>
    <row r="1662" spans="1:18" ht="19.5" hidden="1" thickBot="1" x14ac:dyDescent="0.3">
      <c r="A1662" s="990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6"/>
        <v>04,24</v>
      </c>
      <c r="L1662" s="90" t="s">
        <v>266</v>
      </c>
      <c r="M1662" s="90">
        <v>3091.78</v>
      </c>
      <c r="N1662" s="325">
        <v>0.5</v>
      </c>
      <c r="O1662" s="2"/>
      <c r="P1662" s="2"/>
      <c r="Q1662" s="2"/>
      <c r="R1662" s="2"/>
    </row>
    <row r="1663" spans="1:18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6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  <c r="Q1663" s="2"/>
      <c r="R1663" s="2"/>
    </row>
    <row r="1664" spans="1:18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6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  <c r="Q1664" s="2"/>
      <c r="R1664" s="2"/>
    </row>
    <row r="1665" spans="1:18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6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  <c r="Q1665" s="2"/>
      <c r="R1665" s="2"/>
    </row>
    <row r="1666" spans="1:18" ht="19.5" hidden="1" thickBot="1" x14ac:dyDescent="0.3">
      <c r="A1666" s="990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6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  <c r="Q1666" s="2"/>
      <c r="R1666" s="2"/>
    </row>
    <row r="1667" spans="1:18" ht="19.5" hidden="1" thickBot="1" x14ac:dyDescent="0.3">
      <c r="A1667" s="990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7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  <c r="Q1667" s="2"/>
      <c r="R1667" s="2"/>
    </row>
    <row r="1668" spans="1:18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7"/>
        <v>04,24</v>
      </c>
      <c r="L1668" s="75" t="s">
        <v>28</v>
      </c>
      <c r="M1668" s="75">
        <v>17197.54</v>
      </c>
      <c r="N1668" s="322">
        <v>0.375</v>
      </c>
      <c r="O1668" s="2"/>
      <c r="P1668" s="2"/>
      <c r="Q1668" s="2"/>
      <c r="R1668" s="2"/>
    </row>
    <row r="1669" spans="1:18" ht="94.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7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  <c r="Q1669" s="2"/>
      <c r="R1669" s="2"/>
    </row>
    <row r="1670" spans="1:18" ht="19.5" hidden="1" thickBot="1" x14ac:dyDescent="0.3">
      <c r="A1670" s="991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7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  <c r="Q1670" s="2"/>
      <c r="R1670" s="2"/>
    </row>
    <row r="1671" spans="1:18" ht="19.5" hidden="1" thickBot="1" x14ac:dyDescent="0.3">
      <c r="A1671" s="991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7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  <c r="Q1671" s="2"/>
      <c r="R1671" s="2"/>
    </row>
    <row r="1672" spans="1:18" ht="19.5" hidden="1" thickBot="1" x14ac:dyDescent="0.3">
      <c r="A1672" s="991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7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  <c r="Q1672" s="2"/>
      <c r="R1672" s="2"/>
    </row>
    <row r="1673" spans="1:18" ht="18.75" hidden="1" customHeight="1" thickBot="1" x14ac:dyDescent="0.3">
      <c r="A1673" s="990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992" t="s">
        <v>72</v>
      </c>
      <c r="H1673" s="82" t="s">
        <v>417</v>
      </c>
      <c r="I1673" s="147" t="s">
        <v>417</v>
      </c>
      <c r="J1673" s="86"/>
      <c r="K1673" s="82" t="str">
        <f t="shared" si="27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  <c r="Q1673" s="2"/>
      <c r="R1673" s="2"/>
    </row>
    <row r="1674" spans="1:18" ht="19.5" hidden="1" thickBot="1" x14ac:dyDescent="0.3">
      <c r="A1674" s="990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992"/>
      <c r="H1674" s="90" t="s">
        <v>417</v>
      </c>
      <c r="I1674" s="172" t="s">
        <v>417</v>
      </c>
      <c r="J1674" s="173"/>
      <c r="K1674" s="90" t="str">
        <f t="shared" si="27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  <c r="Q1674" s="2"/>
      <c r="R1674" s="2"/>
    </row>
    <row r="1675" spans="1:18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7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  <c r="Q1675" s="2"/>
      <c r="R1675" s="2"/>
    </row>
    <row r="1676" spans="1:18" ht="19.5" hidden="1" thickBot="1" x14ac:dyDescent="0.3">
      <c r="A1676" s="990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7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  <c r="Q1676" s="2"/>
      <c r="R1676" s="2"/>
    </row>
    <row r="1677" spans="1:18" ht="19.5" hidden="1" thickBot="1" x14ac:dyDescent="0.3">
      <c r="A1677" s="990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7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  <c r="Q1677" s="2"/>
      <c r="R1677" s="2"/>
    </row>
    <row r="1678" spans="1:18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7"/>
        <v>04,24</v>
      </c>
      <c r="L1678" s="75" t="s">
        <v>266</v>
      </c>
      <c r="M1678" s="75">
        <v>17720.89</v>
      </c>
      <c r="N1678" s="322">
        <v>0.375</v>
      </c>
      <c r="O1678" s="2"/>
      <c r="P1678" s="2"/>
      <c r="Q1678" s="2"/>
      <c r="R1678" s="2"/>
    </row>
    <row r="1679" spans="1:18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7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  <c r="Q1679" s="2"/>
      <c r="R1679" s="2"/>
    </row>
    <row r="1680" spans="1:18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7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  <c r="Q1680" s="2"/>
      <c r="R1680" s="2"/>
    </row>
    <row r="1681" spans="1:18" ht="19.5" hidden="1" thickBot="1" x14ac:dyDescent="0.3">
      <c r="A1681" s="990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7"/>
        <v>04,24</v>
      </c>
      <c r="L1681" s="82" t="s">
        <v>28</v>
      </c>
      <c r="M1681" s="82">
        <v>3133.86</v>
      </c>
      <c r="N1681" s="319">
        <v>0.5</v>
      </c>
      <c r="O1681" s="2"/>
      <c r="P1681" s="2"/>
      <c r="Q1681" s="2"/>
      <c r="R1681" s="2"/>
    </row>
    <row r="1682" spans="1:18" ht="19.5" hidden="1" thickBot="1" x14ac:dyDescent="0.3">
      <c r="A1682" s="990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7"/>
        <v>04,24</v>
      </c>
      <c r="L1682" s="98" t="s">
        <v>28</v>
      </c>
      <c r="M1682" s="98">
        <v>5925</v>
      </c>
      <c r="N1682" s="364">
        <v>0.5</v>
      </c>
      <c r="O1682" s="2"/>
      <c r="P1682" s="2"/>
      <c r="Q1682" s="2"/>
      <c r="R1682" s="2"/>
    </row>
    <row r="1683" spans="1:18" ht="19.5" hidden="1" thickBot="1" x14ac:dyDescent="0.3">
      <c r="A1683" s="990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7"/>
        <v>04,24</v>
      </c>
      <c r="L1683" s="90" t="s">
        <v>28</v>
      </c>
      <c r="M1683" s="90">
        <v>8589.82</v>
      </c>
      <c r="N1683" s="325">
        <v>0.5</v>
      </c>
      <c r="O1683" s="2"/>
      <c r="P1683" s="2"/>
      <c r="Q1683" s="2"/>
      <c r="R1683" s="2"/>
    </row>
    <row r="1684" spans="1:18" ht="19.5" hidden="1" thickBot="1" x14ac:dyDescent="0.3">
      <c r="A1684" s="991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7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  <c r="Q1684" s="2"/>
      <c r="R1684" s="2"/>
    </row>
    <row r="1685" spans="1:18" ht="19.5" hidden="1" thickBot="1" x14ac:dyDescent="0.3">
      <c r="A1685" s="991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7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  <c r="Q1685" s="2"/>
      <c r="R1685" s="2"/>
    </row>
    <row r="1686" spans="1:18" ht="19.5" hidden="1" thickBot="1" x14ac:dyDescent="0.3">
      <c r="A1686" s="991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7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  <c r="Q1686" s="2"/>
      <c r="R1686" s="2"/>
    </row>
    <row r="1687" spans="1:18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7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  <c r="Q1687" s="2"/>
      <c r="R1687" s="2"/>
    </row>
    <row r="1688" spans="1:18" ht="19.5" hidden="1" thickBot="1" x14ac:dyDescent="0.3">
      <c r="A1688" s="991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7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  <c r="Q1688" s="2"/>
      <c r="R1688" s="2"/>
    </row>
    <row r="1689" spans="1:18" ht="19.5" hidden="1" thickBot="1" x14ac:dyDescent="0.3">
      <c r="A1689" s="991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7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  <c r="Q1689" s="2"/>
      <c r="R1689" s="2"/>
    </row>
    <row r="1690" spans="1:18" ht="19.5" hidden="1" thickBot="1" x14ac:dyDescent="0.3">
      <c r="A1690" s="991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7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  <c r="Q1690" s="2"/>
      <c r="R1690" s="2"/>
    </row>
    <row r="1691" spans="1:18" ht="19.5" hidden="1" thickBot="1" x14ac:dyDescent="0.3">
      <c r="A1691" s="991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7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  <c r="Q1691" s="2"/>
      <c r="R1691" s="2"/>
    </row>
    <row r="1692" spans="1:18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7"/>
        <v>04,24</v>
      </c>
      <c r="L1692" s="40" t="s">
        <v>266</v>
      </c>
      <c r="M1692" s="40">
        <v>17305.2</v>
      </c>
      <c r="N1692" s="317">
        <v>0.375</v>
      </c>
      <c r="O1692" s="2"/>
      <c r="P1692" s="2"/>
      <c r="Q1692" s="2"/>
      <c r="R1692" s="2"/>
    </row>
    <row r="1693" spans="1:18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7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  <c r="Q1693" s="2"/>
      <c r="R1693" s="2"/>
    </row>
    <row r="1694" spans="1:18" ht="19.5" hidden="1" thickBot="1" x14ac:dyDescent="0.3">
      <c r="A1694" s="990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7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  <c r="Q1694" s="2"/>
      <c r="R1694" s="2"/>
    </row>
    <row r="1695" spans="1:18" ht="19.5" hidden="1" thickBot="1" x14ac:dyDescent="0.3">
      <c r="A1695" s="990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7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  <c r="Q1695" s="2"/>
      <c r="R1695" s="2"/>
    </row>
    <row r="1696" spans="1:18" ht="19.5" hidden="1" thickBot="1" x14ac:dyDescent="0.3">
      <c r="A1696" s="990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7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  <c r="Q1696" s="2"/>
      <c r="R1696" s="2"/>
    </row>
    <row r="1697" spans="1:18" ht="19.5" hidden="1" thickBot="1" x14ac:dyDescent="0.3">
      <c r="A1697" s="990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7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  <c r="Q1697" s="2"/>
      <c r="R1697" s="2"/>
    </row>
    <row r="1698" spans="1:18" ht="19.5" hidden="1" thickBot="1" x14ac:dyDescent="0.3">
      <c r="A1698" s="990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7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  <c r="Q1698" s="2"/>
      <c r="R1698" s="2"/>
    </row>
    <row r="1699" spans="1:18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7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  <c r="Q1699" s="2"/>
      <c r="R1699" s="2"/>
    </row>
    <row r="1700" spans="1:18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7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  <c r="Q1700" s="2"/>
      <c r="R1700" s="2"/>
    </row>
    <row r="1701" spans="1:18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7"/>
        <v>04,24</v>
      </c>
      <c r="L1701" s="75" t="s">
        <v>266</v>
      </c>
      <c r="M1701" s="75">
        <v>18009.48</v>
      </c>
      <c r="N1701" s="322">
        <v>0.375</v>
      </c>
      <c r="O1701" s="2"/>
      <c r="P1701" s="2"/>
      <c r="Q1701" s="2"/>
      <c r="R1701" s="2"/>
    </row>
    <row r="1702" spans="1:18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7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  <c r="Q1702" s="2"/>
      <c r="R1702" s="2"/>
    </row>
    <row r="1703" spans="1:18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7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  <c r="Q1703" s="2"/>
      <c r="R1703" s="2"/>
    </row>
    <row r="1704" spans="1:18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7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  <c r="Q1704" s="2"/>
      <c r="R1704" s="2"/>
    </row>
    <row r="1705" spans="1:18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7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  <c r="Q1705" s="2"/>
      <c r="R1705" s="2"/>
    </row>
    <row r="1706" spans="1:18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7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  <c r="Q1706" s="2"/>
      <c r="R1706" s="2"/>
    </row>
    <row r="1707" spans="1:18" ht="19.5" hidden="1" thickBot="1" x14ac:dyDescent="0.3">
      <c r="A1707" s="991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7"/>
        <v>04,24</v>
      </c>
      <c r="L1707" s="48" t="s">
        <v>266</v>
      </c>
      <c r="M1707" s="48">
        <v>14904.16</v>
      </c>
      <c r="N1707" s="315">
        <v>0.5</v>
      </c>
      <c r="O1707" s="2"/>
      <c r="P1707" s="2"/>
      <c r="Q1707" s="2"/>
      <c r="R1707" s="2"/>
    </row>
    <row r="1708" spans="1:18" ht="19.5" hidden="1" thickBot="1" x14ac:dyDescent="0.3">
      <c r="A1708" s="991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7"/>
        <v>04,24</v>
      </c>
      <c r="L1708" s="71" t="s">
        <v>266</v>
      </c>
      <c r="M1708" s="71">
        <v>2400</v>
      </c>
      <c r="N1708" s="323">
        <v>0.5</v>
      </c>
      <c r="O1708" s="2"/>
      <c r="P1708" s="2"/>
      <c r="Q1708" s="2"/>
      <c r="R1708" s="2"/>
    </row>
    <row r="1709" spans="1:18" ht="19.5" hidden="1" thickBot="1" x14ac:dyDescent="0.3">
      <c r="A1709" s="990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7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  <c r="Q1709" s="2"/>
      <c r="R1709" s="2"/>
    </row>
    <row r="1710" spans="1:18" ht="19.5" hidden="1" thickBot="1" x14ac:dyDescent="0.3">
      <c r="A1710" s="990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7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  <c r="Q1710" s="2"/>
      <c r="R1710" s="2"/>
    </row>
    <row r="1711" spans="1:18" ht="19.5" hidden="1" thickBot="1" x14ac:dyDescent="0.3">
      <c r="A1711" s="990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7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  <c r="Q1711" s="2"/>
      <c r="R1711" s="2"/>
    </row>
    <row r="1712" spans="1:18" ht="18.75" hidden="1" customHeight="1" thickBot="1" x14ac:dyDescent="0.3">
      <c r="A1712" s="991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993" t="s">
        <v>72</v>
      </c>
      <c r="H1712" s="48" t="s">
        <v>425</v>
      </c>
      <c r="I1712" s="163" t="s">
        <v>425</v>
      </c>
      <c r="J1712" s="52"/>
      <c r="K1712" s="48" t="str">
        <f t="shared" si="27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  <c r="Q1712" s="2"/>
      <c r="R1712" s="2"/>
    </row>
    <row r="1713" spans="1:18" ht="19.5" hidden="1" thickBot="1" x14ac:dyDescent="0.3">
      <c r="A1713" s="991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993"/>
      <c r="H1713" s="71" t="s">
        <v>425</v>
      </c>
      <c r="I1713" s="167" t="s">
        <v>426</v>
      </c>
      <c r="J1713" s="168"/>
      <c r="K1713" s="71" t="str">
        <f t="shared" si="27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  <c r="Q1713" s="2"/>
      <c r="R1713" s="2"/>
    </row>
    <row r="1714" spans="1:18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7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  <c r="Q1714" s="2"/>
      <c r="R1714" s="2"/>
    </row>
    <row r="1715" spans="1:18" ht="19.5" hidden="1" thickBot="1" x14ac:dyDescent="0.3">
      <c r="A1715" s="991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7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  <c r="Q1715" s="2"/>
      <c r="R1715" s="2"/>
    </row>
    <row r="1716" spans="1:18" ht="19.5" hidden="1" thickBot="1" x14ac:dyDescent="0.3">
      <c r="A1716" s="991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7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  <c r="Q1716" s="2"/>
      <c r="R1716" s="2"/>
    </row>
    <row r="1717" spans="1:18" ht="19.5" hidden="1" thickBot="1" x14ac:dyDescent="0.3">
      <c r="A1717" s="990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7"/>
        <v>04,24</v>
      </c>
      <c r="L1717" s="82" t="s">
        <v>266</v>
      </c>
      <c r="M1717" s="82">
        <v>6350</v>
      </c>
      <c r="N1717" s="319">
        <v>0.375</v>
      </c>
      <c r="O1717" s="2"/>
      <c r="P1717" s="2"/>
      <c r="Q1717" s="2"/>
      <c r="R1717" s="2"/>
    </row>
    <row r="1718" spans="1:18" ht="19.5" hidden="1" thickBot="1" x14ac:dyDescent="0.3">
      <c r="A1718" s="990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7"/>
        <v>04,24</v>
      </c>
      <c r="L1718" s="90" t="s">
        <v>266</v>
      </c>
      <c r="M1718" s="90">
        <v>10980.96</v>
      </c>
      <c r="N1718" s="325">
        <v>0.375</v>
      </c>
      <c r="O1718" s="2"/>
      <c r="P1718" s="2"/>
      <c r="Q1718" s="2"/>
      <c r="R1718" s="2"/>
    </row>
    <row r="1719" spans="1:18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7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  <c r="Q1719" s="2"/>
      <c r="R1719" s="2"/>
    </row>
    <row r="1720" spans="1:18" ht="19.5" hidden="1" thickBot="1" x14ac:dyDescent="0.3">
      <c r="A1720" s="990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7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  <c r="Q1720" s="2"/>
      <c r="R1720" s="2"/>
    </row>
    <row r="1721" spans="1:18" ht="19.5" hidden="1" thickBot="1" x14ac:dyDescent="0.3">
      <c r="A1721" s="990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7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  <c r="Q1721" s="2"/>
      <c r="R1721" s="2"/>
    </row>
    <row r="1722" spans="1:18" ht="19.5" hidden="1" thickBot="1" x14ac:dyDescent="0.3">
      <c r="A1722" s="990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7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  <c r="Q1722" s="2"/>
      <c r="R1722" s="2"/>
    </row>
    <row r="1723" spans="1:18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8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  <c r="Q1723" s="2"/>
      <c r="R1723" s="2"/>
    </row>
    <row r="1724" spans="1:18" ht="19.5" hidden="1" thickBot="1" x14ac:dyDescent="0.3">
      <c r="A1724" s="990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8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  <c r="Q1724" s="2"/>
      <c r="R1724" s="2"/>
    </row>
    <row r="1725" spans="1:18" ht="19.5" hidden="1" thickBot="1" x14ac:dyDescent="0.3">
      <c r="A1725" s="990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8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  <c r="Q1725" s="2"/>
      <c r="R1725" s="2"/>
    </row>
    <row r="1726" spans="1:18" ht="19.5" hidden="1" thickBot="1" x14ac:dyDescent="0.3">
      <c r="A1726" s="991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8"/>
        <v>04,24</v>
      </c>
      <c r="L1726" s="48" t="s">
        <v>28</v>
      </c>
      <c r="M1726" s="48">
        <v>9619</v>
      </c>
      <c r="N1726" s="315">
        <v>0.375</v>
      </c>
      <c r="O1726" s="2"/>
      <c r="P1726" s="2"/>
      <c r="Q1726" s="2"/>
      <c r="R1726" s="2"/>
    </row>
    <row r="1727" spans="1:18" ht="19.5" hidden="1" thickBot="1" x14ac:dyDescent="0.3">
      <c r="A1727" s="991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8"/>
        <v>04,24</v>
      </c>
      <c r="L1727" s="71" t="s">
        <v>28</v>
      </c>
      <c r="M1727" s="71">
        <v>3722.96</v>
      </c>
      <c r="N1727" s="323">
        <v>0.375</v>
      </c>
      <c r="O1727" s="2"/>
      <c r="P1727" s="2"/>
      <c r="Q1727" s="2"/>
      <c r="R1727" s="2"/>
    </row>
    <row r="1728" spans="1:18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8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  <c r="Q1728" s="2"/>
      <c r="R1728" s="2"/>
    </row>
    <row r="1729" spans="1:18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8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  <c r="Q1729" s="2"/>
      <c r="R1729" s="2"/>
    </row>
    <row r="1730" spans="1:18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8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  <c r="Q1730" s="2"/>
      <c r="R1730" s="2"/>
    </row>
    <row r="1731" spans="1:18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8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  <c r="Q1731" s="2"/>
      <c r="R1731" s="2"/>
    </row>
    <row r="1732" spans="1:18" ht="19.5" hidden="1" thickBot="1" x14ac:dyDescent="0.3">
      <c r="A1732" s="990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8"/>
        <v>04,24</v>
      </c>
      <c r="L1732" s="82" t="s">
        <v>266</v>
      </c>
      <c r="M1732" s="82">
        <v>3625.95</v>
      </c>
      <c r="N1732" s="319">
        <v>0.5</v>
      </c>
      <c r="O1732" s="2"/>
      <c r="P1732" s="2"/>
      <c r="Q1732" s="2"/>
      <c r="R1732" s="2"/>
    </row>
    <row r="1733" spans="1:18" ht="19.5" hidden="1" thickBot="1" x14ac:dyDescent="0.3">
      <c r="A1733" s="990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8"/>
        <v>04,24</v>
      </c>
      <c r="L1733" s="98" t="s">
        <v>266</v>
      </c>
      <c r="M1733" s="98">
        <v>3058.42</v>
      </c>
      <c r="N1733" s="364">
        <v>0.5</v>
      </c>
      <c r="O1733" s="2"/>
      <c r="P1733" s="2"/>
      <c r="Q1733" s="2"/>
      <c r="R1733" s="2"/>
    </row>
    <row r="1734" spans="1:18" ht="19.5" hidden="1" thickBot="1" x14ac:dyDescent="0.3">
      <c r="A1734" s="990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8"/>
        <v>04,24</v>
      </c>
      <c r="L1734" s="98" t="s">
        <v>266</v>
      </c>
      <c r="M1734" s="98">
        <v>8019.6</v>
      </c>
      <c r="N1734" s="364">
        <v>0.5</v>
      </c>
      <c r="O1734" s="2"/>
      <c r="P1734" s="2"/>
      <c r="Q1734" s="2"/>
      <c r="R1734" s="2"/>
    </row>
    <row r="1735" spans="1:18" ht="19.5" hidden="1" thickBot="1" x14ac:dyDescent="0.3">
      <c r="A1735" s="990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8"/>
        <v>04,24</v>
      </c>
      <c r="L1735" s="90" t="s">
        <v>266</v>
      </c>
      <c r="M1735" s="90">
        <v>2884.69</v>
      </c>
      <c r="N1735" s="325">
        <v>0.5</v>
      </c>
      <c r="O1735" s="2"/>
      <c r="P1735" s="2"/>
      <c r="Q1735" s="2"/>
      <c r="R1735" s="2"/>
    </row>
    <row r="1736" spans="1:18" ht="19.5" hidden="1" thickBot="1" x14ac:dyDescent="0.3">
      <c r="A1736" s="111">
        <f t="shared" ref="A1736:A1742" si="29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8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  <c r="Q1736" s="2"/>
      <c r="R1736" s="2"/>
    </row>
    <row r="1737" spans="1:18" ht="19.5" hidden="1" thickBot="1" x14ac:dyDescent="0.3">
      <c r="A1737" s="110">
        <f t="shared" si="29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8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  <c r="Q1737" s="2"/>
      <c r="R1737" s="2"/>
    </row>
    <row r="1738" spans="1:18" ht="38.25" hidden="1" thickBot="1" x14ac:dyDescent="0.3">
      <c r="A1738" s="111">
        <f t="shared" si="29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8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  <c r="Q1738" s="2"/>
      <c r="R1738" s="2"/>
    </row>
    <row r="1739" spans="1:18" ht="57" hidden="1" thickBot="1" x14ac:dyDescent="0.3">
      <c r="A1739" s="110">
        <f t="shared" si="29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8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  <c r="Q1739" s="2"/>
      <c r="R1739" s="2"/>
    </row>
    <row r="1740" spans="1:18" ht="19.5" hidden="1" thickBot="1" x14ac:dyDescent="0.3">
      <c r="A1740" s="111">
        <f t="shared" si="29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8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  <c r="Q1740" s="2"/>
      <c r="R1740" s="2"/>
    </row>
    <row r="1741" spans="1:18" ht="19.5" hidden="1" thickBot="1" x14ac:dyDescent="0.3">
      <c r="A1741" s="110">
        <f t="shared" si="29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8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  <c r="Q1741" s="2"/>
      <c r="R1741" s="2"/>
    </row>
    <row r="1742" spans="1:18" ht="19.5" hidden="1" thickBot="1" x14ac:dyDescent="0.3">
      <c r="A1742" s="991">
        <f t="shared" si="29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8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  <c r="Q1742" s="2"/>
      <c r="R1742" s="2"/>
    </row>
    <row r="1743" spans="1:18" ht="19.5" hidden="1" thickBot="1" x14ac:dyDescent="0.3">
      <c r="A1743" s="991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8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  <c r="Q1743" s="2"/>
      <c r="R1743" s="2"/>
    </row>
    <row r="1744" spans="1:18" ht="19.5" hidden="1" thickBot="1" x14ac:dyDescent="0.3">
      <c r="A1744" s="990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8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  <c r="Q1744" s="2"/>
      <c r="R1744" s="2"/>
    </row>
    <row r="1745" spans="1:18" ht="19.5" hidden="1" thickBot="1" x14ac:dyDescent="0.3">
      <c r="A1745" s="990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8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  <c r="Q1745" s="2"/>
      <c r="R1745" s="2"/>
    </row>
    <row r="1746" spans="1:18" ht="19.5" hidden="1" thickBot="1" x14ac:dyDescent="0.3">
      <c r="A1746" s="991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8"/>
        <v>04,24</v>
      </c>
      <c r="L1746" s="48" t="s">
        <v>28</v>
      </c>
      <c r="M1746" s="48">
        <v>1410</v>
      </c>
      <c r="N1746" s="315">
        <v>0.5</v>
      </c>
      <c r="O1746" s="2"/>
      <c r="P1746" s="2"/>
      <c r="Q1746" s="2"/>
      <c r="R1746" s="2"/>
    </row>
    <row r="1747" spans="1:18" ht="19.5" hidden="1" thickBot="1" x14ac:dyDescent="0.3">
      <c r="A1747" s="991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8"/>
        <v>04,24</v>
      </c>
      <c r="L1747" s="71" t="s">
        <v>28</v>
      </c>
      <c r="M1747" s="71">
        <v>15895.54</v>
      </c>
      <c r="N1747" s="323">
        <v>0.5</v>
      </c>
      <c r="O1747" s="2"/>
      <c r="P1747" s="2"/>
      <c r="Q1747" s="2"/>
      <c r="R1747" s="2"/>
    </row>
    <row r="1748" spans="1:18" ht="19.5" hidden="1" thickBot="1" x14ac:dyDescent="0.3">
      <c r="A1748" s="990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8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  <c r="Q1748" s="2"/>
      <c r="R1748" s="2"/>
    </row>
    <row r="1749" spans="1:18" ht="19.5" hidden="1" thickBot="1" x14ac:dyDescent="0.3">
      <c r="A1749" s="990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8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  <c r="Q1749" s="2"/>
      <c r="R1749" s="2"/>
    </row>
    <row r="1750" spans="1:18" ht="19.5" hidden="1" customHeight="1" thickBot="1" x14ac:dyDescent="0.3">
      <c r="A1750" s="991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993" t="s">
        <v>72</v>
      </c>
      <c r="H1750" s="48" t="s">
        <v>432</v>
      </c>
      <c r="I1750" s="163" t="s">
        <v>432</v>
      </c>
      <c r="J1750" s="52"/>
      <c r="K1750" s="48" t="str">
        <f t="shared" si="28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  <c r="Q1750" s="2"/>
      <c r="R1750" s="2"/>
    </row>
    <row r="1751" spans="1:18" ht="19.5" hidden="1" thickBot="1" x14ac:dyDescent="0.3">
      <c r="A1751" s="991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993"/>
      <c r="H1751" s="23" t="s">
        <v>432</v>
      </c>
      <c r="I1751" s="180" t="s">
        <v>432</v>
      </c>
      <c r="J1751" s="387" t="s">
        <v>76</v>
      </c>
      <c r="K1751" s="23" t="str">
        <f t="shared" si="28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  <c r="Q1751" s="2"/>
      <c r="R1751" s="2"/>
    </row>
    <row r="1752" spans="1:18" ht="19.5" hidden="1" thickBot="1" x14ac:dyDescent="0.3">
      <c r="A1752" s="991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993"/>
      <c r="H1752" s="71" t="s">
        <v>432</v>
      </c>
      <c r="I1752" s="167" t="s">
        <v>432</v>
      </c>
      <c r="J1752" s="168"/>
      <c r="K1752" s="71" t="str">
        <f t="shared" si="28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  <c r="Q1752" s="2"/>
      <c r="R1752" s="2"/>
    </row>
    <row r="1753" spans="1:18" ht="19.5" hidden="1" thickBot="1" x14ac:dyDescent="0.3">
      <c r="A1753" s="990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8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  <c r="Q1753" s="2"/>
      <c r="R1753" s="2"/>
    </row>
    <row r="1754" spans="1:18" ht="19.5" hidden="1" thickBot="1" x14ac:dyDescent="0.3">
      <c r="A1754" s="990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8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  <c r="Q1754" s="2"/>
      <c r="R1754" s="2"/>
    </row>
    <row r="1755" spans="1:18" ht="19.5" hidden="1" thickBot="1" x14ac:dyDescent="0.3">
      <c r="A1755" s="991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8"/>
        <v>04,24</v>
      </c>
      <c r="L1755" s="48" t="s">
        <v>28</v>
      </c>
      <c r="M1755" s="48">
        <v>4173.76</v>
      </c>
      <c r="N1755" s="315">
        <v>0.375</v>
      </c>
      <c r="O1755" s="2"/>
      <c r="P1755" s="2"/>
      <c r="Q1755" s="2"/>
      <c r="R1755" s="2"/>
    </row>
    <row r="1756" spans="1:18" ht="19.5" hidden="1" thickBot="1" x14ac:dyDescent="0.3">
      <c r="A1756" s="991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8"/>
        <v>04,24</v>
      </c>
      <c r="L1756" s="23" t="s">
        <v>28</v>
      </c>
      <c r="M1756" s="23">
        <v>3430.48</v>
      </c>
      <c r="N1756" s="329">
        <v>0.375</v>
      </c>
      <c r="O1756" s="2"/>
      <c r="P1756" s="2"/>
      <c r="Q1756" s="2"/>
      <c r="R1756" s="2"/>
    </row>
    <row r="1757" spans="1:18" ht="19.5" hidden="1" thickBot="1" x14ac:dyDescent="0.3">
      <c r="A1757" s="991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8"/>
        <v>04,24</v>
      </c>
      <c r="L1757" s="71" t="s">
        <v>28</v>
      </c>
      <c r="M1757" s="71">
        <v>9920.64</v>
      </c>
      <c r="N1757" s="323">
        <v>0.375</v>
      </c>
      <c r="O1757" s="2"/>
      <c r="P1757" s="2"/>
      <c r="Q1757" s="2"/>
      <c r="R1757" s="2"/>
    </row>
    <row r="1758" spans="1:18" ht="19.5" hidden="1" thickBot="1" x14ac:dyDescent="0.3">
      <c r="A1758" s="990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8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  <c r="Q1758" s="2"/>
      <c r="R1758" s="2"/>
    </row>
    <row r="1759" spans="1:18" ht="19.5" hidden="1" thickBot="1" x14ac:dyDescent="0.3">
      <c r="A1759" s="990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8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  <c r="Q1759" s="2"/>
      <c r="R1759" s="2"/>
    </row>
    <row r="1760" spans="1:18" ht="19.5" hidden="1" thickBot="1" x14ac:dyDescent="0.3">
      <c r="A1760" s="991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8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  <c r="Q1760" s="2"/>
      <c r="R1760" s="2"/>
    </row>
    <row r="1761" spans="1:18" ht="19.5" hidden="1" thickBot="1" x14ac:dyDescent="0.3">
      <c r="A1761" s="991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8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  <c r="Q1761" s="2"/>
      <c r="R1761" s="2"/>
    </row>
    <row r="1762" spans="1:18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8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  <c r="Q1762" s="2"/>
      <c r="R1762" s="2"/>
    </row>
    <row r="1763" spans="1:18" ht="19.5" hidden="1" thickBot="1" x14ac:dyDescent="0.3">
      <c r="A1763" s="991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8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  <c r="Q1763" s="2"/>
      <c r="R1763" s="2"/>
    </row>
    <row r="1764" spans="1:18" ht="19.5" hidden="1" thickBot="1" x14ac:dyDescent="0.3">
      <c r="A1764" s="991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8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  <c r="Q1764" s="2"/>
      <c r="R1764" s="2"/>
    </row>
    <row r="1765" spans="1:18" ht="38.25" hidden="1" customHeight="1" thickBot="1" x14ac:dyDescent="0.3">
      <c r="A1765" s="990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992" t="s">
        <v>437</v>
      </c>
      <c r="H1765" s="82" t="s">
        <v>433</v>
      </c>
      <c r="I1765" s="147" t="s">
        <v>433</v>
      </c>
      <c r="J1765" s="86"/>
      <c r="K1765" s="82" t="str">
        <f t="shared" si="28"/>
        <v>04,24</v>
      </c>
      <c r="L1765" s="82" t="s">
        <v>28</v>
      </c>
      <c r="M1765" s="82">
        <v>4708.3</v>
      </c>
      <c r="N1765" s="319">
        <v>0.375</v>
      </c>
      <c r="O1765" s="2"/>
      <c r="P1765" s="2"/>
      <c r="Q1765" s="2"/>
      <c r="R1765" s="2"/>
    </row>
    <row r="1766" spans="1:18" ht="38.25" hidden="1" customHeight="1" thickBot="1" x14ac:dyDescent="0.3">
      <c r="A1766" s="990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992"/>
      <c r="H1766" s="90" t="s">
        <v>433</v>
      </c>
      <c r="I1766" s="172" t="s">
        <v>433</v>
      </c>
      <c r="J1766" s="173"/>
      <c r="K1766" s="90" t="str">
        <f t="shared" si="28"/>
        <v>04,24</v>
      </c>
      <c r="L1766" s="90" t="s">
        <v>28</v>
      </c>
      <c r="M1766" s="90">
        <v>8526.1</v>
      </c>
      <c r="N1766" s="325">
        <v>0.375</v>
      </c>
      <c r="O1766" s="2"/>
      <c r="P1766" s="2"/>
      <c r="Q1766" s="2"/>
      <c r="R1766" s="2"/>
    </row>
    <row r="1767" spans="1:18" ht="19.5" hidden="1" thickBot="1" x14ac:dyDescent="0.3">
      <c r="A1767" s="111">
        <f t="shared" ref="A1767:A1772" si="30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8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  <c r="Q1767" s="2"/>
      <c r="R1767" s="2"/>
    </row>
    <row r="1768" spans="1:18" ht="19.5" hidden="1" thickBot="1" x14ac:dyDescent="0.3">
      <c r="A1768" s="110">
        <f t="shared" si="30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8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  <c r="Q1768" s="2"/>
      <c r="R1768" s="2"/>
    </row>
    <row r="1769" spans="1:18" ht="19.5" hidden="1" thickBot="1" x14ac:dyDescent="0.3">
      <c r="A1769" s="111">
        <f t="shared" si="30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8"/>
        <v>04,24</v>
      </c>
      <c r="L1769" s="75" t="s">
        <v>266</v>
      </c>
      <c r="M1769" s="75">
        <v>18142.3</v>
      </c>
      <c r="N1769" s="322">
        <v>0.375</v>
      </c>
      <c r="O1769" s="2"/>
      <c r="P1769" s="2"/>
      <c r="Q1769" s="2"/>
      <c r="R1769" s="2"/>
    </row>
    <row r="1770" spans="1:18" ht="19.5" hidden="1" thickBot="1" x14ac:dyDescent="0.3">
      <c r="A1770" s="110">
        <f t="shared" si="30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8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  <c r="Q1770" s="2"/>
      <c r="R1770" s="2"/>
    </row>
    <row r="1771" spans="1:18" ht="19.5" hidden="1" thickBot="1" x14ac:dyDescent="0.3">
      <c r="A1771" s="111">
        <f t="shared" si="30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8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  <c r="Q1771" s="2"/>
      <c r="R1771" s="2"/>
    </row>
    <row r="1772" spans="1:18" ht="19.5" hidden="1" thickBot="1" x14ac:dyDescent="0.3">
      <c r="A1772" s="110">
        <f t="shared" si="30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8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  <c r="Q1772" s="2"/>
      <c r="R1772" s="2"/>
    </row>
    <row r="1773" spans="1:18" ht="19.5" hidden="1" thickBot="1" x14ac:dyDescent="0.3">
      <c r="A1773" s="991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8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  <c r="Q1773" s="2"/>
      <c r="R1773" s="2"/>
    </row>
    <row r="1774" spans="1:18" ht="19.5" hidden="1" thickBot="1" x14ac:dyDescent="0.3">
      <c r="A1774" s="991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8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  <c r="Q1774" s="2"/>
      <c r="R1774" s="2"/>
    </row>
    <row r="1775" spans="1:18" ht="19.5" hidden="1" thickBot="1" x14ac:dyDescent="0.3">
      <c r="A1775" s="991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8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  <c r="Q1775" s="2"/>
      <c r="R1775" s="2"/>
    </row>
    <row r="1776" spans="1:18" ht="19.5" hidden="1" thickBot="1" x14ac:dyDescent="0.3">
      <c r="A1776" s="991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8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  <c r="Q1776" s="2"/>
      <c r="R1776" s="2"/>
    </row>
    <row r="1777" spans="1:18" ht="19.5" hidden="1" thickBot="1" x14ac:dyDescent="0.3">
      <c r="A1777" s="991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8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  <c r="Q1777" s="2"/>
      <c r="R1777" s="2"/>
    </row>
    <row r="1778" spans="1:18" ht="19.5" hidden="1" thickBot="1" x14ac:dyDescent="0.3">
      <c r="A1778" s="991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8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  <c r="Q1778" s="2"/>
      <c r="R1778" s="2"/>
    </row>
    <row r="1779" spans="1:18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8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  <c r="Q1779" s="2"/>
      <c r="R1779" s="2"/>
    </row>
    <row r="1780" spans="1:18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8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  <c r="Q1780" s="2"/>
      <c r="R1780" s="2"/>
    </row>
    <row r="1781" spans="1:18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8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  <c r="Q1781" s="2"/>
      <c r="R1781" s="2"/>
    </row>
    <row r="1782" spans="1:18" ht="19.5" hidden="1" thickBot="1" x14ac:dyDescent="0.3">
      <c r="A1782" s="991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8"/>
        <v>04,24</v>
      </c>
      <c r="L1782" s="48" t="s">
        <v>28</v>
      </c>
      <c r="M1782" s="48">
        <v>1815</v>
      </c>
      <c r="N1782" s="315">
        <v>0.375</v>
      </c>
      <c r="O1782" s="2"/>
      <c r="P1782" s="2"/>
      <c r="Q1782" s="2"/>
      <c r="R1782" s="2"/>
    </row>
    <row r="1783" spans="1:18" ht="19.5" hidden="1" thickBot="1" x14ac:dyDescent="0.3">
      <c r="A1783" s="991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8"/>
        <v>04,24</v>
      </c>
      <c r="L1783" s="71" t="s">
        <v>28</v>
      </c>
      <c r="M1783" s="71">
        <v>15801.74</v>
      </c>
      <c r="N1783" s="323">
        <v>0.375</v>
      </c>
      <c r="O1783" s="2"/>
      <c r="P1783" s="2"/>
      <c r="Q1783" s="2"/>
      <c r="R1783" s="2"/>
    </row>
    <row r="1784" spans="1:18" ht="19.5" hidden="1" thickBot="1" x14ac:dyDescent="0.3">
      <c r="A1784" s="990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8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  <c r="Q1784" s="2"/>
      <c r="R1784" s="2"/>
    </row>
    <row r="1785" spans="1:18" ht="19.5" hidden="1" thickBot="1" x14ac:dyDescent="0.3">
      <c r="A1785" s="990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8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  <c r="Q1785" s="2"/>
      <c r="R1785" s="2"/>
    </row>
    <row r="1786" spans="1:18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8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  <c r="Q1786" s="2"/>
      <c r="R1786" s="2"/>
    </row>
    <row r="1787" spans="1:18" ht="19.5" hidden="1" thickBot="1" x14ac:dyDescent="0.3">
      <c r="A1787" s="990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1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  <c r="Q1787" s="2"/>
      <c r="R1787" s="2"/>
    </row>
    <row r="1788" spans="1:18" ht="19.5" hidden="1" thickBot="1" x14ac:dyDescent="0.3">
      <c r="A1788" s="990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1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  <c r="Q1788" s="2"/>
      <c r="R1788" s="2"/>
    </row>
    <row r="1789" spans="1:18" ht="19.5" hidden="1" thickBot="1" x14ac:dyDescent="0.3">
      <c r="A1789" s="990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1"/>
        <v>04,24</v>
      </c>
      <c r="L1789" s="90" t="s">
        <v>28</v>
      </c>
      <c r="M1789" s="90">
        <v>4732.2</v>
      </c>
      <c r="N1789" s="325">
        <v>0.5</v>
      </c>
      <c r="O1789" s="2"/>
      <c r="P1789" s="2"/>
      <c r="Q1789" s="2"/>
      <c r="R1789" s="2"/>
    </row>
    <row r="1790" spans="1:18" ht="19.5" hidden="1" thickBot="1" x14ac:dyDescent="0.3">
      <c r="A1790" s="111">
        <f t="shared" ref="A1790:A1795" si="32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1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  <c r="Q1790" s="2"/>
      <c r="R1790" s="2"/>
    </row>
    <row r="1791" spans="1:18" ht="19.5" hidden="1" thickBot="1" x14ac:dyDescent="0.3">
      <c r="A1791" s="110">
        <f t="shared" si="32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1"/>
        <v>04,24</v>
      </c>
      <c r="L1791" s="40" t="s">
        <v>265</v>
      </c>
      <c r="M1791" s="40">
        <v>13060.76</v>
      </c>
      <c r="N1791" s="317">
        <v>0.375</v>
      </c>
      <c r="O1791" s="2"/>
      <c r="P1791" s="2"/>
      <c r="Q1791" s="2"/>
      <c r="R1791" s="2"/>
    </row>
    <row r="1792" spans="1:18" ht="38.25" hidden="1" thickBot="1" x14ac:dyDescent="0.3">
      <c r="A1792" s="111">
        <f t="shared" si="32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1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  <c r="Q1792" s="2"/>
      <c r="R1792" s="2"/>
    </row>
    <row r="1793" spans="1:18" ht="19.5" hidden="1" thickBot="1" x14ac:dyDescent="0.3">
      <c r="A1793" s="110">
        <f t="shared" si="32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1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  <c r="Q1793" s="2"/>
      <c r="R1793" s="2"/>
    </row>
    <row r="1794" spans="1:18" ht="38.25" hidden="1" thickBot="1" x14ac:dyDescent="0.3">
      <c r="A1794" s="111">
        <f t="shared" si="32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1"/>
        <v>04,24</v>
      </c>
      <c r="L1794" s="75" t="s">
        <v>28</v>
      </c>
      <c r="M1794" s="75">
        <v>17520.48</v>
      </c>
      <c r="N1794" s="322">
        <v>0.375</v>
      </c>
      <c r="O1794" s="2"/>
      <c r="P1794" s="2"/>
      <c r="Q1794" s="2"/>
      <c r="R1794" s="2"/>
    </row>
    <row r="1795" spans="1:18" ht="19.5" hidden="1" thickBot="1" x14ac:dyDescent="0.3">
      <c r="A1795" s="990">
        <f t="shared" si="32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1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  <c r="Q1795" s="2"/>
      <c r="R1795" s="2"/>
    </row>
    <row r="1796" spans="1:18" ht="19.5" hidden="1" thickBot="1" x14ac:dyDescent="0.3">
      <c r="A1796" s="990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1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  <c r="Q1796" s="2"/>
      <c r="R1796" s="2"/>
    </row>
    <row r="1797" spans="1:18" ht="19.5" hidden="1" thickBot="1" x14ac:dyDescent="0.3">
      <c r="A1797" s="111">
        <f t="shared" ref="A1797:A1802" si="33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1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  <c r="Q1797" s="2"/>
      <c r="R1797" s="2"/>
    </row>
    <row r="1798" spans="1:18" ht="19.5" hidden="1" thickBot="1" x14ac:dyDescent="0.3">
      <c r="A1798" s="110">
        <f t="shared" si="33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1"/>
        <v>05,24</v>
      </c>
      <c r="L1798" s="40" t="s">
        <v>28</v>
      </c>
      <c r="M1798" s="40">
        <v>17180.8</v>
      </c>
      <c r="N1798" s="317">
        <v>0.5</v>
      </c>
      <c r="O1798" s="2"/>
      <c r="P1798" s="2"/>
      <c r="Q1798" s="2"/>
      <c r="R1798" s="2"/>
    </row>
    <row r="1799" spans="1:18" ht="19.5" hidden="1" thickBot="1" x14ac:dyDescent="0.3">
      <c r="A1799" s="111">
        <f t="shared" si="33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1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  <c r="Q1799" s="2"/>
      <c r="R1799" s="2"/>
    </row>
    <row r="1800" spans="1:18" ht="19.5" hidden="1" thickBot="1" x14ac:dyDescent="0.3">
      <c r="A1800" s="110">
        <f t="shared" si="33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1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  <c r="Q1800" s="2"/>
      <c r="R1800" s="2"/>
    </row>
    <row r="1801" spans="1:18" ht="19.5" hidden="1" thickBot="1" x14ac:dyDescent="0.3">
      <c r="A1801" s="111">
        <f t="shared" si="33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1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  <c r="Q1801" s="2"/>
      <c r="R1801" s="2"/>
    </row>
    <row r="1802" spans="1:18" ht="19.5" hidden="1" thickBot="1" x14ac:dyDescent="0.3">
      <c r="A1802" s="990">
        <f t="shared" si="33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1"/>
        <v>04,24</v>
      </c>
      <c r="L1802" s="82" t="s">
        <v>28</v>
      </c>
      <c r="M1802" s="82">
        <v>8512.14</v>
      </c>
      <c r="N1802" s="319">
        <v>0.375</v>
      </c>
      <c r="O1802" s="2"/>
      <c r="P1802" s="2"/>
      <c r="Q1802" s="2"/>
      <c r="R1802" s="2"/>
    </row>
    <row r="1803" spans="1:18" ht="19.5" hidden="1" thickBot="1" x14ac:dyDescent="0.3">
      <c r="A1803" s="990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1"/>
        <v>04,24</v>
      </c>
      <c r="L1803" s="98" t="s">
        <v>28</v>
      </c>
      <c r="M1803" s="98">
        <v>1485.66</v>
      </c>
      <c r="N1803" s="364">
        <v>0.375</v>
      </c>
      <c r="O1803" s="2"/>
      <c r="P1803" s="2"/>
      <c r="Q1803" s="2"/>
      <c r="R1803" s="2"/>
    </row>
    <row r="1804" spans="1:18" ht="19.5" hidden="1" thickBot="1" x14ac:dyDescent="0.3">
      <c r="A1804" s="990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1"/>
        <v>04,24</v>
      </c>
      <c r="L1804" s="90" t="s">
        <v>28</v>
      </c>
      <c r="M1804" s="90">
        <v>3444.72</v>
      </c>
      <c r="N1804" s="325">
        <v>0.375</v>
      </c>
      <c r="O1804" s="2"/>
      <c r="P1804" s="2"/>
      <c r="Q1804" s="2"/>
      <c r="R1804" s="2"/>
    </row>
    <row r="1805" spans="1:18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1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  <c r="Q1805" s="2"/>
      <c r="R1805" s="2"/>
    </row>
    <row r="1806" spans="1:18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1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  <c r="Q1806" s="2"/>
      <c r="R1806" s="2"/>
    </row>
    <row r="1807" spans="1:18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1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  <c r="Q1807" s="2"/>
      <c r="R1807" s="2"/>
    </row>
    <row r="1808" spans="1:18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1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  <c r="Q1808" s="2"/>
      <c r="R1808" s="2"/>
    </row>
    <row r="1809" spans="1:18" ht="19.5" hidden="1" thickBot="1" x14ac:dyDescent="0.3">
      <c r="A1809" s="991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1"/>
        <v>05,24</v>
      </c>
      <c r="L1809" s="48" t="s">
        <v>266</v>
      </c>
      <c r="M1809" s="48">
        <v>1500</v>
      </c>
      <c r="N1809" s="315">
        <v>0.5</v>
      </c>
      <c r="O1809" s="2"/>
      <c r="P1809" s="2"/>
      <c r="Q1809" s="2"/>
      <c r="R1809" s="2"/>
    </row>
    <row r="1810" spans="1:18" ht="19.5" hidden="1" thickBot="1" x14ac:dyDescent="0.3">
      <c r="A1810" s="991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1"/>
        <v>05,24</v>
      </c>
      <c r="L1810" s="23" t="s">
        <v>266</v>
      </c>
      <c r="M1810" s="23">
        <v>4028.1</v>
      </c>
      <c r="N1810" s="329">
        <v>0.5</v>
      </c>
      <c r="O1810" s="2"/>
      <c r="P1810" s="2"/>
      <c r="Q1810" s="2"/>
      <c r="R1810" s="2"/>
    </row>
    <row r="1811" spans="1:18" ht="19.5" hidden="1" thickBot="1" x14ac:dyDescent="0.3">
      <c r="A1811" s="991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1"/>
        <v>05,24</v>
      </c>
      <c r="L1811" s="23" t="s">
        <v>266</v>
      </c>
      <c r="M1811" s="23">
        <v>1761.04</v>
      </c>
      <c r="N1811" s="329">
        <v>0.5</v>
      </c>
      <c r="O1811" s="2"/>
      <c r="P1811" s="2"/>
      <c r="Q1811" s="2"/>
      <c r="R1811" s="2"/>
    </row>
    <row r="1812" spans="1:18" ht="19.5" hidden="1" thickBot="1" x14ac:dyDescent="0.3">
      <c r="A1812" s="991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1"/>
        <v>05,24</v>
      </c>
      <c r="L1812" s="23" t="s">
        <v>266</v>
      </c>
      <c r="M1812" s="23">
        <v>3909.66</v>
      </c>
      <c r="N1812" s="329">
        <v>0.5</v>
      </c>
      <c r="O1812" s="2"/>
      <c r="P1812" s="2"/>
      <c r="Q1812" s="2"/>
      <c r="R1812" s="2"/>
    </row>
    <row r="1813" spans="1:18" ht="19.5" hidden="1" thickBot="1" x14ac:dyDescent="0.3">
      <c r="A1813" s="991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1"/>
        <v>05,24</v>
      </c>
      <c r="L1813" s="23" t="s">
        <v>266</v>
      </c>
      <c r="M1813" s="23">
        <v>2958.66</v>
      </c>
      <c r="N1813" s="329">
        <v>0.5</v>
      </c>
      <c r="O1813" s="2"/>
      <c r="P1813" s="2"/>
      <c r="Q1813" s="2"/>
      <c r="R1813" s="2"/>
    </row>
    <row r="1814" spans="1:18" ht="19.5" hidden="1" thickBot="1" x14ac:dyDescent="0.3">
      <c r="A1814" s="991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1"/>
        <v>05,24</v>
      </c>
      <c r="L1814" s="71" t="s">
        <v>266</v>
      </c>
      <c r="M1814" s="71">
        <v>3294.16</v>
      </c>
      <c r="N1814" s="323">
        <v>0.5</v>
      </c>
      <c r="O1814" s="2"/>
      <c r="P1814" s="2"/>
      <c r="Q1814" s="2"/>
      <c r="R1814" s="2"/>
    </row>
    <row r="1815" spans="1:18" ht="19.5" hidden="1" thickBot="1" x14ac:dyDescent="0.3">
      <c r="A1815" s="110">
        <f t="shared" ref="A1815:A1821" si="34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1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  <c r="Q1815" s="2"/>
      <c r="R1815" s="2"/>
    </row>
    <row r="1816" spans="1:18" ht="19.5" hidden="1" thickBot="1" x14ac:dyDescent="0.3">
      <c r="A1816" s="111">
        <f t="shared" si="34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1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  <c r="Q1816" s="2"/>
      <c r="R1816" s="2"/>
    </row>
    <row r="1817" spans="1:18" ht="19.5" hidden="1" thickBot="1" x14ac:dyDescent="0.3">
      <c r="A1817" s="110">
        <f t="shared" si="34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1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  <c r="Q1817" s="2"/>
      <c r="R1817" s="2"/>
    </row>
    <row r="1818" spans="1:18" ht="19.5" hidden="1" thickBot="1" x14ac:dyDescent="0.3">
      <c r="A1818" s="111">
        <f t="shared" si="34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1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  <c r="Q1818" s="2"/>
      <c r="R1818" s="2"/>
    </row>
    <row r="1819" spans="1:18" ht="19.5" hidden="1" thickBot="1" x14ac:dyDescent="0.3">
      <c r="A1819" s="110">
        <f t="shared" si="34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1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  <c r="Q1819" s="2"/>
      <c r="R1819" s="2"/>
    </row>
    <row r="1820" spans="1:18" ht="19.5" hidden="1" thickBot="1" x14ac:dyDescent="0.3">
      <c r="A1820" s="111">
        <f t="shared" si="34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1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  <c r="Q1820" s="2"/>
      <c r="R1820" s="2"/>
    </row>
    <row r="1821" spans="1:18" ht="19.5" hidden="1" thickBot="1" x14ac:dyDescent="0.3">
      <c r="A1821" s="990">
        <f t="shared" si="34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1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  <c r="Q1821" s="2"/>
      <c r="R1821" s="2"/>
    </row>
    <row r="1822" spans="1:18" ht="19.5" hidden="1" thickBot="1" x14ac:dyDescent="0.3">
      <c r="A1822" s="990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1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  <c r="Q1822" s="2"/>
      <c r="R1822" s="2"/>
    </row>
    <row r="1823" spans="1:18" ht="19.5" hidden="1" thickBot="1" x14ac:dyDescent="0.3">
      <c r="A1823" s="991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1"/>
        <v>05,24</v>
      </c>
      <c r="L1823" s="48" t="s">
        <v>28</v>
      </c>
      <c r="M1823" s="48">
        <v>5687.64</v>
      </c>
      <c r="N1823" s="315">
        <v>0.5</v>
      </c>
      <c r="O1823" s="2"/>
      <c r="P1823" s="2"/>
      <c r="Q1823" s="2"/>
      <c r="R1823" s="2"/>
    </row>
    <row r="1824" spans="1:18" ht="19.5" hidden="1" thickBot="1" x14ac:dyDescent="0.3">
      <c r="A1824" s="991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1"/>
        <v>05,24</v>
      </c>
      <c r="L1824" s="23" t="s">
        <v>28</v>
      </c>
      <c r="M1824" s="23">
        <v>3937.8</v>
      </c>
      <c r="N1824" s="329">
        <v>0.5</v>
      </c>
      <c r="O1824" s="2"/>
      <c r="P1824" s="2"/>
      <c r="Q1824" s="2"/>
      <c r="R1824" s="2"/>
    </row>
    <row r="1825" spans="1:18" ht="19.5" hidden="1" thickBot="1" x14ac:dyDescent="0.3">
      <c r="A1825" s="991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1"/>
        <v>05,24</v>
      </c>
      <c r="L1825" s="71" t="s">
        <v>28</v>
      </c>
      <c r="M1825" s="71">
        <v>7815</v>
      </c>
      <c r="N1825" s="323">
        <v>0.5</v>
      </c>
      <c r="O1825" s="2"/>
      <c r="P1825" s="2"/>
      <c r="Q1825" s="2"/>
      <c r="R1825" s="2"/>
    </row>
    <row r="1826" spans="1:18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1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  <c r="Q1826" s="2"/>
      <c r="R1826" s="2"/>
    </row>
    <row r="1827" spans="1:18" ht="18.75" hidden="1" customHeight="1" thickBot="1" x14ac:dyDescent="0.3">
      <c r="A1827" s="991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993" t="s">
        <v>72</v>
      </c>
      <c r="H1827" s="48" t="s">
        <v>448</v>
      </c>
      <c r="I1827" s="163" t="s">
        <v>448</v>
      </c>
      <c r="J1827" s="52"/>
      <c r="K1827" s="48" t="str">
        <f t="shared" si="31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  <c r="Q1827" s="2"/>
      <c r="R1827" s="2"/>
    </row>
    <row r="1828" spans="1:18" ht="19.5" hidden="1" thickBot="1" x14ac:dyDescent="0.3">
      <c r="A1828" s="991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993"/>
      <c r="H1828" s="71" t="s">
        <v>448</v>
      </c>
      <c r="I1828" s="167" t="s">
        <v>448</v>
      </c>
      <c r="J1828" s="168"/>
      <c r="K1828" s="71" t="str">
        <f t="shared" si="31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  <c r="Q1828" s="2"/>
      <c r="R1828" s="2"/>
    </row>
    <row r="1829" spans="1:18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1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  <c r="Q1829" s="2"/>
      <c r="R1829" s="2"/>
    </row>
    <row r="1830" spans="1:18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1"/>
        <v>05,24</v>
      </c>
      <c r="L1830" s="75" t="s">
        <v>266</v>
      </c>
      <c r="M1830" s="75">
        <v>17841.55</v>
      </c>
      <c r="N1830" s="322">
        <v>0.5</v>
      </c>
      <c r="O1830" s="2"/>
      <c r="P1830" s="2"/>
      <c r="Q1830" s="2"/>
      <c r="R1830" s="2"/>
    </row>
    <row r="1831" spans="1:18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1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  <c r="Q1831" s="2"/>
      <c r="R1831" s="2"/>
    </row>
    <row r="1832" spans="1:18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1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  <c r="Q1832" s="2"/>
      <c r="R1832" s="2"/>
    </row>
    <row r="1833" spans="1:18" ht="19.5" hidden="1" thickBot="1" x14ac:dyDescent="0.3">
      <c r="A1833" s="990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1"/>
        <v>05,24</v>
      </c>
      <c r="L1833" s="82" t="s">
        <v>28</v>
      </c>
      <c r="M1833" s="82">
        <v>2432.66</v>
      </c>
      <c r="N1833" s="319">
        <v>0.375</v>
      </c>
      <c r="O1833" s="2"/>
      <c r="P1833" s="2"/>
      <c r="Q1833" s="2"/>
      <c r="R1833" s="2"/>
    </row>
    <row r="1834" spans="1:18" ht="19.5" hidden="1" thickBot="1" x14ac:dyDescent="0.3">
      <c r="A1834" s="990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1"/>
        <v>05,24</v>
      </c>
      <c r="L1834" s="98" t="s">
        <v>28</v>
      </c>
      <c r="M1834" s="98">
        <v>4875.04</v>
      </c>
      <c r="N1834" s="364">
        <v>0.375</v>
      </c>
      <c r="O1834" s="2"/>
      <c r="P1834" s="2"/>
      <c r="Q1834" s="2"/>
      <c r="R1834" s="2"/>
    </row>
    <row r="1835" spans="1:18" ht="19.5" hidden="1" thickBot="1" x14ac:dyDescent="0.3">
      <c r="A1835" s="990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1"/>
        <v>05,24</v>
      </c>
      <c r="L1835" s="90" t="s">
        <v>28</v>
      </c>
      <c r="M1835" s="90">
        <v>10265.34</v>
      </c>
      <c r="N1835" s="325">
        <v>0.375</v>
      </c>
      <c r="O1835" s="2"/>
      <c r="P1835" s="2"/>
      <c r="Q1835" s="2"/>
      <c r="R1835" s="2"/>
    </row>
    <row r="1836" spans="1:18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1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  <c r="Q1836" s="2"/>
      <c r="R1836" s="2"/>
    </row>
    <row r="1837" spans="1:18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1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  <c r="Q1837" s="2"/>
      <c r="R1837" s="2"/>
    </row>
    <row r="1838" spans="1:18" ht="19.5" hidden="1" thickBot="1" x14ac:dyDescent="0.3">
      <c r="A1838" s="991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1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  <c r="Q1838" s="2"/>
      <c r="R1838" s="2"/>
    </row>
    <row r="1839" spans="1:18" ht="19.5" hidden="1" thickBot="1" x14ac:dyDescent="0.3">
      <c r="A1839" s="991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1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  <c r="Q1839" s="2"/>
      <c r="R1839" s="2"/>
    </row>
    <row r="1840" spans="1:18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1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  <c r="Q1840" s="2"/>
      <c r="R1840" s="2"/>
    </row>
    <row r="1841" spans="1:18" ht="19.5" hidden="1" thickBot="1" x14ac:dyDescent="0.3">
      <c r="A1841" s="991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1"/>
        <v>05,24</v>
      </c>
      <c r="L1841" s="48" t="s">
        <v>28</v>
      </c>
      <c r="M1841" s="48">
        <v>6834.48</v>
      </c>
      <c r="N1841" s="315">
        <v>0.375</v>
      </c>
      <c r="O1841" s="2"/>
      <c r="P1841" s="2"/>
      <c r="Q1841" s="2"/>
      <c r="R1841" s="2"/>
    </row>
    <row r="1842" spans="1:18" ht="19.5" hidden="1" thickBot="1" x14ac:dyDescent="0.3">
      <c r="A1842" s="991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1"/>
        <v>05,24</v>
      </c>
      <c r="L1842" s="23" t="s">
        <v>28</v>
      </c>
      <c r="M1842" s="23">
        <v>2239.42</v>
      </c>
      <c r="N1842" s="329">
        <v>0.375</v>
      </c>
      <c r="O1842" s="2"/>
      <c r="P1842" s="2"/>
      <c r="Q1842" s="2"/>
      <c r="R1842" s="2"/>
    </row>
    <row r="1843" spans="1:18" ht="19.5" hidden="1" thickBot="1" x14ac:dyDescent="0.3">
      <c r="A1843" s="991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1"/>
        <v>05,24</v>
      </c>
      <c r="L1843" s="71" t="s">
        <v>28</v>
      </c>
      <c r="M1843" s="71">
        <v>4018.48</v>
      </c>
      <c r="N1843" s="323">
        <v>0.375</v>
      </c>
      <c r="O1843" s="2"/>
      <c r="P1843" s="2"/>
      <c r="Q1843" s="2"/>
      <c r="R1843" s="2"/>
    </row>
    <row r="1844" spans="1:18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1"/>
        <v>05,24</v>
      </c>
      <c r="L1844" s="40" t="s">
        <v>266</v>
      </c>
      <c r="M1844" s="40">
        <v>6115.78</v>
      </c>
      <c r="N1844" s="317">
        <v>0.5</v>
      </c>
      <c r="O1844" s="2"/>
      <c r="P1844" s="2"/>
      <c r="Q1844" s="2"/>
      <c r="R1844" s="2"/>
    </row>
    <row r="1845" spans="1:18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1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  <c r="Q1845" s="2"/>
      <c r="R1845" s="2"/>
    </row>
    <row r="1846" spans="1:18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1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  <c r="Q1846" s="2"/>
      <c r="R1846" s="2"/>
    </row>
    <row r="1847" spans="1:18" ht="19.5" hidden="1" thickBot="1" x14ac:dyDescent="0.3">
      <c r="A1847" s="991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1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  <c r="Q1847" s="2"/>
      <c r="R1847" s="2"/>
    </row>
    <row r="1848" spans="1:18" ht="19.5" hidden="1" thickBot="1" x14ac:dyDescent="0.3">
      <c r="A1848" s="991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1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  <c r="Q1848" s="2"/>
      <c r="R1848" s="2"/>
    </row>
    <row r="1849" spans="1:18" ht="19.5" hidden="1" thickBot="1" x14ac:dyDescent="0.3">
      <c r="A1849" s="991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1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  <c r="Q1849" s="2"/>
      <c r="R1849" s="2"/>
    </row>
    <row r="1850" spans="1:18" ht="19.5" hidden="1" thickBot="1" x14ac:dyDescent="0.3">
      <c r="A1850" s="991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1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  <c r="Q1850" s="2"/>
      <c r="R1850" s="2"/>
    </row>
    <row r="1851" spans="1:18" ht="19.5" hidden="1" thickBot="1" x14ac:dyDescent="0.3">
      <c r="A1851" s="991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5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  <c r="Q1851" s="2"/>
      <c r="R1851" s="2"/>
    </row>
    <row r="1852" spans="1:18" ht="19.5" hidden="1" thickBot="1" x14ac:dyDescent="0.3">
      <c r="A1852" s="991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5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  <c r="Q1852" s="2"/>
      <c r="R1852" s="2"/>
    </row>
    <row r="1853" spans="1:18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5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  <c r="Q1853" s="2"/>
      <c r="R1853" s="2"/>
    </row>
    <row r="1854" spans="1:18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5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  <c r="Q1854" s="2"/>
      <c r="R1854" s="2"/>
    </row>
    <row r="1855" spans="1:18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5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  <c r="Q1855" s="2"/>
      <c r="R1855" s="2"/>
    </row>
    <row r="1856" spans="1:18" ht="19.5" hidden="1" thickBot="1" x14ac:dyDescent="0.3">
      <c r="A1856" s="991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5"/>
        <v>05,24</v>
      </c>
      <c r="L1856" s="48" t="s">
        <v>28</v>
      </c>
      <c r="M1856" s="48">
        <v>6883.31</v>
      </c>
      <c r="N1856" s="315">
        <v>0.375</v>
      </c>
      <c r="O1856" s="2"/>
      <c r="P1856" s="2"/>
      <c r="Q1856" s="2"/>
      <c r="R1856" s="2"/>
    </row>
    <row r="1857" spans="1:18" ht="19.5" hidden="1" thickBot="1" x14ac:dyDescent="0.3">
      <c r="A1857" s="991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5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  <c r="Q1857" s="2"/>
      <c r="R1857" s="2"/>
    </row>
    <row r="1858" spans="1:18" ht="19.5" hidden="1" thickBot="1" x14ac:dyDescent="0.3">
      <c r="A1858" s="991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5"/>
        <v>05,24</v>
      </c>
      <c r="L1858" s="71" t="s">
        <v>28</v>
      </c>
      <c r="M1858" s="71">
        <v>1681.05</v>
      </c>
      <c r="N1858" s="323">
        <v>0.375</v>
      </c>
      <c r="O1858" s="2"/>
      <c r="P1858" s="2"/>
      <c r="Q1858" s="2"/>
      <c r="R1858" s="2"/>
    </row>
    <row r="1859" spans="1:18" ht="19.5" hidden="1" thickBot="1" x14ac:dyDescent="0.3">
      <c r="A1859" s="990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5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  <c r="Q1859" s="2"/>
      <c r="R1859" s="2"/>
    </row>
    <row r="1860" spans="1:18" ht="19.5" hidden="1" thickBot="1" x14ac:dyDescent="0.3">
      <c r="A1860" s="990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5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  <c r="Q1860" s="2"/>
      <c r="R1860" s="2"/>
    </row>
    <row r="1861" spans="1:18" ht="19.5" hidden="1" customHeight="1" thickBot="1" x14ac:dyDescent="0.3">
      <c r="A1861" s="991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993" t="s">
        <v>72</v>
      </c>
      <c r="H1861" s="48" t="s">
        <v>454</v>
      </c>
      <c r="I1861" s="163" t="s">
        <v>454</v>
      </c>
      <c r="J1861" s="52"/>
      <c r="K1861" s="48" t="str">
        <f t="shared" si="35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  <c r="Q1861" s="2"/>
      <c r="R1861" s="2"/>
    </row>
    <row r="1862" spans="1:18" ht="19.5" hidden="1" thickBot="1" x14ac:dyDescent="0.3">
      <c r="A1862" s="991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993"/>
      <c r="H1862" s="71" t="s">
        <v>454</v>
      </c>
      <c r="I1862" s="167" t="s">
        <v>454</v>
      </c>
      <c r="J1862" s="168"/>
      <c r="K1862" s="71" t="str">
        <f t="shared" si="35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  <c r="Q1862" s="2"/>
      <c r="R1862" s="2"/>
    </row>
    <row r="1863" spans="1:18" ht="19.5" hidden="1" thickBot="1" x14ac:dyDescent="0.3">
      <c r="A1863" s="990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5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  <c r="Q1863" s="2"/>
      <c r="R1863" s="2"/>
    </row>
    <row r="1864" spans="1:18" ht="19.5" hidden="1" thickBot="1" x14ac:dyDescent="0.3">
      <c r="A1864" s="990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5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  <c r="Q1864" s="2"/>
      <c r="R1864" s="2"/>
    </row>
    <row r="1865" spans="1:18" ht="19.5" hidden="1" thickBot="1" x14ac:dyDescent="0.3">
      <c r="A1865" s="991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5"/>
        <v>05,24</v>
      </c>
      <c r="L1865" s="48" t="s">
        <v>28</v>
      </c>
      <c r="M1865" s="48">
        <v>5369.72</v>
      </c>
      <c r="N1865" s="315">
        <v>0.375</v>
      </c>
      <c r="O1865" s="2"/>
      <c r="P1865" s="2"/>
      <c r="Q1865" s="2"/>
      <c r="R1865" s="2"/>
    </row>
    <row r="1866" spans="1:18" ht="19.5" hidden="1" thickBot="1" x14ac:dyDescent="0.3">
      <c r="A1866" s="991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5"/>
        <v>05,24</v>
      </c>
      <c r="L1866" s="71" t="s">
        <v>28</v>
      </c>
      <c r="M1866" s="71">
        <v>11957.3</v>
      </c>
      <c r="N1866" s="323">
        <v>0.375</v>
      </c>
      <c r="O1866" s="2"/>
      <c r="P1866" s="2"/>
      <c r="Q1866" s="2"/>
      <c r="R1866" s="2"/>
    </row>
    <row r="1867" spans="1:18" ht="19.5" hidden="1" thickBot="1" x14ac:dyDescent="0.3">
      <c r="A1867" s="990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5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  <c r="Q1867" s="2"/>
      <c r="R1867" s="2"/>
    </row>
    <row r="1868" spans="1:18" ht="19.5" hidden="1" thickBot="1" x14ac:dyDescent="0.3">
      <c r="A1868" s="990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5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  <c r="Q1868" s="2"/>
      <c r="R1868" s="2"/>
    </row>
    <row r="1869" spans="1:18" ht="19.5" hidden="1" thickBot="1" x14ac:dyDescent="0.3">
      <c r="A1869" s="990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5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  <c r="Q1869" s="2"/>
      <c r="R1869" s="2"/>
    </row>
    <row r="1870" spans="1:18" ht="19.5" hidden="1" thickBot="1" x14ac:dyDescent="0.3">
      <c r="A1870" s="991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5"/>
        <v>05,24</v>
      </c>
      <c r="L1870" s="48" t="s">
        <v>28</v>
      </c>
      <c r="M1870" s="48">
        <v>1666.7</v>
      </c>
      <c r="N1870" s="315">
        <v>0.375</v>
      </c>
      <c r="O1870" s="2"/>
      <c r="P1870" s="2"/>
      <c r="Q1870" s="2"/>
      <c r="R1870" s="2"/>
    </row>
    <row r="1871" spans="1:18" ht="19.5" hidden="1" thickBot="1" x14ac:dyDescent="0.3">
      <c r="A1871" s="991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5"/>
        <v>05,24</v>
      </c>
      <c r="L1871" s="23" t="s">
        <v>28</v>
      </c>
      <c r="M1871" s="23">
        <v>478.28</v>
      </c>
      <c r="N1871" s="329">
        <v>0.375</v>
      </c>
      <c r="O1871" s="2"/>
      <c r="P1871" s="2"/>
      <c r="Q1871" s="2"/>
      <c r="R1871" s="2"/>
    </row>
    <row r="1872" spans="1:18" ht="19.5" hidden="1" thickBot="1" x14ac:dyDescent="0.3">
      <c r="A1872" s="991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5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  <c r="Q1872" s="2"/>
      <c r="R1872" s="2"/>
    </row>
    <row r="1873" spans="1:18" ht="19.5" hidden="1" thickBot="1" x14ac:dyDescent="0.3">
      <c r="A1873" s="991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5"/>
        <v>05,24</v>
      </c>
      <c r="L1873" s="71" t="s">
        <v>28</v>
      </c>
      <c r="M1873" s="71">
        <v>3923.6</v>
      </c>
      <c r="N1873" s="323">
        <v>0.375</v>
      </c>
      <c r="O1873" s="2"/>
      <c r="P1873" s="2"/>
      <c r="Q1873" s="2"/>
      <c r="R1873" s="2"/>
    </row>
    <row r="1874" spans="1:18" ht="19.5" hidden="1" thickBot="1" x14ac:dyDescent="0.3">
      <c r="A1874" s="110">
        <f t="shared" ref="A1874:A1879" si="36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5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  <c r="Q1874" s="2"/>
      <c r="R1874" s="2"/>
    </row>
    <row r="1875" spans="1:18" ht="19.5" hidden="1" thickBot="1" x14ac:dyDescent="0.3">
      <c r="A1875" s="111">
        <f t="shared" si="36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5"/>
        <v>05,24</v>
      </c>
      <c r="L1875" s="75" t="s">
        <v>266</v>
      </c>
      <c r="M1875" s="75">
        <v>16092.34</v>
      </c>
      <c r="N1875" s="322">
        <v>0.5</v>
      </c>
      <c r="O1875" s="2"/>
      <c r="P1875" s="2"/>
      <c r="Q1875" s="2"/>
      <c r="R1875" s="2"/>
    </row>
    <row r="1876" spans="1:18" ht="19.5" hidden="1" thickBot="1" x14ac:dyDescent="0.3">
      <c r="A1876" s="110">
        <f t="shared" si="36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5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  <c r="Q1876" s="2"/>
      <c r="R1876" s="2"/>
    </row>
    <row r="1877" spans="1:18" ht="19.5" hidden="1" thickBot="1" x14ac:dyDescent="0.3">
      <c r="A1877" s="111">
        <f t="shared" si="36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5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  <c r="Q1877" s="2"/>
      <c r="R1877" s="2"/>
    </row>
    <row r="1878" spans="1:18" ht="19.5" hidden="1" thickBot="1" x14ac:dyDescent="0.3">
      <c r="A1878" s="110">
        <f t="shared" si="36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5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  <c r="Q1878" s="2"/>
      <c r="R1878" s="2"/>
    </row>
    <row r="1879" spans="1:18" ht="19.5" hidden="1" thickBot="1" x14ac:dyDescent="0.3">
      <c r="A1879" s="991">
        <f t="shared" si="36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5"/>
        <v>05,24</v>
      </c>
      <c r="L1879" s="48" t="s">
        <v>266</v>
      </c>
      <c r="M1879" s="48">
        <v>4736.32</v>
      </c>
      <c r="N1879" s="315">
        <v>0.5</v>
      </c>
      <c r="O1879" s="2"/>
      <c r="P1879" s="2"/>
      <c r="Q1879" s="2"/>
      <c r="R1879" s="2"/>
    </row>
    <row r="1880" spans="1:18" ht="19.5" hidden="1" thickBot="1" x14ac:dyDescent="0.3">
      <c r="A1880" s="991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5"/>
        <v>05,24</v>
      </c>
      <c r="L1880" s="23" t="s">
        <v>266</v>
      </c>
      <c r="M1880" s="23">
        <v>2079.84</v>
      </c>
      <c r="N1880" s="329">
        <v>0.5</v>
      </c>
      <c r="O1880" s="2"/>
      <c r="P1880" s="2"/>
      <c r="Q1880" s="2"/>
      <c r="R1880" s="2"/>
    </row>
    <row r="1881" spans="1:18" ht="19.5" hidden="1" thickBot="1" x14ac:dyDescent="0.3">
      <c r="A1881" s="991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5"/>
        <v>05,24</v>
      </c>
      <c r="L1881" s="23" t="s">
        <v>266</v>
      </c>
      <c r="M1881" s="23">
        <v>2515.52</v>
      </c>
      <c r="N1881" s="329">
        <v>0.5</v>
      </c>
      <c r="O1881" s="2"/>
      <c r="P1881" s="2"/>
      <c r="Q1881" s="2"/>
      <c r="R1881" s="2"/>
    </row>
    <row r="1882" spans="1:18" ht="19.5" hidden="1" thickBot="1" x14ac:dyDescent="0.3">
      <c r="A1882" s="991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5"/>
        <v>05,24</v>
      </c>
      <c r="L1882" s="23" t="s">
        <v>266</v>
      </c>
      <c r="M1882" s="23">
        <v>6300</v>
      </c>
      <c r="N1882" s="329">
        <v>0.5</v>
      </c>
      <c r="O1882" s="2"/>
      <c r="P1882" s="2"/>
      <c r="Q1882" s="2"/>
      <c r="R1882" s="2"/>
    </row>
    <row r="1883" spans="1:18" ht="19.5" hidden="1" thickBot="1" x14ac:dyDescent="0.3">
      <c r="A1883" s="991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5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  <c r="Q1883" s="2"/>
      <c r="R1883" s="2"/>
    </row>
    <row r="1884" spans="1:18" ht="19.5" hidden="1" thickBot="1" x14ac:dyDescent="0.3">
      <c r="A1884" s="110">
        <f t="shared" ref="A1884:A1889" si="37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5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  <c r="Q1884" s="2"/>
      <c r="R1884" s="2"/>
    </row>
    <row r="1885" spans="1:18" ht="19.5" hidden="1" thickBot="1" x14ac:dyDescent="0.3">
      <c r="A1885" s="111">
        <f t="shared" si="37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5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  <c r="Q1885" s="2"/>
      <c r="R1885" s="2"/>
    </row>
    <row r="1886" spans="1:18" ht="19.5" hidden="1" thickBot="1" x14ac:dyDescent="0.3">
      <c r="A1886" s="110">
        <f t="shared" si="37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5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  <c r="Q1886" s="2"/>
      <c r="R1886" s="2"/>
    </row>
    <row r="1887" spans="1:18" ht="38.25" hidden="1" thickBot="1" x14ac:dyDescent="0.3">
      <c r="A1887" s="111">
        <f t="shared" si="37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5"/>
        <v>05,24</v>
      </c>
      <c r="L1887" s="75" t="s">
        <v>28</v>
      </c>
      <c r="M1887" s="75">
        <v>17794.38</v>
      </c>
      <c r="N1887" s="322">
        <v>0.375</v>
      </c>
      <c r="O1887" s="2"/>
      <c r="P1887" s="2"/>
      <c r="Q1887" s="2"/>
      <c r="R1887" s="2"/>
    </row>
    <row r="1888" spans="1:18" ht="38.25" hidden="1" thickBot="1" x14ac:dyDescent="0.3">
      <c r="A1888" s="110">
        <f t="shared" si="37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5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  <c r="Q1888" s="2"/>
      <c r="R1888" s="2"/>
    </row>
    <row r="1889" spans="1:18" ht="19.5" hidden="1" thickBot="1" x14ac:dyDescent="0.3">
      <c r="A1889" s="991">
        <f t="shared" si="37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5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  <c r="Q1889" s="2"/>
      <c r="R1889" s="2"/>
    </row>
    <row r="1890" spans="1:18" ht="19.5" hidden="1" thickBot="1" x14ac:dyDescent="0.3">
      <c r="A1890" s="991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5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  <c r="Q1890" s="2"/>
      <c r="R1890" s="2"/>
    </row>
    <row r="1891" spans="1:18" ht="19.5" hidden="1" thickBot="1" x14ac:dyDescent="0.3">
      <c r="A1891" s="991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5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  <c r="Q1891" s="2"/>
      <c r="R1891" s="2"/>
    </row>
    <row r="1892" spans="1:18" ht="19.5" hidden="1" thickBot="1" x14ac:dyDescent="0.3">
      <c r="A1892" s="990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5"/>
        <v>05,24</v>
      </c>
      <c r="L1892" s="82" t="s">
        <v>28</v>
      </c>
      <c r="M1892" s="82">
        <v>12277.38</v>
      </c>
      <c r="N1892" s="319">
        <v>0.5</v>
      </c>
      <c r="O1892" s="2"/>
      <c r="P1892" s="2"/>
      <c r="Q1892" s="2"/>
      <c r="R1892" s="2"/>
    </row>
    <row r="1893" spans="1:18" ht="19.5" hidden="1" thickBot="1" x14ac:dyDescent="0.3">
      <c r="A1893" s="990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5"/>
        <v>05,24</v>
      </c>
      <c r="L1893" s="90" t="s">
        <v>28</v>
      </c>
      <c r="M1893" s="90">
        <v>4584.8</v>
      </c>
      <c r="N1893" s="325">
        <v>0.5</v>
      </c>
      <c r="O1893" s="2"/>
      <c r="P1893" s="2"/>
      <c r="Q1893" s="2"/>
      <c r="R1893" s="2"/>
    </row>
    <row r="1894" spans="1:18" ht="18.75" hidden="1" customHeight="1" thickBot="1" x14ac:dyDescent="0.3">
      <c r="A1894" s="991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993" t="s">
        <v>72</v>
      </c>
      <c r="H1894" s="48" t="s">
        <v>462</v>
      </c>
      <c r="I1894" s="163" t="s">
        <v>462</v>
      </c>
      <c r="J1894" s="52"/>
      <c r="K1894" s="48" t="str">
        <f t="shared" si="35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  <c r="Q1894" s="2"/>
      <c r="R1894" s="2"/>
    </row>
    <row r="1895" spans="1:18" ht="19.5" hidden="1" thickBot="1" x14ac:dyDescent="0.3">
      <c r="A1895" s="991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993"/>
      <c r="H1895" s="71" t="s">
        <v>462</v>
      </c>
      <c r="I1895" s="167" t="s">
        <v>461</v>
      </c>
      <c r="J1895" s="168"/>
      <c r="K1895" s="71" t="str">
        <f t="shared" si="35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  <c r="Q1895" s="2"/>
      <c r="R1895" s="2"/>
    </row>
    <row r="1896" spans="1:18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5"/>
        <v>05,24</v>
      </c>
      <c r="L1896" s="40" t="s">
        <v>265</v>
      </c>
      <c r="M1896" s="40">
        <v>9150</v>
      </c>
      <c r="N1896" s="317">
        <v>0.5</v>
      </c>
      <c r="O1896" s="2"/>
      <c r="P1896" s="2"/>
      <c r="Q1896" s="2"/>
      <c r="R1896" s="2"/>
    </row>
    <row r="1897" spans="1:18" ht="19.5" hidden="1" thickBot="1" x14ac:dyDescent="0.3">
      <c r="A1897" s="991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5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  <c r="Q1897" s="2"/>
      <c r="R1897" s="2"/>
    </row>
    <row r="1898" spans="1:18" ht="19.5" hidden="1" thickBot="1" x14ac:dyDescent="0.3">
      <c r="A1898" s="991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5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  <c r="Q1898" s="2"/>
      <c r="R1898" s="2"/>
    </row>
    <row r="1899" spans="1:18" ht="19.5" hidden="1" thickBot="1" x14ac:dyDescent="0.3">
      <c r="A1899" s="990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5"/>
        <v>05,24</v>
      </c>
      <c r="L1899" s="82" t="s">
        <v>28</v>
      </c>
      <c r="M1899" s="82">
        <v>1944.73</v>
      </c>
      <c r="N1899" s="319">
        <v>0.375</v>
      </c>
      <c r="O1899" s="2"/>
      <c r="P1899" s="2"/>
      <c r="Q1899" s="2"/>
      <c r="R1899" s="2"/>
    </row>
    <row r="1900" spans="1:18" ht="19.5" hidden="1" thickBot="1" x14ac:dyDescent="0.3">
      <c r="A1900" s="990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5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  <c r="Q1900" s="2"/>
      <c r="R1900" s="2"/>
    </row>
    <row r="1901" spans="1:18" ht="19.5" hidden="1" thickBot="1" x14ac:dyDescent="0.3">
      <c r="A1901" s="990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5"/>
        <v>05,24</v>
      </c>
      <c r="L1901" s="98" t="s">
        <v>28</v>
      </c>
      <c r="M1901" s="98">
        <v>6658.16</v>
      </c>
      <c r="N1901" s="364">
        <v>0.375</v>
      </c>
      <c r="O1901" s="2"/>
      <c r="P1901" s="2"/>
      <c r="Q1901" s="2"/>
      <c r="R1901" s="2"/>
    </row>
    <row r="1902" spans="1:18" ht="19.5" hidden="1" thickBot="1" x14ac:dyDescent="0.3">
      <c r="A1902" s="990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5"/>
        <v>05,24</v>
      </c>
      <c r="L1902" s="90" t="s">
        <v>28</v>
      </c>
      <c r="M1902" s="90">
        <v>6312.6</v>
      </c>
      <c r="N1902" s="325">
        <v>0.375</v>
      </c>
      <c r="O1902" s="2"/>
      <c r="P1902" s="2"/>
      <c r="Q1902" s="2"/>
      <c r="R1902" s="2"/>
    </row>
    <row r="1903" spans="1:18" ht="19.5" hidden="1" thickBot="1" x14ac:dyDescent="0.3">
      <c r="A1903" s="991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5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  <c r="Q1903" s="2"/>
      <c r="R1903" s="2"/>
    </row>
    <row r="1904" spans="1:18" ht="19.5" hidden="1" thickBot="1" x14ac:dyDescent="0.3">
      <c r="A1904" s="991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5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  <c r="Q1904" s="2"/>
      <c r="R1904" s="2"/>
    </row>
    <row r="1905" spans="1:18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5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  <c r="Q1905" s="2"/>
      <c r="R1905" s="2"/>
    </row>
    <row r="1906" spans="1:18" ht="19.5" hidden="1" thickBot="1" x14ac:dyDescent="0.3">
      <c r="A1906" s="991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5"/>
        <v>05,24</v>
      </c>
      <c r="L1906" s="48" t="s">
        <v>28</v>
      </c>
      <c r="M1906" s="48">
        <v>11159.7</v>
      </c>
      <c r="N1906" s="315">
        <v>0.375</v>
      </c>
      <c r="O1906" s="2"/>
      <c r="P1906" s="2"/>
      <c r="Q1906" s="2"/>
      <c r="R1906" s="2"/>
    </row>
    <row r="1907" spans="1:18" ht="19.5" hidden="1" thickBot="1" x14ac:dyDescent="0.3">
      <c r="A1907" s="991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5"/>
        <v>05,24</v>
      </c>
      <c r="L1907" s="71" t="s">
        <v>28</v>
      </c>
      <c r="M1907" s="71">
        <v>6163.2</v>
      </c>
      <c r="N1907" s="323">
        <v>0.375</v>
      </c>
      <c r="O1907" s="2"/>
      <c r="P1907" s="2"/>
      <c r="Q1907" s="2"/>
      <c r="R1907" s="2"/>
    </row>
    <row r="1908" spans="1:18" ht="19.5" hidden="1" thickBot="1" x14ac:dyDescent="0.3">
      <c r="A1908" s="990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5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  <c r="Q1908" s="2"/>
      <c r="R1908" s="2"/>
    </row>
    <row r="1909" spans="1:18" ht="19.5" hidden="1" thickBot="1" x14ac:dyDescent="0.3">
      <c r="A1909" s="990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5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  <c r="Q1909" s="2"/>
      <c r="R1909" s="2"/>
    </row>
    <row r="1910" spans="1:18" ht="19.5" hidden="1" thickBot="1" x14ac:dyDescent="0.3">
      <c r="A1910" s="990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5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  <c r="Q1910" s="2"/>
      <c r="R1910" s="2"/>
    </row>
    <row r="1911" spans="1:18" ht="19.5" hidden="1" thickBot="1" x14ac:dyDescent="0.3">
      <c r="A1911" s="991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5"/>
        <v>05,24</v>
      </c>
      <c r="L1911" s="48" t="s">
        <v>28</v>
      </c>
      <c r="M1911" s="48">
        <v>800</v>
      </c>
      <c r="N1911" s="315">
        <v>0.375</v>
      </c>
      <c r="O1911" s="2"/>
      <c r="P1911" s="2"/>
      <c r="Q1911" s="2"/>
      <c r="R1911" s="2"/>
    </row>
    <row r="1912" spans="1:18" ht="19.5" hidden="1" thickBot="1" x14ac:dyDescent="0.3">
      <c r="A1912" s="991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5"/>
        <v>05,24</v>
      </c>
      <c r="L1912" s="71" t="s">
        <v>28</v>
      </c>
      <c r="M1912" s="71">
        <v>12551.62</v>
      </c>
      <c r="N1912" s="323">
        <v>0.375</v>
      </c>
      <c r="O1912" s="2"/>
      <c r="P1912" s="2"/>
      <c r="Q1912" s="2"/>
      <c r="R1912" s="2"/>
    </row>
    <row r="1913" spans="1:18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5"/>
        <v>05,24</v>
      </c>
      <c r="L1913" s="40" t="s">
        <v>266</v>
      </c>
      <c r="M1913" s="40">
        <v>18087.2</v>
      </c>
      <c r="N1913" s="317">
        <v>0.375</v>
      </c>
      <c r="O1913" s="2"/>
      <c r="P1913" s="2"/>
      <c r="Q1913" s="2"/>
      <c r="R1913" s="2"/>
    </row>
    <row r="1914" spans="1:18" ht="19.5" hidden="1" thickBot="1" x14ac:dyDescent="0.3">
      <c r="A1914" s="991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5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  <c r="Q1914" s="2"/>
      <c r="R1914" s="2"/>
    </row>
    <row r="1915" spans="1:18" ht="19.5" hidden="1" thickBot="1" x14ac:dyDescent="0.3">
      <c r="A1915" s="991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8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  <c r="Q1915" s="2"/>
      <c r="R1915" s="2"/>
    </row>
    <row r="1916" spans="1:18" ht="19.5" hidden="1" thickBot="1" x14ac:dyDescent="0.3">
      <c r="A1916" s="991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8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  <c r="Q1916" s="2"/>
      <c r="R1916" s="2"/>
    </row>
    <row r="1917" spans="1:18" ht="19.5" hidden="1" thickBot="1" x14ac:dyDescent="0.3">
      <c r="A1917" s="991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8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  <c r="Q1917" s="2"/>
      <c r="R1917" s="2"/>
    </row>
    <row r="1918" spans="1:18" ht="18.75" hidden="1" customHeight="1" thickBot="1" x14ac:dyDescent="0.3">
      <c r="A1918" s="990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992" t="s">
        <v>467</v>
      </c>
      <c r="H1918" s="82" t="s">
        <v>465</v>
      </c>
      <c r="I1918" s="147" t="s">
        <v>466</v>
      </c>
      <c r="J1918" s="86"/>
      <c r="K1918" s="82" t="str">
        <f t="shared" si="38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  <c r="Q1918" s="2"/>
      <c r="R1918" s="2"/>
    </row>
    <row r="1919" spans="1:18" ht="19.5" hidden="1" thickBot="1" x14ac:dyDescent="0.3">
      <c r="A1919" s="990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992"/>
      <c r="H1919" s="90" t="s">
        <v>465</v>
      </c>
      <c r="I1919" s="148" t="s">
        <v>466</v>
      </c>
      <c r="J1919" s="94"/>
      <c r="K1919" s="90" t="str">
        <f t="shared" si="38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  <c r="Q1919" s="2"/>
      <c r="R1919" s="2"/>
    </row>
    <row r="1920" spans="1:18" ht="19.5" hidden="1" thickBot="1" x14ac:dyDescent="0.3">
      <c r="A1920" s="111">
        <f t="shared" ref="A1920:A1926" si="39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8"/>
        <v>05,24</v>
      </c>
      <c r="L1920" s="75" t="s">
        <v>265</v>
      </c>
      <c r="M1920" s="75">
        <v>10615.8</v>
      </c>
      <c r="N1920" s="322">
        <v>0.5</v>
      </c>
      <c r="O1920" s="2"/>
      <c r="P1920" s="2"/>
      <c r="Q1920" s="2"/>
      <c r="R1920" s="2"/>
    </row>
    <row r="1921" spans="1:18" ht="19.5" hidden="1" thickBot="1" x14ac:dyDescent="0.3">
      <c r="A1921" s="110">
        <f t="shared" si="39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8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  <c r="Q1921" s="2"/>
      <c r="R1921" s="2"/>
    </row>
    <row r="1922" spans="1:18" ht="57" hidden="1" thickBot="1" x14ac:dyDescent="0.3">
      <c r="A1922" s="111">
        <f t="shared" si="39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8"/>
        <v>05,24</v>
      </c>
      <c r="L1922" s="75" t="s">
        <v>266</v>
      </c>
      <c r="M1922" s="75">
        <v>9000.9</v>
      </c>
      <c r="N1922" s="322">
        <v>0.375</v>
      </c>
      <c r="O1922" s="2"/>
      <c r="P1922" s="2"/>
      <c r="Q1922" s="2"/>
      <c r="R1922" s="2"/>
    </row>
    <row r="1923" spans="1:18" ht="19.5" hidden="1" thickBot="1" x14ac:dyDescent="0.3">
      <c r="A1923" s="110">
        <f t="shared" si="39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8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  <c r="Q1923" s="2"/>
      <c r="R1923" s="2"/>
    </row>
    <row r="1924" spans="1:18" ht="57" hidden="1" thickBot="1" x14ac:dyDescent="0.3">
      <c r="A1924" s="111">
        <f t="shared" si="39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8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  <c r="Q1924" s="2"/>
      <c r="R1924" s="2"/>
    </row>
    <row r="1925" spans="1:18" ht="38.25" hidden="1" thickBot="1" x14ac:dyDescent="0.3">
      <c r="A1925" s="110">
        <f t="shared" si="39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8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  <c r="Q1925" s="2"/>
      <c r="R1925" s="2"/>
    </row>
    <row r="1926" spans="1:18" ht="19.5" hidden="1" thickBot="1" x14ac:dyDescent="0.3">
      <c r="A1926" s="991">
        <f t="shared" si="39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8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  <c r="Q1926" s="2"/>
      <c r="R1926" s="2"/>
    </row>
    <row r="1927" spans="1:18" ht="19.5" hidden="1" thickBot="1" x14ac:dyDescent="0.3">
      <c r="A1927" s="991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8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  <c r="Q1927" s="2"/>
      <c r="R1927" s="2"/>
    </row>
    <row r="1928" spans="1:18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8"/>
        <v>05,24</v>
      </c>
      <c r="L1928" s="40" t="s">
        <v>28</v>
      </c>
      <c r="M1928" s="40">
        <v>17563.68</v>
      </c>
      <c r="N1928" s="317">
        <v>0.375</v>
      </c>
      <c r="O1928" s="2"/>
      <c r="P1928" s="2"/>
      <c r="Q1928" s="2"/>
      <c r="R1928" s="2"/>
    </row>
    <row r="1929" spans="1:18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8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  <c r="Q1929" s="2"/>
      <c r="R1929" s="2"/>
    </row>
    <row r="1930" spans="1:18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8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  <c r="Q1930" s="2"/>
      <c r="R1930" s="2"/>
    </row>
    <row r="1931" spans="1:18" ht="19.5" hidden="1" thickBot="1" x14ac:dyDescent="0.3">
      <c r="A1931" s="991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8"/>
        <v>05,24</v>
      </c>
      <c r="L1931" s="48" t="s">
        <v>28</v>
      </c>
      <c r="M1931" s="48">
        <v>10146.08</v>
      </c>
      <c r="N1931" s="315">
        <v>0.5</v>
      </c>
      <c r="O1931" s="2"/>
      <c r="P1931" s="2"/>
      <c r="Q1931" s="2"/>
      <c r="R1931" s="2"/>
    </row>
    <row r="1932" spans="1:18" ht="19.5" hidden="1" thickBot="1" x14ac:dyDescent="0.3">
      <c r="A1932" s="991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8"/>
        <v>05,24</v>
      </c>
      <c r="L1932" s="31" t="s">
        <v>28</v>
      </c>
      <c r="M1932" s="31">
        <v>7027.8</v>
      </c>
      <c r="N1932" s="316">
        <v>0.5</v>
      </c>
      <c r="O1932" s="2"/>
      <c r="P1932" s="2"/>
      <c r="Q1932" s="2"/>
      <c r="R1932" s="2"/>
    </row>
    <row r="1933" spans="1:18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8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  <c r="Q1933" s="2"/>
      <c r="R1933" s="2"/>
    </row>
    <row r="1934" spans="1:18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8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  <c r="Q1934" s="2"/>
      <c r="R1934" s="2"/>
    </row>
    <row r="1935" spans="1:18" ht="19.5" hidden="1" thickBot="1" x14ac:dyDescent="0.3">
      <c r="A1935" s="990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8"/>
        <v>05,24</v>
      </c>
      <c r="L1935" s="82" t="s">
        <v>28</v>
      </c>
      <c r="M1935" s="82">
        <v>8333.4</v>
      </c>
      <c r="N1935" s="319">
        <v>0.375</v>
      </c>
      <c r="O1935" s="2"/>
      <c r="P1935" s="2"/>
      <c r="Q1935" s="2"/>
      <c r="R1935" s="2"/>
    </row>
    <row r="1936" spans="1:18" ht="19.5" hidden="1" thickBot="1" x14ac:dyDescent="0.3">
      <c r="A1936" s="990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8"/>
        <v>05,24</v>
      </c>
      <c r="L1936" s="90" t="s">
        <v>28</v>
      </c>
      <c r="M1936" s="90">
        <v>8850.06</v>
      </c>
      <c r="N1936" s="325">
        <v>0.375</v>
      </c>
      <c r="O1936" s="2"/>
      <c r="P1936" s="2"/>
      <c r="Q1936" s="2"/>
      <c r="R1936" s="2"/>
    </row>
    <row r="1937" spans="1:18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8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  <c r="Q1937" s="2"/>
      <c r="R1937" s="2"/>
    </row>
    <row r="1938" spans="1:18" ht="19.5" hidden="1" thickBot="1" x14ac:dyDescent="0.3">
      <c r="A1938" s="990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8"/>
        <v>05,24</v>
      </c>
      <c r="L1938" s="82" t="s">
        <v>28</v>
      </c>
      <c r="M1938" s="82">
        <v>5375.9</v>
      </c>
      <c r="N1938" s="319">
        <v>0.375</v>
      </c>
      <c r="O1938" s="2"/>
      <c r="P1938" s="2"/>
      <c r="Q1938" s="2"/>
      <c r="R1938" s="2"/>
    </row>
    <row r="1939" spans="1:18" ht="19.5" hidden="1" thickBot="1" x14ac:dyDescent="0.3">
      <c r="A1939" s="990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8"/>
        <v>05,24</v>
      </c>
      <c r="L1939" s="90" t="s">
        <v>28</v>
      </c>
      <c r="M1939" s="107">
        <v>12147.38</v>
      </c>
      <c r="N1939" s="325">
        <v>0.375</v>
      </c>
      <c r="O1939" s="2"/>
      <c r="P1939" s="2"/>
      <c r="Q1939" s="2"/>
      <c r="R1939" s="2"/>
    </row>
    <row r="1940" spans="1:18" ht="19.5" hidden="1" thickBot="1" x14ac:dyDescent="0.3">
      <c r="A1940" s="991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8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  <c r="Q1940" s="2"/>
      <c r="R1940" s="2"/>
    </row>
    <row r="1941" spans="1:18" ht="19.5" hidden="1" thickBot="1" x14ac:dyDescent="0.3">
      <c r="A1941" s="991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8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  <c r="Q1941" s="2"/>
      <c r="R1941" s="2"/>
    </row>
    <row r="1942" spans="1:18" ht="19.5" hidden="1" thickBot="1" x14ac:dyDescent="0.3">
      <c r="A1942" s="990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8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  <c r="Q1942" s="2"/>
      <c r="R1942" s="2"/>
    </row>
    <row r="1943" spans="1:18" ht="19.5" hidden="1" thickBot="1" x14ac:dyDescent="0.3">
      <c r="A1943" s="990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8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  <c r="Q1943" s="2"/>
      <c r="R1943" s="2"/>
    </row>
    <row r="1944" spans="1:18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8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  <c r="Q1944" s="2"/>
      <c r="R1944" s="2"/>
    </row>
    <row r="1945" spans="1:18" ht="19.5" hidden="1" thickBot="1" x14ac:dyDescent="0.3">
      <c r="A1945" s="990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8"/>
        <v>05,24</v>
      </c>
      <c r="L1945" s="82" t="s">
        <v>28</v>
      </c>
      <c r="M1945" s="82">
        <v>6039.6</v>
      </c>
      <c r="N1945" s="319">
        <v>0.375</v>
      </c>
      <c r="O1945" s="2"/>
      <c r="P1945" s="2"/>
      <c r="Q1945" s="2"/>
      <c r="R1945" s="2"/>
    </row>
    <row r="1946" spans="1:18" ht="19.5" hidden="1" thickBot="1" x14ac:dyDescent="0.3">
      <c r="A1946" s="990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8"/>
        <v>05,24</v>
      </c>
      <c r="L1946" s="98" t="s">
        <v>28</v>
      </c>
      <c r="M1946" s="109">
        <v>2689.9</v>
      </c>
      <c r="N1946" s="320">
        <v>0.375</v>
      </c>
      <c r="O1946" s="2"/>
      <c r="P1946" s="2"/>
      <c r="Q1946" s="2"/>
      <c r="R1946" s="2"/>
    </row>
    <row r="1947" spans="1:18" ht="19.5" hidden="1" thickBot="1" x14ac:dyDescent="0.3">
      <c r="A1947" s="990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8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  <c r="Q1947" s="2"/>
      <c r="R1947" s="2"/>
    </row>
    <row r="1948" spans="1:18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8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  <c r="Q1948" s="2"/>
      <c r="R1948" s="2"/>
    </row>
    <row r="1949" spans="1:18" ht="19.5" hidden="1" thickBot="1" x14ac:dyDescent="0.3">
      <c r="A1949" s="990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8"/>
        <v>05,24</v>
      </c>
      <c r="L1949" s="82" t="s">
        <v>28</v>
      </c>
      <c r="M1949" s="82">
        <v>8543.64</v>
      </c>
      <c r="N1949" s="319">
        <v>0.375</v>
      </c>
      <c r="O1949" s="2"/>
      <c r="P1949" s="2"/>
      <c r="Q1949" s="2"/>
      <c r="R1949" s="2"/>
    </row>
    <row r="1950" spans="1:18" ht="19.5" hidden="1" thickBot="1" x14ac:dyDescent="0.3">
      <c r="A1950" s="990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8"/>
        <v>05,24</v>
      </c>
      <c r="L1950" s="107" t="s">
        <v>28</v>
      </c>
      <c r="M1950" s="107">
        <v>8691.83</v>
      </c>
      <c r="N1950" s="321">
        <v>0.375</v>
      </c>
      <c r="O1950" s="2"/>
      <c r="P1950" s="2"/>
      <c r="Q1950" s="2"/>
      <c r="R1950" s="2"/>
    </row>
    <row r="1951" spans="1:18" ht="57" hidden="1" thickBot="1" x14ac:dyDescent="0.3">
      <c r="A1951" s="991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8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  <c r="Q1951" s="2"/>
      <c r="R1951" s="2"/>
    </row>
    <row r="1952" spans="1:18" ht="19.5" hidden="1" thickBot="1" x14ac:dyDescent="0.3">
      <c r="A1952" s="991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8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  <c r="Q1952" s="2"/>
      <c r="R1952" s="2"/>
    </row>
    <row r="1953" spans="1:18" ht="19.5" hidden="1" thickBot="1" x14ac:dyDescent="0.3">
      <c r="A1953" s="991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8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  <c r="Q1953" s="2"/>
      <c r="R1953" s="2"/>
    </row>
    <row r="1954" spans="1:18" ht="19.5" hidden="1" thickBot="1" x14ac:dyDescent="0.3">
      <c r="A1954" s="990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8"/>
        <v>05,24</v>
      </c>
      <c r="L1954" s="82" t="s">
        <v>28</v>
      </c>
      <c r="M1954" s="82">
        <v>9001.48</v>
      </c>
      <c r="N1954" s="319">
        <v>0.375</v>
      </c>
      <c r="O1954" s="2"/>
      <c r="P1954" s="2"/>
      <c r="Q1954" s="2"/>
      <c r="R1954" s="2"/>
    </row>
    <row r="1955" spans="1:18" ht="19.5" hidden="1" thickBot="1" x14ac:dyDescent="0.3">
      <c r="A1955" s="990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8"/>
        <v>05,24</v>
      </c>
      <c r="L1955" s="107" t="s">
        <v>28</v>
      </c>
      <c r="M1955" s="107">
        <v>4804.04</v>
      </c>
      <c r="N1955" s="321">
        <v>0.375</v>
      </c>
      <c r="O1955" s="2"/>
      <c r="P1955" s="2"/>
      <c r="Q1955" s="2"/>
      <c r="R1955" s="2"/>
    </row>
    <row r="1956" spans="1:18" ht="19.5" hidden="1" thickBot="1" x14ac:dyDescent="0.3">
      <c r="A1956" s="111">
        <f t="shared" ref="A1956:A1961" si="40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8"/>
        <v>05,24</v>
      </c>
      <c r="L1956" s="75" t="s">
        <v>266</v>
      </c>
      <c r="M1956" s="75">
        <v>18009.88</v>
      </c>
      <c r="N1956" s="322">
        <v>0.5</v>
      </c>
      <c r="O1956" s="2"/>
      <c r="P1956" s="2"/>
      <c r="Q1956" s="2"/>
      <c r="R1956" s="2"/>
    </row>
    <row r="1957" spans="1:18" ht="19.5" hidden="1" thickBot="1" x14ac:dyDescent="0.3">
      <c r="A1957" s="110">
        <f t="shared" si="40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8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  <c r="Q1957" s="2"/>
      <c r="R1957" s="2"/>
    </row>
    <row r="1958" spans="1:18" ht="19.5" hidden="1" thickBot="1" x14ac:dyDescent="0.3">
      <c r="A1958" s="111">
        <f t="shared" si="40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8"/>
        <v>05,24</v>
      </c>
      <c r="L1958" s="75" t="s">
        <v>266</v>
      </c>
      <c r="M1958" s="75">
        <v>18091.98</v>
      </c>
      <c r="N1958" s="322">
        <v>0.375</v>
      </c>
      <c r="O1958" s="2"/>
      <c r="P1958" s="2"/>
      <c r="Q1958" s="2"/>
      <c r="R1958" s="2"/>
    </row>
    <row r="1959" spans="1:18" ht="19.5" hidden="1" thickBot="1" x14ac:dyDescent="0.3">
      <c r="A1959" s="110">
        <f t="shared" si="40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8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  <c r="Q1959" s="2"/>
      <c r="R1959" s="2"/>
    </row>
    <row r="1960" spans="1:18" ht="19.5" hidden="1" thickBot="1" x14ac:dyDescent="0.3">
      <c r="A1960" s="111">
        <f t="shared" si="40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8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  <c r="Q1960" s="2"/>
      <c r="R1960" s="2"/>
    </row>
    <row r="1961" spans="1:18" ht="19.5" hidden="1" thickBot="1" x14ac:dyDescent="0.3">
      <c r="A1961" s="990">
        <f t="shared" si="40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8"/>
        <v>05,25</v>
      </c>
      <c r="L1961" s="82" t="s">
        <v>266</v>
      </c>
      <c r="M1961" s="82">
        <v>4629</v>
      </c>
      <c r="N1961" s="319">
        <v>0.5</v>
      </c>
      <c r="O1961" s="2"/>
      <c r="P1961" s="2"/>
      <c r="Q1961" s="2"/>
      <c r="R1961" s="2"/>
    </row>
    <row r="1962" spans="1:18" ht="19.5" hidden="1" thickBot="1" x14ac:dyDescent="0.3">
      <c r="A1962" s="990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8"/>
        <v>05,24</v>
      </c>
      <c r="L1962" s="98" t="s">
        <v>266</v>
      </c>
      <c r="M1962" s="98">
        <v>2025.3</v>
      </c>
      <c r="N1962" s="364">
        <v>0.5</v>
      </c>
      <c r="O1962" s="2"/>
      <c r="P1962" s="2"/>
      <c r="Q1962" s="2"/>
      <c r="R1962" s="2"/>
    </row>
    <row r="1963" spans="1:18" ht="19.5" hidden="1" thickBot="1" x14ac:dyDescent="0.3">
      <c r="A1963" s="990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8"/>
        <v>05,24</v>
      </c>
      <c r="L1963" s="98" t="s">
        <v>266</v>
      </c>
      <c r="M1963" s="98">
        <v>5014.58</v>
      </c>
      <c r="N1963" s="364">
        <v>0.5</v>
      </c>
      <c r="O1963" s="2"/>
      <c r="P1963" s="2"/>
      <c r="Q1963" s="2"/>
      <c r="R1963" s="2"/>
    </row>
    <row r="1964" spans="1:18" ht="19.5" hidden="1" thickBot="1" x14ac:dyDescent="0.3">
      <c r="A1964" s="990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8"/>
        <v>05,24</v>
      </c>
      <c r="L1964" s="98" t="s">
        <v>266</v>
      </c>
      <c r="M1964" s="98">
        <v>2010</v>
      </c>
      <c r="N1964" s="364">
        <v>0.5</v>
      </c>
      <c r="O1964" s="2"/>
      <c r="P1964" s="2"/>
      <c r="Q1964" s="2"/>
      <c r="R1964" s="2"/>
    </row>
    <row r="1965" spans="1:18" ht="19.5" hidden="1" thickBot="1" x14ac:dyDescent="0.3">
      <c r="A1965" s="990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8"/>
        <v>05,24</v>
      </c>
      <c r="L1965" s="90" t="s">
        <v>266</v>
      </c>
      <c r="M1965" s="90">
        <v>3955.88</v>
      </c>
      <c r="N1965" s="325">
        <v>0.5</v>
      </c>
      <c r="O1965" s="2"/>
      <c r="P1965" s="2"/>
      <c r="Q1965" s="2"/>
      <c r="R1965" s="2"/>
    </row>
    <row r="1966" spans="1:18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8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  <c r="Q1966" s="2"/>
      <c r="R1966" s="2"/>
    </row>
    <row r="1967" spans="1:18" ht="19.5" hidden="1" thickBot="1" x14ac:dyDescent="0.3">
      <c r="A1967" s="110">
        <f t="shared" ref="A1967:A1975" si="41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8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  <c r="Q1967" s="2"/>
      <c r="R1967" s="2"/>
    </row>
    <row r="1968" spans="1:18" ht="19.5" hidden="1" thickBot="1" x14ac:dyDescent="0.3">
      <c r="A1968" s="111">
        <f t="shared" si="41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8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  <c r="Q1968" s="2"/>
      <c r="R1968" s="2"/>
    </row>
    <row r="1969" spans="1:18" ht="19.5" hidden="1" thickBot="1" x14ac:dyDescent="0.3">
      <c r="A1969" s="110">
        <f t="shared" si="41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8"/>
        <v>05,24</v>
      </c>
      <c r="L1969" s="40" t="s">
        <v>265</v>
      </c>
      <c r="M1969" s="40">
        <v>17186.02</v>
      </c>
      <c r="N1969" s="317">
        <v>0.375</v>
      </c>
      <c r="O1969" s="2"/>
      <c r="P1969" s="2"/>
      <c r="Q1969" s="2"/>
      <c r="R1969" s="2"/>
    </row>
    <row r="1970" spans="1:18" ht="38.25" hidden="1" thickBot="1" x14ac:dyDescent="0.3">
      <c r="A1970" s="111">
        <f t="shared" si="41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8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  <c r="Q1970" s="2"/>
      <c r="R1970" s="2"/>
    </row>
    <row r="1971" spans="1:18" ht="38.25" hidden="1" thickBot="1" x14ac:dyDescent="0.3">
      <c r="A1971" s="390">
        <f t="shared" si="41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8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  <c r="Q1971" s="2"/>
      <c r="R1971" s="2"/>
    </row>
    <row r="1972" spans="1:18" ht="38.25" hidden="1" thickBot="1" x14ac:dyDescent="0.3">
      <c r="A1972" s="390">
        <f t="shared" si="41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8"/>
        <v>06,24</v>
      </c>
      <c r="L1972" s="395" t="s">
        <v>266</v>
      </c>
      <c r="M1972" s="395">
        <v>15841.4</v>
      </c>
      <c r="N1972" s="399">
        <v>0.5</v>
      </c>
      <c r="O1972" s="2"/>
      <c r="P1972" s="2"/>
      <c r="Q1972" s="2"/>
      <c r="R1972" s="2"/>
    </row>
    <row r="1973" spans="1:18" ht="38.25" hidden="1" thickBot="1" x14ac:dyDescent="0.3">
      <c r="A1973" s="390">
        <f t="shared" si="41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8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  <c r="Q1973" s="2"/>
      <c r="R1973" s="2"/>
    </row>
    <row r="1974" spans="1:18" ht="19.5" hidden="1" thickBot="1" x14ac:dyDescent="0.3">
      <c r="A1974" s="111">
        <f t="shared" si="41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8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  <c r="Q1974" s="2"/>
      <c r="R1974" s="2"/>
    </row>
    <row r="1975" spans="1:18" ht="19.5" hidden="1" thickBot="1" x14ac:dyDescent="0.3">
      <c r="A1975" s="990">
        <f t="shared" si="41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8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  <c r="Q1975" s="2"/>
      <c r="R1975" s="2"/>
    </row>
    <row r="1976" spans="1:18" ht="19.5" hidden="1" thickBot="1" x14ac:dyDescent="0.3">
      <c r="A1976" s="990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8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  <c r="Q1976" s="2"/>
      <c r="R1976" s="2"/>
    </row>
    <row r="1977" spans="1:18" ht="19.5" hidden="1" thickBot="1" x14ac:dyDescent="0.3">
      <c r="A1977" s="991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8"/>
        <v>06,24</v>
      </c>
      <c r="L1977" s="48" t="s">
        <v>266</v>
      </c>
      <c r="M1977" s="48">
        <v>1905</v>
      </c>
      <c r="N1977" s="315">
        <v>0.375</v>
      </c>
      <c r="O1977" s="2"/>
      <c r="P1977" s="2"/>
      <c r="Q1977" s="2"/>
      <c r="R1977" s="2"/>
    </row>
    <row r="1978" spans="1:18" ht="19.5" hidden="1" thickBot="1" x14ac:dyDescent="0.3">
      <c r="A1978" s="991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8"/>
        <v>06,24</v>
      </c>
      <c r="L1978" s="71" t="s">
        <v>266</v>
      </c>
      <c r="M1978" s="71">
        <v>15483.95</v>
      </c>
      <c r="N1978" s="323">
        <v>0.375</v>
      </c>
      <c r="O1978" s="2"/>
      <c r="P1978" s="2"/>
      <c r="Q1978" s="2"/>
      <c r="R1978" s="2"/>
    </row>
    <row r="1979" spans="1:18" ht="19.5" hidden="1" thickBot="1" x14ac:dyDescent="0.3">
      <c r="A1979" s="990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2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  <c r="Q1979" s="2"/>
      <c r="R1979" s="2"/>
    </row>
    <row r="1980" spans="1:18" ht="19.5" hidden="1" thickBot="1" x14ac:dyDescent="0.3">
      <c r="A1980" s="990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2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  <c r="Q1980" s="2"/>
      <c r="R1980" s="2"/>
    </row>
    <row r="1981" spans="1:18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2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  <c r="Q1981" s="2"/>
      <c r="R1981" s="2"/>
    </row>
    <row r="1982" spans="1:18" ht="19.5" hidden="1" thickBot="1" x14ac:dyDescent="0.3">
      <c r="A1982" s="990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2"/>
        <v>06,24</v>
      </c>
      <c r="L1982" s="82" t="s">
        <v>266</v>
      </c>
      <c r="M1982" s="82">
        <v>4254</v>
      </c>
      <c r="N1982" s="319">
        <v>0.375</v>
      </c>
      <c r="O1982" s="2"/>
      <c r="P1982" s="2"/>
      <c r="Q1982" s="2"/>
      <c r="R1982" s="2"/>
    </row>
    <row r="1983" spans="1:18" ht="19.5" hidden="1" thickBot="1" x14ac:dyDescent="0.3">
      <c r="A1983" s="990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2"/>
        <v>06,24</v>
      </c>
      <c r="L1983" s="90" t="s">
        <v>266</v>
      </c>
      <c r="M1983" s="90">
        <v>12981.04</v>
      </c>
      <c r="N1983" s="325">
        <v>0.375</v>
      </c>
      <c r="O1983" s="2"/>
      <c r="P1983" s="2"/>
      <c r="Q1983" s="2"/>
      <c r="R1983" s="2"/>
    </row>
    <row r="1984" spans="1:18" ht="19.5" hidden="1" thickBot="1" x14ac:dyDescent="0.3">
      <c r="A1984" s="991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2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  <c r="Q1984" s="2"/>
      <c r="R1984" s="2"/>
    </row>
    <row r="1985" spans="1:18" ht="19.5" hidden="1" thickBot="1" x14ac:dyDescent="0.3">
      <c r="A1985" s="991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2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  <c r="Q1985" s="2"/>
      <c r="R1985" s="2"/>
    </row>
    <row r="1986" spans="1:18" ht="19.5" hidden="1" thickBot="1" x14ac:dyDescent="0.3">
      <c r="A1986" s="990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2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  <c r="Q1986" s="2"/>
      <c r="R1986" s="2"/>
    </row>
    <row r="1987" spans="1:18" ht="19.5" hidden="1" thickBot="1" x14ac:dyDescent="0.3">
      <c r="A1987" s="990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2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  <c r="Q1987" s="2"/>
      <c r="R1987" s="2"/>
    </row>
    <row r="1988" spans="1:18" ht="19.5" hidden="1" thickBot="1" x14ac:dyDescent="0.3">
      <c r="A1988" s="990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2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  <c r="Q1988" s="2"/>
      <c r="R1988" s="2"/>
    </row>
    <row r="1989" spans="1:18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2"/>
        <v>06,24</v>
      </c>
      <c r="L1989" s="75" t="s">
        <v>266</v>
      </c>
      <c r="M1989" s="75">
        <v>17212.7</v>
      </c>
      <c r="N1989" s="322">
        <v>0.375</v>
      </c>
      <c r="O1989" s="2"/>
      <c r="P1989" s="2"/>
      <c r="Q1989" s="2"/>
      <c r="R1989" s="2"/>
    </row>
    <row r="1990" spans="1:18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2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  <c r="Q1990" s="2"/>
      <c r="R1990" s="2"/>
    </row>
    <row r="1991" spans="1:18" ht="19.5" hidden="1" thickBot="1" x14ac:dyDescent="0.3">
      <c r="A1991" s="995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2"/>
        <v>06,24</v>
      </c>
      <c r="L1991" s="48" t="s">
        <v>266</v>
      </c>
      <c r="M1991" s="48">
        <v>6309.02</v>
      </c>
      <c r="N1991" s="315">
        <v>0.375</v>
      </c>
      <c r="O1991" s="2"/>
      <c r="P1991" s="2"/>
      <c r="Q1991" s="2"/>
      <c r="R1991" s="2"/>
    </row>
    <row r="1992" spans="1:18" ht="19.5" hidden="1" thickBot="1" x14ac:dyDescent="0.3">
      <c r="A1992" s="995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2"/>
        <v>06,24</v>
      </c>
      <c r="L1992" s="23" t="s">
        <v>266</v>
      </c>
      <c r="M1992" s="23">
        <v>2290.14</v>
      </c>
      <c r="N1992" s="329">
        <v>0.375</v>
      </c>
      <c r="O1992" s="2"/>
      <c r="P1992" s="2"/>
      <c r="Q1992" s="2"/>
      <c r="R1992" s="2"/>
    </row>
    <row r="1993" spans="1:18" ht="19.5" hidden="1" thickBot="1" x14ac:dyDescent="0.3">
      <c r="A1993" s="995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2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  <c r="Q1993" s="2"/>
      <c r="R1993" s="2"/>
    </row>
    <row r="1994" spans="1:18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2"/>
        <v>06,24</v>
      </c>
      <c r="L1994" s="40" t="s">
        <v>28</v>
      </c>
      <c r="M1994" s="40">
        <v>10613.74</v>
      </c>
      <c r="N1994" s="317">
        <v>0.375</v>
      </c>
      <c r="O1994" s="2"/>
      <c r="P1994" s="2"/>
      <c r="Q1994" s="2"/>
      <c r="R1994" s="2"/>
    </row>
    <row r="1995" spans="1:18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2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  <c r="Q1995" s="2"/>
      <c r="R1995" s="2"/>
    </row>
    <row r="1996" spans="1:18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2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  <c r="Q1996" s="2"/>
      <c r="R1996" s="2"/>
    </row>
    <row r="1997" spans="1:18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2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  <c r="Q1997" s="2"/>
      <c r="R1997" s="2"/>
    </row>
    <row r="1998" spans="1:18" ht="19.5" hidden="1" thickBot="1" x14ac:dyDescent="0.3">
      <c r="A1998" s="990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2"/>
        <v>06,24</v>
      </c>
      <c r="L1998" s="82" t="s">
        <v>266</v>
      </c>
      <c r="M1998" s="82">
        <v>4771.83</v>
      </c>
      <c r="N1998" s="319">
        <v>0.5</v>
      </c>
      <c r="O1998" s="2"/>
      <c r="P1998" s="2"/>
      <c r="Q1998" s="2"/>
      <c r="R1998" s="2"/>
    </row>
    <row r="1999" spans="1:18" ht="19.5" hidden="1" thickBot="1" x14ac:dyDescent="0.3">
      <c r="A1999" s="990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2"/>
        <v>06,24</v>
      </c>
      <c r="L1999" s="98" t="s">
        <v>266</v>
      </c>
      <c r="M1999" s="98">
        <v>2801.9</v>
      </c>
      <c r="N1999" s="364">
        <v>0.5</v>
      </c>
      <c r="O1999" s="2"/>
      <c r="P1999" s="2"/>
      <c r="Q1999" s="2"/>
      <c r="R1999" s="2"/>
    </row>
    <row r="2000" spans="1:18" ht="19.5" hidden="1" thickBot="1" x14ac:dyDescent="0.3">
      <c r="A2000" s="990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2"/>
        <v>06,24</v>
      </c>
      <c r="L2000" s="98" t="s">
        <v>266</v>
      </c>
      <c r="M2000" s="98">
        <v>4310.7</v>
      </c>
      <c r="N2000" s="364">
        <v>0.5</v>
      </c>
      <c r="O2000" s="2"/>
      <c r="P2000" s="2"/>
      <c r="Q2000" s="2"/>
      <c r="R2000" s="2"/>
    </row>
    <row r="2001" spans="1:18" ht="19.5" hidden="1" thickBot="1" x14ac:dyDescent="0.3">
      <c r="A2001" s="990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2"/>
        <v>06,24</v>
      </c>
      <c r="L2001" s="90" t="s">
        <v>266</v>
      </c>
      <c r="M2001" s="90">
        <v>4884.55</v>
      </c>
      <c r="N2001" s="325">
        <v>0.5</v>
      </c>
      <c r="O2001" s="2"/>
      <c r="P2001" s="2"/>
      <c r="Q2001" s="2"/>
      <c r="R2001" s="2"/>
    </row>
    <row r="2002" spans="1:18" ht="19.5" hidden="1" customHeight="1" thickBot="1" x14ac:dyDescent="0.3">
      <c r="A2002" s="991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993" t="s">
        <v>358</v>
      </c>
      <c r="H2002" s="48" t="s">
        <v>484</v>
      </c>
      <c r="I2002" s="163" t="s">
        <v>485</v>
      </c>
      <c r="J2002" s="52"/>
      <c r="K2002" s="48" t="str">
        <f t="shared" si="42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  <c r="Q2002" s="2"/>
      <c r="R2002" s="2"/>
    </row>
    <row r="2003" spans="1:18" ht="19.5" hidden="1" thickBot="1" x14ac:dyDescent="0.3">
      <c r="A2003" s="991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993"/>
      <c r="H2003" s="71" t="s">
        <v>484</v>
      </c>
      <c r="I2003" s="167" t="s">
        <v>484</v>
      </c>
      <c r="J2003" s="168"/>
      <c r="K2003" s="71" t="str">
        <f t="shared" si="42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  <c r="Q2003" s="2"/>
      <c r="R2003" s="2"/>
    </row>
    <row r="2004" spans="1:18" ht="19.5" hidden="1" thickBot="1" x14ac:dyDescent="0.3">
      <c r="A2004" s="110">
        <f t="shared" ref="A2004:A2011" si="43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2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  <c r="Q2004" s="2"/>
      <c r="R2004" s="2"/>
    </row>
    <row r="2005" spans="1:18" ht="19.5" hidden="1" thickBot="1" x14ac:dyDescent="0.3">
      <c r="A2005" s="111">
        <f t="shared" si="43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2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  <c r="Q2005" s="2"/>
      <c r="R2005" s="2"/>
    </row>
    <row r="2006" spans="1:18" ht="19.5" hidden="1" thickBot="1" x14ac:dyDescent="0.3">
      <c r="A2006" s="110">
        <f t="shared" si="43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2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  <c r="Q2006" s="2"/>
      <c r="R2006" s="2"/>
    </row>
    <row r="2007" spans="1:18" ht="19.5" hidden="1" thickBot="1" x14ac:dyDescent="0.3">
      <c r="A2007" s="111">
        <f t="shared" si="43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2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  <c r="Q2007" s="2"/>
      <c r="R2007" s="2"/>
    </row>
    <row r="2008" spans="1:18" ht="38.25" hidden="1" thickBot="1" x14ac:dyDescent="0.3">
      <c r="A2008" s="110">
        <f t="shared" si="43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2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  <c r="Q2008" s="2"/>
      <c r="R2008" s="2"/>
    </row>
    <row r="2009" spans="1:18" ht="38.25" hidden="1" thickBot="1" x14ac:dyDescent="0.3">
      <c r="A2009" s="111">
        <f t="shared" si="43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2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  <c r="Q2009" s="2"/>
      <c r="R2009" s="2"/>
    </row>
    <row r="2010" spans="1:18" ht="19.5" hidden="1" thickBot="1" x14ac:dyDescent="0.3">
      <c r="A2010" s="110">
        <f t="shared" si="43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2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  <c r="Q2010" s="2"/>
      <c r="R2010" s="2"/>
    </row>
    <row r="2011" spans="1:18" ht="19.5" hidden="1" thickBot="1" x14ac:dyDescent="0.3">
      <c r="A2011" s="991">
        <f t="shared" si="43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2"/>
        <v>06,24</v>
      </c>
      <c r="L2011" s="48" t="s">
        <v>266</v>
      </c>
      <c r="M2011" s="48">
        <v>5710.55</v>
      </c>
      <c r="N2011" s="315">
        <v>0.375</v>
      </c>
      <c r="O2011" s="2"/>
      <c r="P2011" s="2"/>
      <c r="Q2011" s="2"/>
      <c r="R2011" s="2"/>
    </row>
    <row r="2012" spans="1:18" ht="19.5" hidden="1" thickBot="1" x14ac:dyDescent="0.3">
      <c r="A2012" s="991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2"/>
        <v>06,24</v>
      </c>
      <c r="L2012" s="31" t="s">
        <v>266</v>
      </c>
      <c r="M2012" s="31">
        <v>11357.64</v>
      </c>
      <c r="N2012" s="316">
        <v>0.375</v>
      </c>
      <c r="O2012" s="2"/>
      <c r="P2012" s="2"/>
      <c r="Q2012" s="2"/>
      <c r="R2012" s="2"/>
    </row>
    <row r="2013" spans="1:18" ht="19.5" hidden="1" thickBot="1" x14ac:dyDescent="0.3">
      <c r="A2013" s="990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2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  <c r="Q2013" s="2"/>
      <c r="R2013" s="2"/>
    </row>
    <row r="2014" spans="1:18" ht="19.5" hidden="1" thickBot="1" x14ac:dyDescent="0.3">
      <c r="A2014" s="990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2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  <c r="Q2014" s="2"/>
      <c r="R2014" s="2"/>
    </row>
    <row r="2015" spans="1:18" ht="19.5" hidden="1" thickBot="1" x14ac:dyDescent="0.3">
      <c r="A2015" s="991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2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  <c r="Q2015" s="2"/>
      <c r="R2015" s="2"/>
    </row>
    <row r="2016" spans="1:18" ht="19.5" hidden="1" thickBot="1" x14ac:dyDescent="0.3">
      <c r="A2016" s="991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2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  <c r="Q2016" s="2"/>
      <c r="R2016" s="2"/>
    </row>
    <row r="2017" spans="1:18" ht="19.5" hidden="1" thickBot="1" x14ac:dyDescent="0.3">
      <c r="A2017" s="990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2"/>
        <v>06,24</v>
      </c>
      <c r="L2017" s="82" t="s">
        <v>266</v>
      </c>
      <c r="M2017" s="82">
        <v>5733.6</v>
      </c>
      <c r="N2017" s="319">
        <v>0.5</v>
      </c>
      <c r="O2017" s="2"/>
      <c r="P2017" s="2"/>
      <c r="Q2017" s="2"/>
      <c r="R2017" s="2"/>
    </row>
    <row r="2018" spans="1:18" ht="19.5" hidden="1" thickBot="1" x14ac:dyDescent="0.3">
      <c r="A2018" s="990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2"/>
        <v>06,24</v>
      </c>
      <c r="L2018" s="109" t="s">
        <v>266</v>
      </c>
      <c r="M2018" s="109">
        <v>4423.92</v>
      </c>
      <c r="N2018" s="320">
        <v>0.5</v>
      </c>
      <c r="O2018" s="2"/>
      <c r="P2018" s="2"/>
      <c r="Q2018" s="2"/>
      <c r="R2018" s="2"/>
    </row>
    <row r="2019" spans="1:18" ht="19.5" hidden="1" thickBot="1" x14ac:dyDescent="0.3">
      <c r="A2019" s="990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2"/>
        <v>06,24</v>
      </c>
      <c r="L2019" s="107" t="s">
        <v>266</v>
      </c>
      <c r="M2019" s="107">
        <v>7423.2</v>
      </c>
      <c r="N2019" s="321">
        <v>0.5</v>
      </c>
      <c r="O2019" s="2"/>
      <c r="P2019" s="2"/>
      <c r="Q2019" s="2"/>
      <c r="R2019" s="2"/>
    </row>
    <row r="2020" spans="1:18" ht="19.5" hidden="1" customHeight="1" thickBot="1" x14ac:dyDescent="0.3">
      <c r="A2020" s="991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993" t="s">
        <v>72</v>
      </c>
      <c r="H2020" s="48" t="s">
        <v>488</v>
      </c>
      <c r="I2020" s="163" t="s">
        <v>488</v>
      </c>
      <c r="J2020" s="52"/>
      <c r="K2020" s="48" t="str">
        <f t="shared" si="42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  <c r="Q2020" s="2"/>
      <c r="R2020" s="2"/>
    </row>
    <row r="2021" spans="1:18" ht="19.5" hidden="1" thickBot="1" x14ac:dyDescent="0.3">
      <c r="A2021" s="991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993"/>
      <c r="H2021" s="71" t="s">
        <v>488</v>
      </c>
      <c r="I2021" s="189" t="s">
        <v>488</v>
      </c>
      <c r="J2021" s="35"/>
      <c r="K2021" s="71" t="str">
        <f t="shared" si="42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  <c r="Q2021" s="2"/>
      <c r="R2021" s="2"/>
    </row>
    <row r="2022" spans="1:18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2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  <c r="Q2022" s="2"/>
      <c r="R2022" s="2"/>
    </row>
    <row r="2023" spans="1:18" ht="19.5" hidden="1" thickBot="1" x14ac:dyDescent="0.3">
      <c r="A2023" s="991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2"/>
        <v>06,24</v>
      </c>
      <c r="L2023" s="48" t="s">
        <v>265</v>
      </c>
      <c r="M2023" s="48">
        <v>4638.3</v>
      </c>
      <c r="N2023" s="315">
        <v>0.375</v>
      </c>
      <c r="O2023" s="2"/>
      <c r="P2023" s="2"/>
      <c r="Q2023" s="2"/>
      <c r="R2023" s="2"/>
    </row>
    <row r="2024" spans="1:18" ht="19.5" hidden="1" thickBot="1" x14ac:dyDescent="0.3">
      <c r="A2024" s="991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2"/>
        <v>06,24</v>
      </c>
      <c r="L2024" s="31" t="s">
        <v>265</v>
      </c>
      <c r="M2024" s="31">
        <v>12868.15</v>
      </c>
      <c r="N2024" s="316">
        <v>0.375</v>
      </c>
      <c r="O2024" s="2"/>
      <c r="P2024" s="2"/>
      <c r="Q2024" s="2"/>
      <c r="R2024" s="2"/>
    </row>
    <row r="2025" spans="1:18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2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  <c r="Q2025" s="2"/>
      <c r="R2025" s="2"/>
    </row>
    <row r="2026" spans="1:18" ht="19.5" hidden="1" thickBot="1" x14ac:dyDescent="0.3">
      <c r="A2026" s="991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2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  <c r="Q2026" s="2"/>
      <c r="R2026" s="2"/>
    </row>
    <row r="2027" spans="1:18" ht="19.5" hidden="1" thickBot="1" x14ac:dyDescent="0.3">
      <c r="A2027" s="991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2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  <c r="Q2027" s="2"/>
      <c r="R2027" s="2"/>
    </row>
    <row r="2028" spans="1:18" ht="19.5" hidden="1" thickBot="1" x14ac:dyDescent="0.3">
      <c r="A2028" s="991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2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  <c r="Q2028" s="2"/>
      <c r="R2028" s="2"/>
    </row>
    <row r="2029" spans="1:18" ht="19.5" hidden="1" thickBot="1" x14ac:dyDescent="0.3">
      <c r="A2029" s="990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2"/>
        <v>06,24</v>
      </c>
      <c r="L2029" s="82" t="s">
        <v>28</v>
      </c>
      <c r="M2029" s="82">
        <v>5739.1</v>
      </c>
      <c r="N2029" s="319">
        <v>0.5</v>
      </c>
      <c r="O2029" s="2"/>
      <c r="P2029" s="2"/>
      <c r="Q2029" s="2"/>
      <c r="R2029" s="2"/>
    </row>
    <row r="2030" spans="1:18" ht="19.5" hidden="1" thickBot="1" x14ac:dyDescent="0.3">
      <c r="A2030" s="990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2"/>
        <v>06,24</v>
      </c>
      <c r="L2030" s="107" t="s">
        <v>28</v>
      </c>
      <c r="M2030" s="107">
        <v>11881.56</v>
      </c>
      <c r="N2030" s="321">
        <v>0.5</v>
      </c>
      <c r="O2030" s="2"/>
      <c r="P2030" s="2"/>
      <c r="Q2030" s="2"/>
      <c r="R2030" s="2"/>
    </row>
    <row r="2031" spans="1:18" ht="19.5" hidden="1" thickBot="1" x14ac:dyDescent="0.3">
      <c r="A2031" s="991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2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  <c r="Q2031" s="2"/>
      <c r="R2031" s="2"/>
    </row>
    <row r="2032" spans="1:18" ht="19.5" hidden="1" thickBot="1" x14ac:dyDescent="0.3">
      <c r="A2032" s="991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2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  <c r="Q2032" s="2"/>
      <c r="R2032" s="2"/>
    </row>
    <row r="2033" spans="1:18" ht="19.5" hidden="1" thickBot="1" x14ac:dyDescent="0.3">
      <c r="A2033" s="990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2"/>
        <v>06,24</v>
      </c>
      <c r="L2033" s="82" t="s">
        <v>28</v>
      </c>
      <c r="M2033" s="82">
        <v>1800</v>
      </c>
      <c r="N2033" s="319">
        <v>0.375</v>
      </c>
      <c r="O2033" s="2"/>
      <c r="P2033" s="2"/>
      <c r="Q2033" s="2"/>
      <c r="R2033" s="2"/>
    </row>
    <row r="2034" spans="1:18" ht="19.5" hidden="1" thickBot="1" x14ac:dyDescent="0.3">
      <c r="A2034" s="990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2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  <c r="Q2034" s="2"/>
      <c r="R2034" s="2"/>
    </row>
    <row r="2035" spans="1:18" ht="19.5" hidden="1" thickBot="1" x14ac:dyDescent="0.3">
      <c r="A2035" s="990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2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  <c r="Q2035" s="2"/>
      <c r="R2035" s="2"/>
    </row>
    <row r="2036" spans="1:18" ht="19.5" hidden="1" thickBot="1" x14ac:dyDescent="0.3">
      <c r="A2036" s="111">
        <f t="shared" ref="A2036:A2042" si="44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2"/>
        <v>06,24</v>
      </c>
      <c r="L2036" s="75" t="s">
        <v>265</v>
      </c>
      <c r="M2036" s="75">
        <v>5040</v>
      </c>
      <c r="N2036" s="322">
        <v>0.375</v>
      </c>
      <c r="O2036" s="2"/>
      <c r="P2036" s="2"/>
      <c r="Q2036" s="2"/>
      <c r="R2036" s="2"/>
    </row>
    <row r="2037" spans="1:18" ht="19.5" hidden="1" thickBot="1" x14ac:dyDescent="0.3">
      <c r="A2037" s="110">
        <f t="shared" si="44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2"/>
        <v>06,24</v>
      </c>
      <c r="L2037" s="40" t="s">
        <v>266</v>
      </c>
      <c r="M2037" s="40">
        <v>17979.38</v>
      </c>
      <c r="N2037" s="317">
        <v>0.5</v>
      </c>
      <c r="O2037" s="2"/>
      <c r="P2037" s="2"/>
      <c r="Q2037" s="2"/>
      <c r="R2037" s="2"/>
    </row>
    <row r="2038" spans="1:18" ht="19.5" hidden="1" thickBot="1" x14ac:dyDescent="0.3">
      <c r="A2038" s="111">
        <f t="shared" si="44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2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  <c r="Q2038" s="2"/>
      <c r="R2038" s="2"/>
    </row>
    <row r="2039" spans="1:18" ht="19.5" hidden="1" thickBot="1" x14ac:dyDescent="0.3">
      <c r="A2039" s="110">
        <f t="shared" si="44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2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  <c r="Q2039" s="2"/>
      <c r="R2039" s="2"/>
    </row>
    <row r="2040" spans="1:18" ht="19.5" hidden="1" thickBot="1" x14ac:dyDescent="0.3">
      <c r="A2040" s="111">
        <f t="shared" si="44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2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  <c r="Q2040" s="2"/>
      <c r="R2040" s="2"/>
    </row>
    <row r="2041" spans="1:18" ht="19.5" hidden="1" thickBot="1" x14ac:dyDescent="0.3">
      <c r="A2041" s="110">
        <f t="shared" si="44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2"/>
        <v>06,24</v>
      </c>
      <c r="L2041" s="40" t="s">
        <v>266</v>
      </c>
      <c r="M2041" s="40">
        <v>18110.64</v>
      </c>
      <c r="N2041" s="317">
        <v>0.5</v>
      </c>
      <c r="O2041" s="2"/>
      <c r="P2041" s="2"/>
      <c r="Q2041" s="2"/>
      <c r="R2041" s="2"/>
    </row>
    <row r="2042" spans="1:18" ht="19.5" hidden="1" thickBot="1" x14ac:dyDescent="0.3">
      <c r="A2042" s="991">
        <f t="shared" si="44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2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  <c r="Q2042" s="2"/>
      <c r="R2042" s="2"/>
    </row>
    <row r="2043" spans="1:18" ht="19.5" hidden="1" thickBot="1" x14ac:dyDescent="0.3">
      <c r="A2043" s="991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5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  <c r="Q2043" s="2"/>
      <c r="R2043" s="2"/>
    </row>
    <row r="2044" spans="1:18" ht="19.5" hidden="1" thickBot="1" x14ac:dyDescent="0.3">
      <c r="A2044" s="991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5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  <c r="Q2044" s="2"/>
      <c r="R2044" s="2"/>
    </row>
    <row r="2045" spans="1:18" ht="19.5" hidden="1" thickBot="1" x14ac:dyDescent="0.3">
      <c r="A2045" s="991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5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  <c r="Q2045" s="2"/>
      <c r="R2045" s="2"/>
    </row>
    <row r="2046" spans="1:18" ht="18.75" hidden="1" customHeight="1" thickBot="1" x14ac:dyDescent="0.3">
      <c r="A2046" s="990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992" t="s">
        <v>467</v>
      </c>
      <c r="H2046" s="82" t="s">
        <v>492</v>
      </c>
      <c r="I2046" s="147" t="s">
        <v>493</v>
      </c>
      <c r="J2046" s="86"/>
      <c r="K2046" s="82" t="str">
        <f t="shared" si="45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  <c r="Q2046" s="2"/>
      <c r="R2046" s="2"/>
    </row>
    <row r="2047" spans="1:18" ht="19.5" hidden="1" thickBot="1" x14ac:dyDescent="0.3">
      <c r="A2047" s="990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992"/>
      <c r="H2047" s="90" t="s">
        <v>492</v>
      </c>
      <c r="I2047" s="172" t="s">
        <v>493</v>
      </c>
      <c r="J2047" s="173"/>
      <c r="K2047" s="90" t="str">
        <f t="shared" si="45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  <c r="Q2047" s="2"/>
      <c r="R2047" s="2"/>
    </row>
    <row r="2048" spans="1:18" ht="19.5" hidden="1" thickBot="1" x14ac:dyDescent="0.3">
      <c r="A2048" s="111">
        <f t="shared" ref="A2048:A2054" si="46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5"/>
        <v>06,24</v>
      </c>
      <c r="L2048" s="75" t="s">
        <v>265</v>
      </c>
      <c r="M2048" s="75">
        <v>13332.98</v>
      </c>
      <c r="N2048" s="322">
        <v>0.375</v>
      </c>
      <c r="O2048" s="2"/>
      <c r="P2048" s="2"/>
      <c r="Q2048" s="2"/>
      <c r="R2048" s="2"/>
    </row>
    <row r="2049" spans="1:18" ht="19.5" hidden="1" thickBot="1" x14ac:dyDescent="0.3">
      <c r="A2049" s="110">
        <f t="shared" si="46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5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  <c r="Q2049" s="2"/>
      <c r="R2049" s="2"/>
    </row>
    <row r="2050" spans="1:18" ht="19.5" hidden="1" thickBot="1" x14ac:dyDescent="0.3">
      <c r="A2050" s="111">
        <f t="shared" si="46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5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  <c r="Q2050" s="2"/>
      <c r="R2050" s="2"/>
    </row>
    <row r="2051" spans="1:18" ht="19.5" hidden="1" thickBot="1" x14ac:dyDescent="0.3">
      <c r="A2051" s="110">
        <f t="shared" si="46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5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  <c r="Q2051" s="2"/>
      <c r="R2051" s="2"/>
    </row>
    <row r="2052" spans="1:18" ht="19.5" hidden="1" thickBot="1" x14ac:dyDescent="0.3">
      <c r="A2052" s="111">
        <f t="shared" si="46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5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  <c r="Q2052" s="2"/>
      <c r="R2052" s="2"/>
    </row>
    <row r="2053" spans="1:18" ht="19.5" hidden="1" thickBot="1" x14ac:dyDescent="0.3">
      <c r="A2053" s="110">
        <f t="shared" si="46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5"/>
        <v>06,24</v>
      </c>
      <c r="L2053" s="40" t="s">
        <v>28</v>
      </c>
      <c r="M2053" s="40">
        <v>17189.55</v>
      </c>
      <c r="N2053" s="317">
        <v>0.375</v>
      </c>
      <c r="O2053" s="2"/>
      <c r="P2053" s="2"/>
      <c r="Q2053" s="2"/>
      <c r="R2053" s="2"/>
    </row>
    <row r="2054" spans="1:18" ht="19.5" hidden="1" thickBot="1" x14ac:dyDescent="0.3">
      <c r="A2054" s="991">
        <f t="shared" si="46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5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  <c r="Q2054" s="2"/>
      <c r="R2054" s="2"/>
    </row>
    <row r="2055" spans="1:18" ht="19.5" hidden="1" thickBot="1" x14ac:dyDescent="0.3">
      <c r="A2055" s="991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5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  <c r="Q2055" s="2"/>
      <c r="R2055" s="2"/>
    </row>
    <row r="2056" spans="1:18" ht="19.5" hidden="1" thickBot="1" x14ac:dyDescent="0.3">
      <c r="A2056" s="990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5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  <c r="Q2056" s="2"/>
      <c r="R2056" s="2"/>
    </row>
    <row r="2057" spans="1:18" ht="19.5" hidden="1" thickBot="1" x14ac:dyDescent="0.3">
      <c r="A2057" s="990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5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  <c r="Q2057" s="2"/>
      <c r="R2057" s="2"/>
    </row>
    <row r="2058" spans="1:18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5"/>
        <v>06,24</v>
      </c>
      <c r="L2058" s="75" t="s">
        <v>28</v>
      </c>
      <c r="M2058" s="75">
        <v>17366.16</v>
      </c>
      <c r="N2058" s="322">
        <v>0.5</v>
      </c>
      <c r="O2058" s="2"/>
      <c r="P2058" s="2"/>
      <c r="Q2058" s="2"/>
      <c r="R2058" s="2"/>
    </row>
    <row r="2059" spans="1:18" ht="19.5" hidden="1" thickBot="1" x14ac:dyDescent="0.3">
      <c r="A2059" s="990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5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  <c r="Q2059" s="2"/>
      <c r="R2059" s="2"/>
    </row>
    <row r="2060" spans="1:18" ht="19.5" hidden="1" thickBot="1" x14ac:dyDescent="0.3">
      <c r="A2060" s="990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5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  <c r="Q2060" s="2"/>
      <c r="R2060" s="2"/>
    </row>
    <row r="2061" spans="1:18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5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  <c r="Q2061" s="2"/>
      <c r="R2061" s="2"/>
    </row>
    <row r="2062" spans="1:18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5"/>
        <v>06,24</v>
      </c>
      <c r="L2062" s="40" t="s">
        <v>28</v>
      </c>
      <c r="M2062" s="40">
        <v>17509</v>
      </c>
      <c r="N2062" s="317">
        <v>0.625</v>
      </c>
      <c r="O2062" s="2"/>
      <c r="P2062" s="2"/>
      <c r="Q2062" s="2"/>
      <c r="R2062" s="2"/>
    </row>
    <row r="2063" spans="1:18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5"/>
        <v>06,24</v>
      </c>
      <c r="L2063" s="75" t="s">
        <v>265</v>
      </c>
      <c r="M2063" s="75">
        <v>13084.9</v>
      </c>
      <c r="N2063" s="322">
        <v>0.375</v>
      </c>
      <c r="O2063" s="2"/>
      <c r="P2063" s="2"/>
      <c r="Q2063" s="2"/>
      <c r="R2063" s="2"/>
    </row>
    <row r="2064" spans="1:18" ht="19.5" hidden="1" thickBot="1" x14ac:dyDescent="0.3">
      <c r="A2064" s="990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5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  <c r="Q2064" s="2"/>
      <c r="R2064" s="2"/>
    </row>
    <row r="2065" spans="1:18" ht="19.5" hidden="1" thickBot="1" x14ac:dyDescent="0.3">
      <c r="A2065" s="990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5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  <c r="Q2065" s="2"/>
      <c r="R2065" s="2"/>
    </row>
    <row r="2066" spans="1:18" ht="19.5" hidden="1" thickBot="1" x14ac:dyDescent="0.3">
      <c r="A2066" s="991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5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  <c r="Q2066" s="2"/>
      <c r="R2066" s="2"/>
    </row>
    <row r="2067" spans="1:18" ht="19.5" hidden="1" thickBot="1" x14ac:dyDescent="0.3">
      <c r="A2067" s="991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5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  <c r="Q2067" s="2"/>
      <c r="R2067" s="2"/>
    </row>
    <row r="2068" spans="1:18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5"/>
        <v>06,24</v>
      </c>
      <c r="L2068" s="40" t="s">
        <v>28</v>
      </c>
      <c r="M2068" s="40">
        <v>17155.88</v>
      </c>
      <c r="N2068" s="317">
        <v>0.375</v>
      </c>
      <c r="O2068" s="2"/>
      <c r="P2068" s="2"/>
      <c r="Q2068" s="2"/>
      <c r="R2068" s="2"/>
    </row>
    <row r="2069" spans="1:18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5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  <c r="Q2069" s="2"/>
      <c r="R2069" s="2"/>
    </row>
    <row r="2070" spans="1:18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5"/>
        <v>06,24</v>
      </c>
      <c r="L2070" s="40" t="s">
        <v>265</v>
      </c>
      <c r="M2070" s="40">
        <v>17659.62</v>
      </c>
      <c r="N2070" s="317">
        <v>0.375</v>
      </c>
      <c r="O2070" s="2"/>
      <c r="P2070" s="2"/>
      <c r="Q2070" s="2"/>
      <c r="R2070" s="2"/>
    </row>
    <row r="2071" spans="1:18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5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  <c r="Q2071" s="2"/>
      <c r="R2071" s="2"/>
    </row>
    <row r="2072" spans="1:18" ht="19.5" hidden="1" thickBot="1" x14ac:dyDescent="0.3">
      <c r="A2072" s="990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5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  <c r="Q2072" s="2"/>
      <c r="R2072" s="2"/>
    </row>
    <row r="2073" spans="1:18" ht="19.5" hidden="1" thickBot="1" x14ac:dyDescent="0.3">
      <c r="A2073" s="990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5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  <c r="Q2073" s="2"/>
      <c r="R2073" s="2"/>
    </row>
    <row r="2074" spans="1:18" ht="19.5" hidden="1" thickBot="1" x14ac:dyDescent="0.3">
      <c r="A2074" s="990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5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  <c r="Q2074" s="2"/>
      <c r="R2074" s="2"/>
    </row>
    <row r="2075" spans="1:18" ht="19.5" hidden="1" thickBot="1" x14ac:dyDescent="0.3">
      <c r="A2075" s="991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5"/>
        <v>06,24</v>
      </c>
      <c r="L2075" s="48" t="s">
        <v>28</v>
      </c>
      <c r="M2075" s="48">
        <v>13722.84</v>
      </c>
      <c r="N2075" s="315">
        <v>0.5</v>
      </c>
      <c r="O2075" s="2"/>
      <c r="P2075" s="2"/>
      <c r="Q2075" s="2"/>
      <c r="R2075" s="2"/>
    </row>
    <row r="2076" spans="1:18" ht="19.5" hidden="1" thickBot="1" x14ac:dyDescent="0.3">
      <c r="A2076" s="991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5"/>
        <v>06,24</v>
      </c>
      <c r="L2076" s="31" t="s">
        <v>28</v>
      </c>
      <c r="M2076" s="31">
        <v>3488.64</v>
      </c>
      <c r="N2076" s="316">
        <v>0.5</v>
      </c>
      <c r="O2076" s="2"/>
      <c r="P2076" s="2"/>
      <c r="Q2076" s="2"/>
      <c r="R2076" s="2"/>
    </row>
    <row r="2077" spans="1:18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5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  <c r="Q2077" s="2"/>
      <c r="R2077" s="2"/>
    </row>
    <row r="2078" spans="1:18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5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  <c r="Q2078" s="2"/>
      <c r="R2078" s="2"/>
    </row>
    <row r="2079" spans="1:18" ht="19.5" hidden="1" thickBot="1" x14ac:dyDescent="0.3">
      <c r="A2079" s="990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5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  <c r="Q2079" s="2"/>
      <c r="R2079" s="2"/>
    </row>
    <row r="2080" spans="1:18" ht="19.5" hidden="1" thickBot="1" x14ac:dyDescent="0.3">
      <c r="A2080" s="990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5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  <c r="Q2080" s="2"/>
      <c r="R2080" s="2"/>
    </row>
    <row r="2081" spans="1:18" ht="19.5" hidden="1" thickBot="1" x14ac:dyDescent="0.3">
      <c r="A2081" s="990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5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  <c r="Q2081" s="2"/>
      <c r="R2081" s="2"/>
    </row>
    <row r="2082" spans="1:18" ht="19.5" hidden="1" thickBot="1" x14ac:dyDescent="0.3">
      <c r="A2082" s="990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5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  <c r="Q2082" s="2"/>
      <c r="R2082" s="2"/>
    </row>
    <row r="2083" spans="1:18" ht="19.5" hidden="1" thickBot="1" x14ac:dyDescent="0.3">
      <c r="A2083" s="991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5"/>
        <v>06,24</v>
      </c>
      <c r="L2083" s="48" t="s">
        <v>266</v>
      </c>
      <c r="M2083" s="48">
        <v>5817</v>
      </c>
      <c r="N2083" s="315">
        <v>0.5</v>
      </c>
      <c r="O2083" s="2"/>
      <c r="P2083" s="2"/>
      <c r="Q2083" s="2"/>
      <c r="R2083" s="2"/>
    </row>
    <row r="2084" spans="1:18" ht="19.5" hidden="1" thickBot="1" x14ac:dyDescent="0.3">
      <c r="A2084" s="991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5"/>
        <v>06,24</v>
      </c>
      <c r="L2084" s="23" t="s">
        <v>266</v>
      </c>
      <c r="M2084" s="56">
        <v>4557.91</v>
      </c>
      <c r="N2084" s="318">
        <v>0.5</v>
      </c>
      <c r="O2084" s="2"/>
      <c r="P2084" s="2"/>
      <c r="Q2084" s="2"/>
      <c r="R2084" s="2"/>
    </row>
    <row r="2085" spans="1:18" ht="19.5" hidden="1" thickBot="1" x14ac:dyDescent="0.3">
      <c r="A2085" s="991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5"/>
        <v>06,24</v>
      </c>
      <c r="L2085" s="71" t="s">
        <v>266</v>
      </c>
      <c r="M2085" s="31">
        <v>7020</v>
      </c>
      <c r="N2085" s="316">
        <v>0.5</v>
      </c>
      <c r="O2085" s="2"/>
      <c r="P2085" s="2"/>
      <c r="Q2085" s="2"/>
      <c r="R2085" s="2"/>
    </row>
    <row r="2086" spans="1:18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5"/>
        <v>06,24</v>
      </c>
      <c r="L2086" s="40" t="s">
        <v>266</v>
      </c>
      <c r="M2086" s="40">
        <v>13060.2</v>
      </c>
      <c r="N2086" s="317">
        <v>0.375</v>
      </c>
      <c r="O2086" s="2"/>
      <c r="P2086" s="2"/>
      <c r="Q2086" s="2"/>
      <c r="R2086" s="2"/>
    </row>
    <row r="2087" spans="1:18" ht="19.5" hidden="1" thickBot="1" x14ac:dyDescent="0.3">
      <c r="A2087" s="111">
        <f t="shared" ref="A2087:A2092" si="47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5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  <c r="Q2087" s="2"/>
      <c r="R2087" s="2"/>
    </row>
    <row r="2088" spans="1:18" ht="19.5" hidden="1" thickBot="1" x14ac:dyDescent="0.3">
      <c r="A2088" s="110">
        <f t="shared" si="47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5"/>
        <v>06,24</v>
      </c>
      <c r="L2088" s="40" t="s">
        <v>265</v>
      </c>
      <c r="M2088" s="40">
        <v>17419.79</v>
      </c>
      <c r="N2088" s="317">
        <v>0.375</v>
      </c>
      <c r="O2088" s="2"/>
      <c r="P2088" s="2"/>
      <c r="Q2088" s="2"/>
      <c r="R2088" s="2"/>
    </row>
    <row r="2089" spans="1:18" ht="19.5" hidden="1" thickBot="1" x14ac:dyDescent="0.3">
      <c r="A2089" s="111">
        <f t="shared" si="47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5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  <c r="Q2089" s="2"/>
      <c r="R2089" s="2"/>
    </row>
    <row r="2090" spans="1:18" ht="19.5" hidden="1" thickBot="1" x14ac:dyDescent="0.3">
      <c r="A2090" s="110">
        <f t="shared" si="47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5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  <c r="Q2090" s="2"/>
      <c r="R2090" s="2"/>
    </row>
    <row r="2091" spans="1:18" ht="19.5" hidden="1" thickBot="1" x14ac:dyDescent="0.3">
      <c r="A2091" s="111">
        <f t="shared" si="47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5"/>
        <v>06,26</v>
      </c>
      <c r="L2091" s="75" t="s">
        <v>28</v>
      </c>
      <c r="M2091" s="75">
        <v>17804.97</v>
      </c>
      <c r="N2091" s="322">
        <v>0.375</v>
      </c>
      <c r="O2091" s="2"/>
      <c r="P2091" s="2"/>
      <c r="Q2091" s="2"/>
      <c r="R2091" s="2"/>
    </row>
    <row r="2092" spans="1:18" ht="19.5" hidden="1" thickBot="1" x14ac:dyDescent="0.3">
      <c r="A2092" s="990">
        <f t="shared" si="47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5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  <c r="Q2092" s="2"/>
      <c r="R2092" s="2"/>
    </row>
    <row r="2093" spans="1:18" ht="19.5" hidden="1" thickBot="1" x14ac:dyDescent="0.3">
      <c r="A2093" s="990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5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  <c r="Q2093" s="2"/>
      <c r="R2093" s="2"/>
    </row>
    <row r="2094" spans="1:18" ht="19.5" hidden="1" thickBot="1" x14ac:dyDescent="0.3">
      <c r="A2094" s="991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5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  <c r="Q2094" s="2"/>
      <c r="R2094" s="2"/>
    </row>
    <row r="2095" spans="1:18" ht="19.5" hidden="1" thickBot="1" x14ac:dyDescent="0.3">
      <c r="A2095" s="991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5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  <c r="Q2095" s="2"/>
      <c r="R2095" s="2"/>
    </row>
    <row r="2096" spans="1:18" ht="19.5" hidden="1" thickBot="1" x14ac:dyDescent="0.3">
      <c r="A2096" s="990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5"/>
        <v>06,24</v>
      </c>
      <c r="L2096" s="82" t="s">
        <v>28</v>
      </c>
      <c r="M2096" s="82">
        <v>9286.19</v>
      </c>
      <c r="N2096" s="319">
        <v>0.5</v>
      </c>
      <c r="O2096" s="2"/>
      <c r="P2096" s="2"/>
      <c r="Q2096" s="2"/>
      <c r="R2096" s="2"/>
    </row>
    <row r="2097" spans="1:18" ht="19.5" hidden="1" thickBot="1" x14ac:dyDescent="0.3">
      <c r="A2097" s="990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5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  <c r="Q2097" s="2"/>
      <c r="R2097" s="2"/>
    </row>
    <row r="2098" spans="1:18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5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  <c r="Q2098" s="2"/>
      <c r="R2098" s="2"/>
    </row>
    <row r="2099" spans="1:18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5"/>
        <v>06,24</v>
      </c>
      <c r="L2099" s="40" t="s">
        <v>266</v>
      </c>
      <c r="M2099" s="40">
        <v>13828.16</v>
      </c>
      <c r="N2099" s="317">
        <v>0.375</v>
      </c>
      <c r="O2099" s="2"/>
      <c r="P2099" s="2"/>
      <c r="Q2099" s="2"/>
      <c r="R2099" s="2"/>
    </row>
    <row r="2100" spans="1:18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5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  <c r="Q2100" s="2"/>
      <c r="R2100" s="2"/>
    </row>
    <row r="2101" spans="1:18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5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  <c r="Q2101" s="2"/>
      <c r="R2101" s="2"/>
    </row>
    <row r="2102" spans="1:18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5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  <c r="Q2102" s="2"/>
      <c r="R2102" s="2"/>
    </row>
    <row r="2103" spans="1:18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5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  <c r="Q2103" s="2"/>
      <c r="R2103" s="2"/>
    </row>
    <row r="2104" spans="1:18" ht="19.5" hidden="1" thickBot="1" x14ac:dyDescent="0.3">
      <c r="A2104" s="991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5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  <c r="Q2104" s="2"/>
      <c r="R2104" s="2"/>
    </row>
    <row r="2105" spans="1:18" ht="19.5" hidden="1" thickBot="1" x14ac:dyDescent="0.3">
      <c r="A2105" s="991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5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  <c r="Q2105" s="2"/>
      <c r="R2105" s="2"/>
    </row>
    <row r="2106" spans="1:18" ht="19.5" hidden="1" thickBot="1" x14ac:dyDescent="0.3">
      <c r="A2106" s="990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5"/>
        <v>06,24</v>
      </c>
      <c r="L2106" s="82" t="s">
        <v>28</v>
      </c>
      <c r="M2106" s="82">
        <v>4902.17</v>
      </c>
      <c r="N2106" s="319">
        <v>0.5</v>
      </c>
      <c r="O2106" s="2"/>
      <c r="P2106" s="2"/>
      <c r="Q2106" s="2"/>
      <c r="R2106" s="2"/>
    </row>
    <row r="2107" spans="1:18" ht="19.5" hidden="1" thickBot="1" x14ac:dyDescent="0.3">
      <c r="A2107" s="990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8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  <c r="Q2107" s="2"/>
      <c r="R2107" s="2"/>
    </row>
    <row r="2108" spans="1:18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8"/>
        <v>06,24</v>
      </c>
      <c r="L2108" s="75" t="s">
        <v>266</v>
      </c>
      <c r="M2108" s="75">
        <v>13346.04</v>
      </c>
      <c r="N2108" s="322">
        <v>0.375</v>
      </c>
      <c r="O2108" s="2"/>
      <c r="P2108" s="2"/>
      <c r="Q2108" s="2"/>
      <c r="R2108" s="2"/>
    </row>
    <row r="2109" spans="1:18" ht="19.5" hidden="1" thickBot="1" x14ac:dyDescent="0.3">
      <c r="A2109" s="990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8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  <c r="Q2109" s="2"/>
      <c r="R2109" s="2"/>
    </row>
    <row r="2110" spans="1:18" ht="19.5" hidden="1" thickBot="1" x14ac:dyDescent="0.3">
      <c r="A2110" s="990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8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  <c r="Q2110" s="2"/>
      <c r="R2110" s="2"/>
    </row>
    <row r="2111" spans="1:18" ht="19.5" hidden="1" thickBot="1" x14ac:dyDescent="0.3">
      <c r="A2111" s="990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8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  <c r="Q2111" s="2"/>
      <c r="R2111" s="2"/>
    </row>
    <row r="2112" spans="1:18" ht="19.5" hidden="1" thickBot="1" x14ac:dyDescent="0.3">
      <c r="A2112" s="990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8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  <c r="Q2112" s="2"/>
      <c r="R2112" s="2"/>
    </row>
    <row r="2113" spans="1:18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8"/>
        <v>06,24</v>
      </c>
      <c r="L2113" s="75" t="s">
        <v>265</v>
      </c>
      <c r="M2113" s="75">
        <v>17255.78</v>
      </c>
      <c r="N2113" s="322">
        <v>0.375</v>
      </c>
      <c r="O2113" s="2"/>
      <c r="P2113" s="2"/>
      <c r="Q2113" s="2"/>
      <c r="R2113" s="2"/>
    </row>
    <row r="2114" spans="1:18" ht="19.5" hidden="1" thickBot="1" x14ac:dyDescent="0.3">
      <c r="A2114" s="990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8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  <c r="Q2114" s="2"/>
      <c r="R2114" s="2"/>
    </row>
    <row r="2115" spans="1:18" ht="19.5" hidden="1" thickBot="1" x14ac:dyDescent="0.3">
      <c r="A2115" s="990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8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  <c r="Q2115" s="2"/>
      <c r="R2115" s="2"/>
    </row>
    <row r="2116" spans="1:18" ht="19.5" hidden="1" thickBot="1" x14ac:dyDescent="0.3">
      <c r="A2116" s="111">
        <f t="shared" ref="A2116:A2122" si="49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8"/>
        <v>06,24</v>
      </c>
      <c r="L2116" s="75" t="s">
        <v>266</v>
      </c>
      <c r="M2116" s="75">
        <v>18003.14</v>
      </c>
      <c r="N2116" s="322">
        <v>0.5</v>
      </c>
      <c r="O2116" s="2"/>
      <c r="P2116" s="2"/>
      <c r="Q2116" s="2"/>
      <c r="R2116" s="2"/>
    </row>
    <row r="2117" spans="1:18" ht="19.5" hidden="1" thickBot="1" x14ac:dyDescent="0.3">
      <c r="A2117" s="110">
        <f t="shared" si="49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8"/>
        <v>06,24</v>
      </c>
      <c r="L2117" s="40" t="s">
        <v>266</v>
      </c>
      <c r="M2117" s="40">
        <v>18000.36</v>
      </c>
      <c r="N2117" s="317">
        <v>0.375</v>
      </c>
      <c r="O2117" s="2"/>
      <c r="P2117" s="2"/>
      <c r="Q2117" s="2"/>
      <c r="R2117" s="2"/>
    </row>
    <row r="2118" spans="1:18" ht="19.5" hidden="1" thickBot="1" x14ac:dyDescent="0.3">
      <c r="A2118" s="111">
        <f t="shared" si="49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8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  <c r="Q2118" s="2"/>
      <c r="R2118" s="2"/>
    </row>
    <row r="2119" spans="1:18" ht="19.5" hidden="1" thickBot="1" x14ac:dyDescent="0.3">
      <c r="A2119" s="110">
        <f t="shared" si="49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8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  <c r="Q2119" s="2"/>
      <c r="R2119" s="2"/>
    </row>
    <row r="2120" spans="1:18" ht="19.5" hidden="1" thickBot="1" x14ac:dyDescent="0.3">
      <c r="A2120" s="111">
        <f t="shared" si="49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8"/>
        <v>06,24</v>
      </c>
      <c r="L2120" s="75" t="s">
        <v>266</v>
      </c>
      <c r="M2120" s="75">
        <v>18012.72</v>
      </c>
      <c r="N2120" s="322">
        <v>0.5</v>
      </c>
      <c r="O2120" s="2"/>
      <c r="P2120" s="2"/>
      <c r="Q2120" s="2"/>
      <c r="R2120" s="2"/>
    </row>
    <row r="2121" spans="1:18" ht="19.5" hidden="1" thickBot="1" x14ac:dyDescent="0.3">
      <c r="A2121" s="110">
        <f t="shared" si="49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8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  <c r="Q2121" s="2"/>
      <c r="R2121" s="2"/>
    </row>
    <row r="2122" spans="1:18" ht="19.5" hidden="1" thickBot="1" x14ac:dyDescent="0.3">
      <c r="A2122" s="991">
        <f t="shared" si="49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8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  <c r="Q2122" s="2"/>
      <c r="R2122" s="2"/>
    </row>
    <row r="2123" spans="1:18" ht="19.5" hidden="1" thickBot="1" x14ac:dyDescent="0.3">
      <c r="A2123" s="991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8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  <c r="Q2123" s="2"/>
      <c r="R2123" s="2"/>
    </row>
    <row r="2124" spans="1:18" ht="19.5" hidden="1" thickBot="1" x14ac:dyDescent="0.3">
      <c r="A2124" s="991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8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  <c r="Q2124" s="2"/>
      <c r="R2124" s="2"/>
    </row>
    <row r="2125" spans="1:18" ht="19.5" hidden="1" thickBot="1" x14ac:dyDescent="0.3">
      <c r="A2125" s="991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8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  <c r="Q2125" s="2"/>
      <c r="R2125" s="2"/>
    </row>
    <row r="2126" spans="1:18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8"/>
        <v>06,24</v>
      </c>
      <c r="L2126" s="40" t="s">
        <v>266</v>
      </c>
      <c r="M2126" s="40">
        <v>13353.4</v>
      </c>
      <c r="N2126" s="317">
        <v>0.375</v>
      </c>
      <c r="O2126" s="2"/>
      <c r="P2126" s="2"/>
      <c r="Q2126" s="2"/>
      <c r="R2126" s="2"/>
    </row>
    <row r="2127" spans="1:18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8"/>
        <v>06,24</v>
      </c>
      <c r="L2127" s="75" t="s">
        <v>265</v>
      </c>
      <c r="M2127" s="75">
        <v>16528.48</v>
      </c>
      <c r="N2127" s="322">
        <v>0.375</v>
      </c>
      <c r="O2127" s="2"/>
      <c r="P2127" s="2"/>
      <c r="Q2127" s="2"/>
      <c r="R2127" s="2"/>
    </row>
    <row r="2128" spans="1:18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8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  <c r="Q2128" s="2"/>
      <c r="R2128" s="2"/>
    </row>
    <row r="2129" spans="1:18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8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  <c r="Q2129" s="2"/>
      <c r="R2129" s="2"/>
    </row>
    <row r="2130" spans="1:18" ht="19.5" hidden="1" thickBot="1" x14ac:dyDescent="0.3">
      <c r="A2130" s="990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8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  <c r="Q2130" s="2"/>
      <c r="R2130" s="2"/>
    </row>
    <row r="2131" spans="1:18" ht="19.5" hidden="1" thickBot="1" x14ac:dyDescent="0.3">
      <c r="A2131" s="990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8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  <c r="Q2131" s="2"/>
      <c r="R2131" s="2"/>
    </row>
    <row r="2132" spans="1:18" ht="19.5" hidden="1" thickBot="1" x14ac:dyDescent="0.3">
      <c r="A2132" s="991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8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  <c r="Q2132" s="2"/>
      <c r="R2132" s="2"/>
    </row>
    <row r="2133" spans="1:18" ht="19.5" hidden="1" thickBot="1" x14ac:dyDescent="0.3">
      <c r="A2133" s="991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8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  <c r="Q2133" s="2"/>
      <c r="R2133" s="2"/>
    </row>
    <row r="2134" spans="1:18" ht="19.5" hidden="1" thickBot="1" x14ac:dyDescent="0.3">
      <c r="A2134" s="990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8"/>
        <v>06,24</v>
      </c>
      <c r="L2134" s="82" t="s">
        <v>28</v>
      </c>
      <c r="M2134" s="82">
        <v>7656.11</v>
      </c>
      <c r="N2134" s="319">
        <v>0.5</v>
      </c>
      <c r="O2134" s="2"/>
      <c r="P2134" s="2"/>
      <c r="Q2134" s="2"/>
      <c r="R2134" s="2"/>
    </row>
    <row r="2135" spans="1:18" ht="19.5" hidden="1" thickBot="1" x14ac:dyDescent="0.3">
      <c r="A2135" s="990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8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  <c r="Q2135" s="2"/>
      <c r="R2135" s="2"/>
    </row>
    <row r="2136" spans="1:18" ht="19.5" hidden="1" thickBot="1" x14ac:dyDescent="0.3">
      <c r="A2136" s="111">
        <f t="shared" ref="A2136:A2141" si="50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8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  <c r="Q2136" s="2"/>
      <c r="R2136" s="2"/>
    </row>
    <row r="2137" spans="1:18" ht="19.5" hidden="1" thickBot="1" x14ac:dyDescent="0.3">
      <c r="A2137" s="110">
        <f t="shared" si="50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8"/>
        <v>06,24</v>
      </c>
      <c r="L2137" s="40" t="s">
        <v>266</v>
      </c>
      <c r="M2137" s="40">
        <v>6244.56</v>
      </c>
      <c r="N2137" s="317">
        <v>0.375</v>
      </c>
      <c r="O2137" s="2"/>
      <c r="P2137" s="2"/>
      <c r="Q2137" s="2"/>
      <c r="R2137" s="2"/>
    </row>
    <row r="2138" spans="1:18" ht="19.5" hidden="1" thickBot="1" x14ac:dyDescent="0.3">
      <c r="A2138" s="111">
        <f t="shared" si="50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8"/>
        <v>07,24</v>
      </c>
      <c r="L2138" s="75" t="s">
        <v>266</v>
      </c>
      <c r="M2138" s="75">
        <v>13567.04</v>
      </c>
      <c r="N2138" s="322">
        <v>0.375</v>
      </c>
      <c r="O2138" s="2"/>
      <c r="P2138" s="2"/>
      <c r="Q2138" s="2"/>
      <c r="R2138" s="2"/>
    </row>
    <row r="2139" spans="1:18" ht="19.5" hidden="1" thickBot="1" x14ac:dyDescent="0.3">
      <c r="A2139" s="110">
        <f t="shared" si="50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8"/>
        <v>06,24</v>
      </c>
      <c r="L2139" s="40" t="s">
        <v>265</v>
      </c>
      <c r="M2139" s="40">
        <v>17295.16</v>
      </c>
      <c r="N2139" s="317">
        <v>0.375</v>
      </c>
      <c r="O2139" s="2"/>
      <c r="P2139" s="2"/>
      <c r="Q2139" s="2"/>
      <c r="R2139" s="2"/>
    </row>
    <row r="2140" spans="1:18" ht="57" hidden="1" thickBot="1" x14ac:dyDescent="0.3">
      <c r="A2140" s="111">
        <f t="shared" si="50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8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  <c r="Q2140" s="2"/>
      <c r="R2140" s="2"/>
    </row>
    <row r="2141" spans="1:18" ht="38.25" hidden="1" thickBot="1" x14ac:dyDescent="0.3">
      <c r="A2141" s="990">
        <f t="shared" si="50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8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  <c r="Q2141" s="2"/>
      <c r="R2141" s="2"/>
    </row>
    <row r="2142" spans="1:18" ht="38.25" hidden="1" thickBot="1" x14ac:dyDescent="0.3">
      <c r="A2142" s="990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8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  <c r="Q2142" s="2"/>
      <c r="R2142" s="2"/>
    </row>
    <row r="2143" spans="1:18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8"/>
        <v>07,24</v>
      </c>
      <c r="L2143" s="75" t="s">
        <v>265</v>
      </c>
      <c r="M2143" s="75">
        <v>17238.86</v>
      </c>
      <c r="N2143" s="322">
        <v>0.375</v>
      </c>
      <c r="O2143" s="2"/>
      <c r="P2143" s="2"/>
      <c r="Q2143" s="2"/>
      <c r="R2143" s="2"/>
    </row>
    <row r="2144" spans="1:18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8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  <c r="Q2144" s="2"/>
      <c r="R2144" s="2"/>
    </row>
    <row r="2145" spans="1:18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8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  <c r="Q2145" s="2"/>
      <c r="R2145" s="2"/>
    </row>
    <row r="2146" spans="1:18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8"/>
        <v>07,24</v>
      </c>
      <c r="L2146" s="40" t="s">
        <v>28</v>
      </c>
      <c r="M2146" s="40">
        <v>17337.18</v>
      </c>
      <c r="N2146" s="317">
        <v>0.5</v>
      </c>
      <c r="O2146" s="2"/>
      <c r="P2146" s="2"/>
      <c r="Q2146" s="2"/>
      <c r="R2146" s="2"/>
    </row>
    <row r="2147" spans="1:18" ht="19.5" hidden="1" thickBot="1" x14ac:dyDescent="0.3">
      <c r="A2147" s="991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8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  <c r="Q2147" s="2"/>
      <c r="R2147" s="2"/>
    </row>
    <row r="2148" spans="1:18" ht="19.5" hidden="1" thickBot="1" x14ac:dyDescent="0.3">
      <c r="A2148" s="991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8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  <c r="Q2148" s="2"/>
      <c r="R2148" s="2"/>
    </row>
    <row r="2149" spans="1:18" ht="19.5" hidden="1" thickBot="1" x14ac:dyDescent="0.3">
      <c r="A2149" s="990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8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  <c r="Q2149" s="2"/>
      <c r="R2149" s="2"/>
    </row>
    <row r="2150" spans="1:18" ht="19.5" hidden="1" thickBot="1" x14ac:dyDescent="0.3">
      <c r="A2150" s="990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8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  <c r="Q2150" s="2"/>
      <c r="R2150" s="2"/>
    </row>
    <row r="2151" spans="1:18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8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  <c r="Q2151" s="2"/>
      <c r="R2151" s="2"/>
    </row>
    <row r="2152" spans="1:18" ht="19.5" hidden="1" thickBot="1" x14ac:dyDescent="0.3">
      <c r="A2152" s="990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8"/>
        <v>07,24</v>
      </c>
      <c r="L2152" s="82" t="s">
        <v>28</v>
      </c>
      <c r="M2152" s="82">
        <v>5285.54</v>
      </c>
      <c r="N2152" s="319">
        <v>0.375</v>
      </c>
      <c r="O2152" s="2"/>
      <c r="P2152" s="2"/>
      <c r="Q2152" s="2"/>
      <c r="R2152" s="2"/>
    </row>
    <row r="2153" spans="1:18" ht="19.5" hidden="1" thickBot="1" x14ac:dyDescent="0.3">
      <c r="A2153" s="990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8"/>
        <v>07,24</v>
      </c>
      <c r="L2153" s="109" t="s">
        <v>28</v>
      </c>
      <c r="M2153" s="109">
        <v>1546.6</v>
      </c>
      <c r="N2153" s="320">
        <v>0.375</v>
      </c>
      <c r="O2153" s="2"/>
      <c r="P2153" s="2"/>
      <c r="Q2153" s="2"/>
      <c r="R2153" s="2"/>
    </row>
    <row r="2154" spans="1:18" ht="19.5" hidden="1" thickBot="1" x14ac:dyDescent="0.3">
      <c r="A2154" s="990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8"/>
        <v>07,24</v>
      </c>
      <c r="L2154" s="107" t="s">
        <v>28</v>
      </c>
      <c r="M2154" s="107">
        <v>5042.32</v>
      </c>
      <c r="N2154" s="321">
        <v>0.375</v>
      </c>
      <c r="O2154" s="2"/>
      <c r="P2154" s="2"/>
      <c r="Q2154" s="2"/>
      <c r="R2154" s="2"/>
    </row>
    <row r="2155" spans="1:18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8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  <c r="Q2155" s="2"/>
      <c r="R2155" s="2"/>
    </row>
    <row r="2156" spans="1:18" ht="19.5" hidden="1" thickBot="1" x14ac:dyDescent="0.3">
      <c r="A2156" s="990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8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  <c r="Q2156" s="2"/>
      <c r="R2156" s="2"/>
    </row>
    <row r="2157" spans="1:18" ht="19.5" hidden="1" thickBot="1" x14ac:dyDescent="0.3">
      <c r="A2157" s="990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8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  <c r="Q2157" s="2"/>
      <c r="R2157" s="2"/>
    </row>
    <row r="2158" spans="1:18" ht="19.5" hidden="1" thickBot="1" x14ac:dyDescent="0.3">
      <c r="A2158" s="991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8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  <c r="Q2158" s="2"/>
      <c r="R2158" s="2"/>
    </row>
    <row r="2159" spans="1:18" ht="19.5" hidden="1" thickBot="1" x14ac:dyDescent="0.3">
      <c r="A2159" s="991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8"/>
        <v>07,24</v>
      </c>
      <c r="L2159" s="71" t="s">
        <v>266</v>
      </c>
      <c r="M2159" s="31">
        <v>13197.8</v>
      </c>
      <c r="N2159" s="323">
        <v>0.375</v>
      </c>
      <c r="O2159" s="2"/>
      <c r="P2159" s="2"/>
      <c r="Q2159" s="2"/>
      <c r="R2159" s="2"/>
    </row>
    <row r="2160" spans="1:18" ht="19.5" hidden="1" customHeight="1" thickBot="1" x14ac:dyDescent="0.3">
      <c r="A2160" s="1015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1016" t="s">
        <v>467</v>
      </c>
      <c r="H2160" s="414" t="s">
        <v>515</v>
      </c>
      <c r="I2160" s="415" t="s">
        <v>516</v>
      </c>
      <c r="J2160" s="1017" t="s">
        <v>517</v>
      </c>
      <c r="K2160" s="414" t="str">
        <f t="shared" si="48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  <c r="Q2160" s="2"/>
      <c r="R2160" s="2"/>
    </row>
    <row r="2161" spans="1:18" ht="19.5" hidden="1" thickBot="1" x14ac:dyDescent="0.3">
      <c r="A2161" s="1015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1016"/>
      <c r="H2161" s="421" t="s">
        <v>515</v>
      </c>
      <c r="I2161" s="422" t="s">
        <v>516</v>
      </c>
      <c r="J2161" s="1017"/>
      <c r="K2161" s="421" t="str">
        <f t="shared" si="48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  <c r="Q2161" s="2"/>
      <c r="R2161" s="2"/>
    </row>
    <row r="2162" spans="1:18" ht="19.5" hidden="1" thickBot="1" x14ac:dyDescent="0.3">
      <c r="A2162" s="1015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1016"/>
      <c r="H2162" s="429" t="s">
        <v>515</v>
      </c>
      <c r="I2162" s="430" t="s">
        <v>516</v>
      </c>
      <c r="J2162" s="1017"/>
      <c r="K2162" s="429" t="str">
        <f t="shared" si="48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  <c r="Q2162" s="2"/>
      <c r="R2162" s="2"/>
    </row>
    <row r="2163" spans="1:18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8"/>
        <v>07,24</v>
      </c>
      <c r="L2163" s="75" t="s">
        <v>265</v>
      </c>
      <c r="M2163" s="75">
        <v>13226.04</v>
      </c>
      <c r="N2163" s="322">
        <v>0.375</v>
      </c>
      <c r="O2163" s="2"/>
      <c r="P2163" s="2"/>
      <c r="Q2163" s="2"/>
      <c r="R2163" s="2"/>
    </row>
    <row r="2164" spans="1:18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8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  <c r="Q2164" s="2"/>
      <c r="R2164" s="2"/>
    </row>
    <row r="2165" spans="1:18" ht="18.75" hidden="1" customHeight="1" thickBot="1" x14ac:dyDescent="0.3">
      <c r="A2165" s="1015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1016" t="s">
        <v>467</v>
      </c>
      <c r="H2165" s="414" t="s">
        <v>516</v>
      </c>
      <c r="I2165" s="415" t="s">
        <v>516</v>
      </c>
      <c r="J2165" s="1017" t="s">
        <v>517</v>
      </c>
      <c r="K2165" s="414" t="str">
        <f t="shared" si="48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  <c r="Q2165" s="2"/>
      <c r="R2165" s="2"/>
    </row>
    <row r="2166" spans="1:18" ht="19.5" hidden="1" thickBot="1" x14ac:dyDescent="0.3">
      <c r="A2166" s="1015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1016"/>
      <c r="H2166" s="429" t="s">
        <v>516</v>
      </c>
      <c r="I2166" s="430" t="s">
        <v>516</v>
      </c>
      <c r="J2166" s="1017"/>
      <c r="K2166" s="429" t="str">
        <f t="shared" si="48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  <c r="Q2166" s="2"/>
      <c r="R2166" s="2"/>
    </row>
    <row r="2167" spans="1:18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8"/>
        <v>07,24</v>
      </c>
      <c r="L2167" s="40" t="s">
        <v>265</v>
      </c>
      <c r="M2167" s="40">
        <v>17159.95</v>
      </c>
      <c r="N2167" s="317">
        <v>0.375</v>
      </c>
      <c r="O2167" s="2"/>
      <c r="P2167" s="2"/>
      <c r="Q2167" s="2"/>
      <c r="R2167" s="2"/>
    </row>
    <row r="2168" spans="1:18" ht="19.5" hidden="1" thickBot="1" x14ac:dyDescent="0.3">
      <c r="A2168" s="991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8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  <c r="Q2168" s="2"/>
      <c r="R2168" s="2"/>
    </row>
    <row r="2169" spans="1:18" ht="19.5" hidden="1" thickBot="1" x14ac:dyDescent="0.3">
      <c r="A2169" s="991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8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  <c r="Q2169" s="2"/>
      <c r="R2169" s="2"/>
    </row>
    <row r="2170" spans="1:18" ht="19.5" hidden="1" thickBot="1" x14ac:dyDescent="0.3">
      <c r="A2170" s="991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8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  <c r="Q2170" s="2"/>
      <c r="R2170" s="2"/>
    </row>
    <row r="2171" spans="1:18" ht="19.5" hidden="1" thickBot="1" x14ac:dyDescent="0.3">
      <c r="A2171" s="990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1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  <c r="Q2171" s="2"/>
      <c r="R2171" s="2"/>
    </row>
    <row r="2172" spans="1:18" ht="19.5" hidden="1" thickBot="1" x14ac:dyDescent="0.3">
      <c r="A2172" s="990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1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  <c r="Q2172" s="2"/>
      <c r="R2172" s="2"/>
    </row>
    <row r="2173" spans="1:18" ht="19.5" hidden="1" thickBot="1" x14ac:dyDescent="0.3">
      <c r="A2173" s="111">
        <f t="shared" ref="A2173:A2179" si="52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1"/>
        <v>07,24</v>
      </c>
      <c r="L2173" s="75" t="s">
        <v>265</v>
      </c>
      <c r="M2173" s="75">
        <v>14416.08</v>
      </c>
      <c r="N2173" s="322">
        <v>0.375</v>
      </c>
      <c r="O2173" s="2"/>
      <c r="P2173" s="2"/>
      <c r="Q2173" s="2"/>
      <c r="R2173" s="2"/>
    </row>
    <row r="2174" spans="1:18" ht="19.5" hidden="1" thickBot="1" x14ac:dyDescent="0.3">
      <c r="A2174" s="110">
        <f t="shared" si="52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1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  <c r="Q2174" s="2"/>
      <c r="R2174" s="2"/>
    </row>
    <row r="2175" spans="1:18" ht="19.5" hidden="1" thickBot="1" x14ac:dyDescent="0.3">
      <c r="A2175" s="111">
        <f t="shared" si="52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1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  <c r="Q2175" s="2"/>
      <c r="R2175" s="2"/>
    </row>
    <row r="2176" spans="1:18" ht="19.5" hidden="1" thickBot="1" x14ac:dyDescent="0.3">
      <c r="A2176" s="110">
        <f t="shared" si="52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1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  <c r="Q2176" s="2"/>
      <c r="R2176" s="2"/>
    </row>
    <row r="2177" spans="1:18" ht="19.5" hidden="1" thickBot="1" x14ac:dyDescent="0.3">
      <c r="A2177" s="111">
        <f t="shared" si="52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1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  <c r="Q2177" s="2"/>
      <c r="R2177" s="2"/>
    </row>
    <row r="2178" spans="1:18" ht="38.25" hidden="1" thickBot="1" x14ac:dyDescent="0.3">
      <c r="A2178" s="110">
        <f t="shared" si="52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1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  <c r="Q2178" s="2"/>
      <c r="R2178" s="2"/>
    </row>
    <row r="2179" spans="1:18" ht="19.5" hidden="1" thickBot="1" x14ac:dyDescent="0.3">
      <c r="A2179" s="991">
        <f t="shared" si="52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1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  <c r="Q2179" s="2"/>
      <c r="R2179" s="2"/>
    </row>
    <row r="2180" spans="1:18" ht="19.5" hidden="1" thickBot="1" x14ac:dyDescent="0.3">
      <c r="A2180" s="991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1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  <c r="Q2180" s="2"/>
      <c r="R2180" s="2"/>
    </row>
    <row r="2181" spans="1:18" ht="19.5" hidden="1" thickBot="1" x14ac:dyDescent="0.3">
      <c r="A2181" s="990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1"/>
        <v>07,24</v>
      </c>
      <c r="L2181" s="82" t="s">
        <v>28</v>
      </c>
      <c r="M2181" s="82">
        <v>3787.72</v>
      </c>
      <c r="N2181" s="319">
        <v>0.5</v>
      </c>
      <c r="O2181" s="2"/>
      <c r="P2181" s="2"/>
      <c r="Q2181" s="2"/>
      <c r="R2181" s="2"/>
    </row>
    <row r="2182" spans="1:18" ht="19.5" hidden="1" thickBot="1" x14ac:dyDescent="0.3">
      <c r="A2182" s="990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1"/>
        <v>07,24</v>
      </c>
      <c r="L2182" s="107" t="s">
        <v>28</v>
      </c>
      <c r="M2182" s="107">
        <v>13659.94</v>
      </c>
      <c r="N2182" s="321">
        <v>0.5</v>
      </c>
      <c r="O2182" s="2"/>
      <c r="P2182" s="2"/>
      <c r="Q2182" s="2"/>
      <c r="R2182" s="2"/>
    </row>
    <row r="2183" spans="1:18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1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  <c r="Q2183" s="2"/>
      <c r="R2183" s="2"/>
    </row>
    <row r="2184" spans="1:18" ht="19.5" hidden="1" thickBot="1" x14ac:dyDescent="0.3">
      <c r="A2184" s="990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1"/>
        <v>07,24</v>
      </c>
      <c r="L2184" s="82" t="s">
        <v>28</v>
      </c>
      <c r="M2184" s="82">
        <v>6405.12</v>
      </c>
      <c r="N2184" s="319">
        <v>0.375</v>
      </c>
      <c r="O2184" s="2"/>
      <c r="P2184" s="2"/>
      <c r="Q2184" s="2"/>
      <c r="R2184" s="2"/>
    </row>
    <row r="2185" spans="1:18" ht="19.5" hidden="1" thickBot="1" x14ac:dyDescent="0.3">
      <c r="A2185" s="990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1"/>
        <v>07,24</v>
      </c>
      <c r="L2185" s="107" t="s">
        <v>28</v>
      </c>
      <c r="M2185" s="107">
        <v>7447.92</v>
      </c>
      <c r="N2185" s="321">
        <v>0.375</v>
      </c>
      <c r="O2185" s="2"/>
      <c r="P2185" s="2"/>
      <c r="Q2185" s="2"/>
      <c r="R2185" s="2"/>
    </row>
    <row r="2186" spans="1:18" ht="38.25" hidden="1" customHeight="1" thickBot="1" x14ac:dyDescent="0.3">
      <c r="A2186" s="991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993" t="s">
        <v>522</v>
      </c>
      <c r="H2186" s="48" t="s">
        <v>520</v>
      </c>
      <c r="I2186" s="163" t="s">
        <v>520</v>
      </c>
      <c r="J2186" s="52"/>
      <c r="K2186" s="48" t="str">
        <f t="shared" si="51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  <c r="Q2186" s="2"/>
      <c r="R2186" s="2"/>
    </row>
    <row r="2187" spans="1:18" ht="38.25" hidden="1" customHeight="1" thickBot="1" x14ac:dyDescent="0.3">
      <c r="A2187" s="991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993"/>
      <c r="H2187" s="31" t="s">
        <v>520</v>
      </c>
      <c r="I2187" s="189" t="s">
        <v>520</v>
      </c>
      <c r="J2187" s="35"/>
      <c r="K2187" s="31" t="str">
        <f t="shared" si="51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  <c r="Q2187" s="2"/>
      <c r="R2187" s="2"/>
    </row>
    <row r="2188" spans="1:18" ht="19.5" hidden="1" thickBot="1" x14ac:dyDescent="0.3">
      <c r="A2188" s="110">
        <f t="shared" ref="A2188:A2193" si="53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1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  <c r="Q2188" s="2"/>
      <c r="R2188" s="2"/>
    </row>
    <row r="2189" spans="1:18" ht="19.5" hidden="1" thickBot="1" x14ac:dyDescent="0.3">
      <c r="A2189" s="111">
        <f t="shared" si="53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1"/>
        <v>07,24</v>
      </c>
      <c r="L2189" s="75" t="s">
        <v>266</v>
      </c>
      <c r="M2189" s="75">
        <v>18045.97</v>
      </c>
      <c r="N2189" s="322">
        <v>0.5</v>
      </c>
      <c r="O2189" s="2"/>
      <c r="P2189" s="2"/>
      <c r="Q2189" s="2"/>
      <c r="R2189" s="2"/>
    </row>
    <row r="2190" spans="1:18" ht="19.5" hidden="1" thickBot="1" x14ac:dyDescent="0.3">
      <c r="A2190" s="110">
        <f t="shared" si="53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1"/>
        <v>07,24</v>
      </c>
      <c r="L2190" s="40" t="s">
        <v>266</v>
      </c>
      <c r="M2190" s="40">
        <v>17991.64</v>
      </c>
      <c r="N2190" s="317">
        <v>0.375</v>
      </c>
      <c r="O2190" s="2"/>
      <c r="P2190" s="2"/>
      <c r="Q2190" s="2"/>
      <c r="R2190" s="2"/>
    </row>
    <row r="2191" spans="1:18" ht="19.5" hidden="1" thickBot="1" x14ac:dyDescent="0.3">
      <c r="A2191" s="111">
        <f t="shared" si="53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1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  <c r="Q2191" s="2"/>
      <c r="R2191" s="2"/>
    </row>
    <row r="2192" spans="1:18" ht="19.5" hidden="1" thickBot="1" x14ac:dyDescent="0.3">
      <c r="A2192" s="110">
        <f t="shared" si="53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1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  <c r="Q2192" s="2"/>
      <c r="R2192" s="2"/>
    </row>
    <row r="2193" spans="1:18" ht="19.5" hidden="1" thickBot="1" x14ac:dyDescent="0.3">
      <c r="A2193" s="991">
        <f t="shared" si="53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1"/>
        <v>07,24</v>
      </c>
      <c r="L2193" s="48" t="s">
        <v>266</v>
      </c>
      <c r="M2193" s="48">
        <v>3819.66</v>
      </c>
      <c r="N2193" s="315">
        <v>0.5</v>
      </c>
      <c r="O2193" s="2"/>
      <c r="P2193" s="2"/>
      <c r="Q2193" s="2"/>
      <c r="R2193" s="2"/>
    </row>
    <row r="2194" spans="1:18" ht="19.5" hidden="1" thickBot="1" x14ac:dyDescent="0.3">
      <c r="A2194" s="991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1"/>
        <v>07,24</v>
      </c>
      <c r="L2194" s="23" t="s">
        <v>266</v>
      </c>
      <c r="M2194" s="56">
        <v>7073.52</v>
      </c>
      <c r="N2194" s="318">
        <v>0.5</v>
      </c>
      <c r="O2194" s="2"/>
      <c r="P2194" s="2"/>
      <c r="Q2194" s="2"/>
      <c r="R2194" s="2"/>
    </row>
    <row r="2195" spans="1:18" ht="19.5" hidden="1" thickBot="1" x14ac:dyDescent="0.3">
      <c r="A2195" s="991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1"/>
        <v>07,24</v>
      </c>
      <c r="L2195" s="71" t="s">
        <v>266</v>
      </c>
      <c r="M2195" s="31">
        <v>6177.46</v>
      </c>
      <c r="N2195" s="316">
        <v>0.5</v>
      </c>
      <c r="O2195" s="2"/>
      <c r="P2195" s="2"/>
      <c r="Q2195" s="2"/>
      <c r="R2195" s="2"/>
    </row>
    <row r="2196" spans="1:18" ht="19.5" hidden="1" customHeight="1" thickBot="1" x14ac:dyDescent="0.3">
      <c r="A2196" s="990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992" t="s">
        <v>467</v>
      </c>
      <c r="H2196" s="82" t="s">
        <v>525</v>
      </c>
      <c r="I2196" s="147" t="s">
        <v>525</v>
      </c>
      <c r="J2196" s="86"/>
      <c r="K2196" s="82" t="str">
        <f t="shared" si="51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  <c r="Q2196" s="2"/>
      <c r="R2196" s="2"/>
    </row>
    <row r="2197" spans="1:18" ht="19.5" hidden="1" thickBot="1" x14ac:dyDescent="0.3">
      <c r="A2197" s="990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992"/>
      <c r="H2197" s="90" t="s">
        <v>525</v>
      </c>
      <c r="I2197" s="172" t="s">
        <v>525</v>
      </c>
      <c r="J2197" s="173"/>
      <c r="K2197" s="90" t="str">
        <f t="shared" si="51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  <c r="Q2197" s="2"/>
      <c r="R2197" s="2"/>
    </row>
    <row r="2198" spans="1:18" ht="19.5" hidden="1" thickBot="1" x14ac:dyDescent="0.3">
      <c r="A2198" s="111">
        <f t="shared" ref="A2198:A2206" si="54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1"/>
        <v>07,24</v>
      </c>
      <c r="L2198" s="75" t="s">
        <v>265</v>
      </c>
      <c r="M2198" s="75">
        <v>13084</v>
      </c>
      <c r="N2198" s="322">
        <v>0.375</v>
      </c>
      <c r="O2198" s="2"/>
      <c r="P2198" s="2"/>
      <c r="Q2198" s="2"/>
      <c r="R2198" s="2"/>
    </row>
    <row r="2199" spans="1:18" ht="19.5" hidden="1" thickBot="1" x14ac:dyDescent="0.3">
      <c r="A2199" s="110">
        <f t="shared" si="54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1"/>
        <v>07,24</v>
      </c>
      <c r="L2199" s="40" t="s">
        <v>265</v>
      </c>
      <c r="M2199" s="40">
        <v>17195.36</v>
      </c>
      <c r="N2199" s="317">
        <v>0.375</v>
      </c>
      <c r="O2199" s="2"/>
      <c r="P2199" s="2"/>
      <c r="Q2199" s="2"/>
      <c r="R2199" s="2"/>
    </row>
    <row r="2200" spans="1:18" ht="19.5" hidden="1" thickBot="1" x14ac:dyDescent="0.3">
      <c r="A2200" s="111">
        <f t="shared" si="54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1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  <c r="Q2200" s="2"/>
      <c r="R2200" s="2"/>
    </row>
    <row r="2201" spans="1:18" ht="19.5" hidden="1" thickBot="1" x14ac:dyDescent="0.3">
      <c r="A2201" s="110">
        <f t="shared" si="54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1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  <c r="Q2201" s="2"/>
      <c r="R2201" s="2"/>
    </row>
    <row r="2202" spans="1:18" ht="19.5" hidden="1" thickBot="1" x14ac:dyDescent="0.3">
      <c r="A2202" s="111">
        <f t="shared" si="54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1"/>
        <v>07,24</v>
      </c>
      <c r="L2202" s="75" t="s">
        <v>265</v>
      </c>
      <c r="M2202" s="75">
        <v>17114.14</v>
      </c>
      <c r="N2202" s="322">
        <v>0.375</v>
      </c>
      <c r="O2202" s="2"/>
      <c r="P2202" s="2"/>
      <c r="Q2202" s="2"/>
      <c r="R2202" s="2"/>
    </row>
    <row r="2203" spans="1:18" ht="57" hidden="1" thickBot="1" x14ac:dyDescent="0.3">
      <c r="A2203" s="110">
        <f t="shared" si="54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1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  <c r="Q2203" s="2"/>
      <c r="R2203" s="2"/>
    </row>
    <row r="2204" spans="1:18" ht="38.25" hidden="1" thickBot="1" x14ac:dyDescent="0.3">
      <c r="A2204" s="111">
        <f t="shared" si="54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1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  <c r="Q2204" s="2"/>
      <c r="R2204" s="2"/>
    </row>
    <row r="2205" spans="1:18" ht="19.5" hidden="1" thickBot="1" x14ac:dyDescent="0.3">
      <c r="A2205" s="110">
        <f t="shared" si="54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1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  <c r="Q2205" s="2"/>
      <c r="R2205" s="2"/>
    </row>
    <row r="2206" spans="1:18" ht="19.5" hidden="1" customHeight="1" thickBot="1" x14ac:dyDescent="0.3">
      <c r="A2206" s="991">
        <f t="shared" si="54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1018" t="s">
        <v>528</v>
      </c>
      <c r="K2206" s="48" t="str">
        <f t="shared" si="51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  <c r="Q2206" s="2"/>
      <c r="R2206" s="2"/>
    </row>
    <row r="2207" spans="1:18" ht="19.5" hidden="1" thickBot="1" x14ac:dyDescent="0.3">
      <c r="A2207" s="991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1018"/>
      <c r="K2207" s="71" t="str">
        <f t="shared" si="51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  <c r="Q2207" s="2"/>
      <c r="R2207" s="2"/>
    </row>
    <row r="2208" spans="1:18" ht="19.5" hidden="1" customHeight="1" thickBot="1" x14ac:dyDescent="0.3">
      <c r="A2208" s="990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1011" t="s">
        <v>528</v>
      </c>
      <c r="K2208" s="82" t="str">
        <f t="shared" si="51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  <c r="Q2208" s="2"/>
      <c r="R2208" s="2"/>
    </row>
    <row r="2209" spans="1:18" ht="19.5" hidden="1" thickBot="1" x14ac:dyDescent="0.3">
      <c r="A2209" s="990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1011"/>
      <c r="K2209" s="90" t="str">
        <f t="shared" si="51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  <c r="Q2209" s="2"/>
      <c r="R2209" s="2"/>
    </row>
    <row r="2210" spans="1:18" ht="19.5" hidden="1" thickBot="1" x14ac:dyDescent="0.3">
      <c r="A2210" s="111">
        <f t="shared" ref="A2210:A2216" si="55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1"/>
        <v>07,24</v>
      </c>
      <c r="L2210" s="75" t="s">
        <v>265</v>
      </c>
      <c r="M2210" s="75">
        <v>13432.92</v>
      </c>
      <c r="N2210" s="322">
        <v>0.375</v>
      </c>
      <c r="O2210" s="2"/>
      <c r="P2210" s="2"/>
      <c r="Q2210" s="2"/>
      <c r="R2210" s="2"/>
    </row>
    <row r="2211" spans="1:18" ht="19.5" hidden="1" thickBot="1" x14ac:dyDescent="0.3">
      <c r="A2211" s="110">
        <f t="shared" si="55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1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  <c r="Q2211" s="2"/>
      <c r="R2211" s="2"/>
    </row>
    <row r="2212" spans="1:18" ht="19.5" hidden="1" thickBot="1" x14ac:dyDescent="0.3">
      <c r="A2212" s="111">
        <f t="shared" si="55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1"/>
        <v>07,24</v>
      </c>
      <c r="L2212" s="75" t="s">
        <v>265</v>
      </c>
      <c r="M2212" s="75">
        <v>17267.12</v>
      </c>
      <c r="N2212" s="322">
        <v>0.375</v>
      </c>
      <c r="O2212" s="2"/>
      <c r="P2212" s="2"/>
      <c r="Q2212" s="2"/>
      <c r="R2212" s="2"/>
    </row>
    <row r="2213" spans="1:18" ht="19.5" hidden="1" thickBot="1" x14ac:dyDescent="0.3">
      <c r="A2213" s="110">
        <f t="shared" si="55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1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  <c r="Q2213" s="2"/>
      <c r="R2213" s="2"/>
    </row>
    <row r="2214" spans="1:18" ht="19.5" hidden="1" thickBot="1" x14ac:dyDescent="0.3">
      <c r="A2214" s="111">
        <f t="shared" si="55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1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  <c r="Q2214" s="2"/>
      <c r="R2214" s="2"/>
    </row>
    <row r="2215" spans="1:18" ht="19.5" hidden="1" thickBot="1" x14ac:dyDescent="0.3">
      <c r="A2215" s="110">
        <f t="shared" si="55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1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  <c r="Q2215" s="2"/>
      <c r="R2215" s="2"/>
    </row>
    <row r="2216" spans="1:18" ht="19.5" hidden="1" thickBot="1" x14ac:dyDescent="0.3">
      <c r="A2216" s="991">
        <f t="shared" si="55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1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  <c r="Q2216" s="2"/>
      <c r="R2216" s="2"/>
    </row>
    <row r="2217" spans="1:18" ht="19.5" hidden="1" thickBot="1" x14ac:dyDescent="0.3">
      <c r="A2217" s="991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1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  <c r="Q2217" s="2"/>
      <c r="R2217" s="2"/>
    </row>
    <row r="2218" spans="1:18" ht="19.5" hidden="1" thickBot="1" x14ac:dyDescent="0.3">
      <c r="A2218" s="991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1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  <c r="Q2218" s="2"/>
      <c r="R2218" s="2"/>
    </row>
    <row r="2219" spans="1:18" ht="19.5" hidden="1" thickBot="1" x14ac:dyDescent="0.3">
      <c r="A2219" s="991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1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  <c r="Q2219" s="2"/>
      <c r="R2219" s="2"/>
    </row>
    <row r="2220" spans="1:18" ht="19.5" hidden="1" thickBot="1" x14ac:dyDescent="0.3">
      <c r="A2220" s="990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1"/>
        <v>07,24</v>
      </c>
      <c r="L2220" s="82" t="s">
        <v>28</v>
      </c>
      <c r="M2220" s="82">
        <v>6537.51</v>
      </c>
      <c r="N2220" s="319">
        <v>0.5</v>
      </c>
      <c r="O2220" s="2"/>
      <c r="P2220" s="2"/>
      <c r="Q2220" s="2"/>
      <c r="R2220" s="2"/>
    </row>
    <row r="2221" spans="1:18" ht="19.5" hidden="1" thickBot="1" x14ac:dyDescent="0.3">
      <c r="A2221" s="990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1"/>
        <v>07,24</v>
      </c>
      <c r="L2221" s="107" t="s">
        <v>28</v>
      </c>
      <c r="M2221" s="107">
        <v>11173.77</v>
      </c>
      <c r="N2221" s="321">
        <v>0.5</v>
      </c>
      <c r="O2221" s="2"/>
      <c r="P2221" s="2"/>
      <c r="Q2221" s="2"/>
      <c r="R2221" s="2"/>
    </row>
    <row r="2222" spans="1:18" ht="19.5" hidden="1" thickBot="1" x14ac:dyDescent="0.3">
      <c r="A2222" s="991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1"/>
        <v>07,24</v>
      </c>
      <c r="L2222" s="48" t="s">
        <v>28</v>
      </c>
      <c r="M2222" s="48">
        <v>9334.56</v>
      </c>
      <c r="N2222" s="315">
        <v>0.375</v>
      </c>
      <c r="O2222" s="2"/>
      <c r="P2222" s="2"/>
      <c r="Q2222" s="2"/>
      <c r="R2222" s="2"/>
    </row>
    <row r="2223" spans="1:18" ht="19.5" hidden="1" thickBot="1" x14ac:dyDescent="0.3">
      <c r="A2223" s="991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1"/>
        <v>07,24</v>
      </c>
      <c r="L2223" s="31" t="s">
        <v>28</v>
      </c>
      <c r="M2223" s="31">
        <v>3627.08</v>
      </c>
      <c r="N2223" s="316">
        <v>0.375</v>
      </c>
      <c r="O2223" s="2"/>
      <c r="P2223" s="2"/>
      <c r="Q2223" s="2"/>
      <c r="R2223" s="2"/>
    </row>
    <row r="2224" spans="1:18" ht="19.5" hidden="1" thickBot="1" x14ac:dyDescent="0.3">
      <c r="A2224" s="990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1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  <c r="Q2224" s="2"/>
      <c r="R2224" s="2"/>
    </row>
    <row r="2225" spans="1:18" ht="19.5" hidden="1" thickBot="1" x14ac:dyDescent="0.3">
      <c r="A2225" s="990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1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  <c r="Q2225" s="2"/>
      <c r="R2225" s="2"/>
    </row>
    <row r="2226" spans="1:18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1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  <c r="Q2226" s="2"/>
      <c r="R2226" s="2"/>
    </row>
    <row r="2227" spans="1:18" ht="19.5" hidden="1" thickBot="1" x14ac:dyDescent="0.3">
      <c r="A2227" s="990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1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  <c r="Q2227" s="2"/>
      <c r="R2227" s="2"/>
    </row>
    <row r="2228" spans="1:18" ht="19.5" hidden="1" thickBot="1" x14ac:dyDescent="0.3">
      <c r="A2228" s="990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1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  <c r="Q2228" s="2"/>
      <c r="R2228" s="2"/>
    </row>
    <row r="2229" spans="1:18" ht="19.5" hidden="1" thickBot="1" x14ac:dyDescent="0.3">
      <c r="A2229" s="990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1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  <c r="Q2229" s="2"/>
      <c r="R2229" s="2"/>
    </row>
    <row r="2230" spans="1:18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1"/>
        <v>07,24</v>
      </c>
      <c r="L2230" s="75" t="s">
        <v>266</v>
      </c>
      <c r="M2230" s="75">
        <v>18078.96</v>
      </c>
      <c r="N2230" s="322">
        <v>0.375</v>
      </c>
      <c r="O2230" s="2"/>
      <c r="P2230" s="2"/>
      <c r="Q2230" s="2"/>
      <c r="R2230" s="2"/>
    </row>
    <row r="2231" spans="1:18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1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  <c r="Q2231" s="2"/>
      <c r="R2231" s="2"/>
    </row>
    <row r="2232" spans="1:18" ht="19.5" hidden="1" thickBot="1" x14ac:dyDescent="0.3">
      <c r="A2232" s="991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1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  <c r="Q2232" s="2"/>
      <c r="R2232" s="2"/>
    </row>
    <row r="2233" spans="1:18" ht="19.5" hidden="1" thickBot="1" x14ac:dyDescent="0.3">
      <c r="A2233" s="991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1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  <c r="Q2233" s="2"/>
      <c r="R2233" s="2"/>
    </row>
    <row r="2234" spans="1:18" ht="19.5" hidden="1" thickBot="1" x14ac:dyDescent="0.3">
      <c r="A2234" s="991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1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  <c r="Q2234" s="2"/>
      <c r="R2234" s="2"/>
    </row>
    <row r="2235" spans="1:18" ht="19.5" hidden="1" thickBot="1" x14ac:dyDescent="0.3">
      <c r="A2235" s="990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6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  <c r="Q2235" s="2"/>
      <c r="R2235" s="2"/>
    </row>
    <row r="2236" spans="1:18" ht="19.5" hidden="1" thickBot="1" x14ac:dyDescent="0.3">
      <c r="A2236" s="990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6"/>
        <v>07,24</v>
      </c>
      <c r="L2236" s="98" t="s">
        <v>266</v>
      </c>
      <c r="M2236" s="98">
        <v>6903</v>
      </c>
      <c r="N2236" s="364">
        <v>0.5</v>
      </c>
      <c r="O2236" s="2"/>
      <c r="P2236" s="2"/>
      <c r="Q2236" s="2"/>
      <c r="R2236" s="2"/>
    </row>
    <row r="2237" spans="1:18" ht="19.5" hidden="1" thickBot="1" x14ac:dyDescent="0.3">
      <c r="A2237" s="990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6"/>
        <v>07,24</v>
      </c>
      <c r="L2237" s="90" t="s">
        <v>266</v>
      </c>
      <c r="M2237" s="90">
        <v>5254.76</v>
      </c>
      <c r="N2237" s="325">
        <v>0.5</v>
      </c>
      <c r="O2237" s="2"/>
      <c r="P2237" s="2"/>
      <c r="Q2237" s="2"/>
      <c r="R2237" s="2"/>
    </row>
    <row r="2238" spans="1:18" ht="19.5" hidden="1" thickBot="1" x14ac:dyDescent="0.3">
      <c r="A2238" s="111">
        <f t="shared" ref="A2238:A2244" si="57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6"/>
        <v>07,24</v>
      </c>
      <c r="L2238" s="75" t="s">
        <v>265</v>
      </c>
      <c r="M2238" s="75">
        <v>17101.16</v>
      </c>
      <c r="N2238" s="322">
        <v>0.375</v>
      </c>
      <c r="O2238" s="2"/>
      <c r="P2238" s="2"/>
      <c r="Q2238" s="2"/>
      <c r="R2238" s="2"/>
    </row>
    <row r="2239" spans="1:18" ht="19.5" hidden="1" thickBot="1" x14ac:dyDescent="0.3">
      <c r="A2239" s="110">
        <f t="shared" si="57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6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  <c r="Q2239" s="2"/>
      <c r="R2239" s="2"/>
    </row>
    <row r="2240" spans="1:18" ht="19.5" hidden="1" thickBot="1" x14ac:dyDescent="0.3">
      <c r="A2240" s="111">
        <f t="shared" si="57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6"/>
        <v>07,24</v>
      </c>
      <c r="L2240" s="75" t="s">
        <v>265</v>
      </c>
      <c r="M2240" s="75">
        <v>12662.8</v>
      </c>
      <c r="N2240" s="322">
        <v>0.375</v>
      </c>
      <c r="O2240" s="2"/>
      <c r="P2240" s="2"/>
      <c r="Q2240" s="2"/>
      <c r="R2240" s="2"/>
    </row>
    <row r="2241" spans="1:18" ht="19.5" hidden="1" thickBot="1" x14ac:dyDescent="0.3">
      <c r="A2241" s="110">
        <f t="shared" si="57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6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  <c r="Q2241" s="2"/>
      <c r="R2241" s="2"/>
    </row>
    <row r="2242" spans="1:18" ht="19.5" hidden="1" thickBot="1" x14ac:dyDescent="0.3">
      <c r="A2242" s="111">
        <f t="shared" si="57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6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  <c r="Q2242" s="2"/>
      <c r="R2242" s="2"/>
    </row>
    <row r="2243" spans="1:18" ht="19.5" hidden="1" thickBot="1" x14ac:dyDescent="0.3">
      <c r="A2243" s="110">
        <f t="shared" si="57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6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  <c r="Q2243" s="2"/>
      <c r="R2243" s="2"/>
    </row>
    <row r="2244" spans="1:18" ht="19.5" hidden="1" thickBot="1" x14ac:dyDescent="0.3">
      <c r="A2244" s="991">
        <f t="shared" si="57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6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  <c r="Q2244" s="2"/>
      <c r="R2244" s="2"/>
    </row>
    <row r="2245" spans="1:18" ht="19.5" hidden="1" thickBot="1" x14ac:dyDescent="0.3">
      <c r="A2245" s="991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6"/>
        <v>07,24</v>
      </c>
      <c r="L2245" s="71" t="s">
        <v>28</v>
      </c>
      <c r="M2245" s="71">
        <v>11936.58</v>
      </c>
      <c r="N2245" s="323">
        <v>0.5</v>
      </c>
      <c r="O2245" s="2"/>
      <c r="P2245" s="2"/>
      <c r="Q2245" s="2"/>
      <c r="R2245" s="2"/>
    </row>
    <row r="2246" spans="1:18" ht="19.5" hidden="1" thickBot="1" x14ac:dyDescent="0.3">
      <c r="A2246" s="990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6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  <c r="Q2246" s="2"/>
      <c r="R2246" s="2"/>
    </row>
    <row r="2247" spans="1:18" ht="19.5" hidden="1" thickBot="1" x14ac:dyDescent="0.3">
      <c r="A2247" s="990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6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  <c r="Q2247" s="2"/>
      <c r="R2247" s="2"/>
    </row>
    <row r="2248" spans="1:18" ht="19.5" hidden="1" thickBot="1" x14ac:dyDescent="0.3">
      <c r="A2248" s="990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6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  <c r="Q2248" s="2"/>
      <c r="R2248" s="2"/>
    </row>
    <row r="2249" spans="1:18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6"/>
        <v>07,24</v>
      </c>
      <c r="L2249" s="75" t="s">
        <v>265</v>
      </c>
      <c r="M2249" s="75">
        <v>13304.88</v>
      </c>
      <c r="N2249" s="322">
        <v>0.375</v>
      </c>
      <c r="O2249" s="2"/>
      <c r="P2249" s="2"/>
      <c r="Q2249" s="2"/>
      <c r="R2249" s="2"/>
    </row>
    <row r="2250" spans="1:18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6"/>
        <v>07,24</v>
      </c>
      <c r="L2250" s="40" t="s">
        <v>265</v>
      </c>
      <c r="M2250" s="40">
        <v>17175.04</v>
      </c>
      <c r="N2250" s="317">
        <v>0.375</v>
      </c>
      <c r="O2250" s="2"/>
      <c r="P2250" s="2"/>
      <c r="Q2250" s="2"/>
      <c r="R2250" s="2"/>
    </row>
    <row r="2251" spans="1:18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6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  <c r="Q2251" s="2"/>
      <c r="R2251" s="2"/>
    </row>
    <row r="2252" spans="1:18" ht="19.5" hidden="1" thickBot="1" x14ac:dyDescent="0.3">
      <c r="A2252" s="990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6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  <c r="Q2252" s="2"/>
      <c r="R2252" s="2"/>
    </row>
    <row r="2253" spans="1:18" ht="19.5" hidden="1" thickBot="1" x14ac:dyDescent="0.3">
      <c r="A2253" s="990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6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  <c r="Q2253" s="2"/>
      <c r="R2253" s="2"/>
    </row>
    <row r="2254" spans="1:18" ht="19.5" hidden="1" thickBot="1" x14ac:dyDescent="0.3">
      <c r="A2254" s="990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6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  <c r="Q2254" s="2"/>
      <c r="R2254" s="2"/>
    </row>
    <row r="2255" spans="1:18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6"/>
        <v>07,24</v>
      </c>
      <c r="L2255" s="75" t="s">
        <v>265</v>
      </c>
      <c r="M2255" s="75">
        <v>17143.14</v>
      </c>
      <c r="N2255" s="322">
        <v>0.375</v>
      </c>
      <c r="O2255" s="2"/>
      <c r="P2255" s="2"/>
      <c r="Q2255" s="2"/>
      <c r="R2255" s="2"/>
    </row>
    <row r="2256" spans="1:18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6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  <c r="Q2256" s="2"/>
      <c r="R2256" s="2"/>
    </row>
    <row r="2257" spans="1:18" ht="19.5" hidden="1" thickBot="1" x14ac:dyDescent="0.3">
      <c r="A2257" s="991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6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  <c r="Q2257" s="2"/>
      <c r="R2257" s="2"/>
    </row>
    <row r="2258" spans="1:18" ht="19.5" hidden="1" thickBot="1" x14ac:dyDescent="0.3">
      <c r="A2258" s="991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6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  <c r="Q2258" s="2"/>
      <c r="R2258" s="2"/>
    </row>
    <row r="2259" spans="1:18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6"/>
        <v>07,24</v>
      </c>
      <c r="L2259" s="40" t="s">
        <v>28</v>
      </c>
      <c r="M2259" s="40">
        <v>14152.38</v>
      </c>
      <c r="N2259" s="317">
        <v>0.5</v>
      </c>
      <c r="O2259" s="2"/>
      <c r="P2259" s="2"/>
      <c r="Q2259" s="2"/>
      <c r="R2259" s="2"/>
    </row>
    <row r="2260" spans="1:18" ht="19.5" hidden="1" thickBot="1" x14ac:dyDescent="0.3">
      <c r="A2260" s="991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6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  <c r="Q2260" s="2"/>
      <c r="R2260" s="2"/>
    </row>
    <row r="2261" spans="1:18" ht="19.5" hidden="1" thickBot="1" x14ac:dyDescent="0.3">
      <c r="A2261" s="991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6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  <c r="Q2261" s="2"/>
      <c r="R2261" s="2"/>
    </row>
    <row r="2262" spans="1:18" ht="19.5" hidden="1" thickBot="1" x14ac:dyDescent="0.3">
      <c r="A2262" s="990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6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  <c r="Q2262" s="2"/>
      <c r="R2262" s="2"/>
    </row>
    <row r="2263" spans="1:18" ht="19.5" hidden="1" thickBot="1" x14ac:dyDescent="0.3">
      <c r="A2263" s="990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6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  <c r="Q2263" s="2"/>
      <c r="R2263" s="2"/>
    </row>
    <row r="2264" spans="1:18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6"/>
        <v>07,24</v>
      </c>
      <c r="L2264" s="75" t="s">
        <v>265</v>
      </c>
      <c r="M2264" s="75">
        <v>17335.46</v>
      </c>
      <c r="N2264" s="322">
        <v>0.375</v>
      </c>
      <c r="O2264" s="2"/>
      <c r="P2264" s="2"/>
      <c r="Q2264" s="2"/>
      <c r="R2264" s="2"/>
    </row>
    <row r="2265" spans="1:18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6"/>
        <v>07,24</v>
      </c>
      <c r="L2265" s="40" t="s">
        <v>28</v>
      </c>
      <c r="M2265" s="40">
        <v>13357.52</v>
      </c>
      <c r="N2265" s="317">
        <v>0.375</v>
      </c>
      <c r="O2265" s="2"/>
      <c r="P2265" s="2"/>
      <c r="Q2265" s="2"/>
      <c r="R2265" s="2"/>
    </row>
    <row r="2266" spans="1:18" ht="19.5" hidden="1" thickBot="1" x14ac:dyDescent="0.3">
      <c r="A2266" s="991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6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  <c r="Q2266" s="2"/>
      <c r="R2266" s="2"/>
    </row>
    <row r="2267" spans="1:18" ht="19.5" hidden="1" thickBot="1" x14ac:dyDescent="0.3">
      <c r="A2267" s="991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6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  <c r="Q2267" s="2"/>
      <c r="R2267" s="2"/>
    </row>
    <row r="2268" spans="1:18" ht="19.5" hidden="1" thickBot="1" x14ac:dyDescent="0.3">
      <c r="A2268" s="991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6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  <c r="Q2268" s="2"/>
      <c r="R2268" s="2"/>
    </row>
    <row r="2269" spans="1:18" ht="19.5" hidden="1" thickBot="1" x14ac:dyDescent="0.3">
      <c r="A2269" s="110">
        <f t="shared" ref="A2269:A2275" si="58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6"/>
        <v>07,24</v>
      </c>
      <c r="L2269" s="40" t="s">
        <v>28</v>
      </c>
      <c r="M2269" s="40">
        <v>13178.48</v>
      </c>
      <c r="N2269" s="317">
        <v>0.375</v>
      </c>
      <c r="O2269" s="2"/>
      <c r="P2269" s="2"/>
      <c r="Q2269" s="2"/>
      <c r="R2269" s="2"/>
    </row>
    <row r="2270" spans="1:18" ht="19.5" hidden="1" thickBot="1" x14ac:dyDescent="0.3">
      <c r="A2270" s="111">
        <f t="shared" si="58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6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  <c r="Q2270" s="2"/>
      <c r="R2270" s="2"/>
    </row>
    <row r="2271" spans="1:18" ht="19.5" hidden="1" thickBot="1" x14ac:dyDescent="0.3">
      <c r="A2271" s="110">
        <f t="shared" si="58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6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  <c r="Q2271" s="2"/>
      <c r="R2271" s="2"/>
    </row>
    <row r="2272" spans="1:18" ht="19.5" hidden="1" thickBot="1" x14ac:dyDescent="0.3">
      <c r="A2272" s="111">
        <f t="shared" si="58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6"/>
        <v>07,24</v>
      </c>
      <c r="L2272" s="75" t="s">
        <v>266</v>
      </c>
      <c r="M2272" s="75">
        <v>17777.12</v>
      </c>
      <c r="N2272" s="322">
        <v>0.375</v>
      </c>
      <c r="O2272" s="2"/>
      <c r="P2272" s="2"/>
      <c r="Q2272" s="2"/>
      <c r="R2272" s="2"/>
    </row>
    <row r="2273" spans="1:18" ht="19.5" hidden="1" thickBot="1" x14ac:dyDescent="0.3">
      <c r="A2273" s="110">
        <f t="shared" si="58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6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  <c r="Q2273" s="2"/>
      <c r="R2273" s="2"/>
    </row>
    <row r="2274" spans="1:18" ht="19.5" hidden="1" thickBot="1" x14ac:dyDescent="0.3">
      <c r="A2274" s="111">
        <f t="shared" si="58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6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  <c r="Q2274" s="2"/>
      <c r="R2274" s="2"/>
    </row>
    <row r="2275" spans="1:18" ht="19.5" hidden="1" thickBot="1" x14ac:dyDescent="0.3">
      <c r="A2275" s="990">
        <f t="shared" si="58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6"/>
        <v>07,24</v>
      </c>
      <c r="L2275" s="82" t="s">
        <v>266</v>
      </c>
      <c r="M2275" s="82">
        <v>5172.76</v>
      </c>
      <c r="N2275" s="319">
        <v>0.5</v>
      </c>
      <c r="O2275" s="2"/>
      <c r="P2275" s="2"/>
      <c r="Q2275" s="2"/>
      <c r="R2275" s="2"/>
    </row>
    <row r="2276" spans="1:18" ht="19.5" hidden="1" thickBot="1" x14ac:dyDescent="0.3">
      <c r="A2276" s="990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6"/>
        <v>07,24</v>
      </c>
      <c r="L2276" s="98" t="s">
        <v>266</v>
      </c>
      <c r="M2276" s="98">
        <v>3502.2</v>
      </c>
      <c r="N2276" s="364">
        <v>0.5</v>
      </c>
      <c r="O2276" s="2"/>
      <c r="P2276" s="2"/>
      <c r="Q2276" s="2"/>
      <c r="R2276" s="2"/>
    </row>
    <row r="2277" spans="1:18" ht="19.5" hidden="1" thickBot="1" x14ac:dyDescent="0.3">
      <c r="A2277" s="990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6"/>
        <v>07,24</v>
      </c>
      <c r="L2277" s="90" t="s">
        <v>266</v>
      </c>
      <c r="M2277" s="90">
        <v>8170.55</v>
      </c>
      <c r="N2277" s="325">
        <v>0.5</v>
      </c>
      <c r="O2277" s="2"/>
      <c r="P2277" s="2"/>
      <c r="Q2277" s="2"/>
      <c r="R2277" s="2"/>
    </row>
    <row r="2278" spans="1:18" ht="19.5" hidden="1" thickBot="1" x14ac:dyDescent="0.3">
      <c r="A2278" s="111">
        <f t="shared" ref="A2278:A2283" si="59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6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  <c r="Q2278" s="2"/>
      <c r="R2278" s="2"/>
    </row>
    <row r="2279" spans="1:18" ht="19.5" hidden="1" thickBot="1" x14ac:dyDescent="0.3">
      <c r="A2279" s="110">
        <f t="shared" si="59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6"/>
        <v>07,24</v>
      </c>
      <c r="L2279" s="40" t="s">
        <v>265</v>
      </c>
      <c r="M2279" s="40">
        <v>13048.92</v>
      </c>
      <c r="N2279" s="317">
        <v>0.375</v>
      </c>
      <c r="O2279" s="2"/>
      <c r="P2279" s="2"/>
      <c r="Q2279" s="2"/>
      <c r="R2279" s="2"/>
    </row>
    <row r="2280" spans="1:18" ht="19.5" hidden="1" thickBot="1" x14ac:dyDescent="0.3">
      <c r="A2280" s="111">
        <f t="shared" si="59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6"/>
        <v>07,24</v>
      </c>
      <c r="L2280" s="75" t="s">
        <v>265</v>
      </c>
      <c r="M2280" s="75">
        <v>17067.66</v>
      </c>
      <c r="N2280" s="322">
        <v>0.375</v>
      </c>
      <c r="O2280" s="2"/>
      <c r="P2280" s="2"/>
      <c r="Q2280" s="2"/>
      <c r="R2280" s="2"/>
    </row>
    <row r="2281" spans="1:18" ht="19.5" hidden="1" thickBot="1" x14ac:dyDescent="0.3">
      <c r="A2281" s="149">
        <f t="shared" si="59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6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  <c r="Q2281" s="2"/>
      <c r="R2281" s="2"/>
    </row>
    <row r="2282" spans="1:18" ht="19.5" hidden="1" thickBot="1" x14ac:dyDescent="0.3">
      <c r="A2282" s="111">
        <f t="shared" si="59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6"/>
        <v>07,24</v>
      </c>
      <c r="L2282" s="75" t="s">
        <v>265</v>
      </c>
      <c r="M2282" s="75">
        <v>17244.96</v>
      </c>
      <c r="N2282" s="322">
        <v>0.375</v>
      </c>
      <c r="O2282" s="2"/>
      <c r="P2282" s="2"/>
      <c r="Q2282" s="2"/>
      <c r="R2282" s="2"/>
    </row>
    <row r="2283" spans="1:18" ht="19.5" hidden="1" thickBot="1" x14ac:dyDescent="0.3">
      <c r="A2283" s="990">
        <f t="shared" si="59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6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  <c r="Q2283" s="2"/>
      <c r="R2283" s="2"/>
    </row>
    <row r="2284" spans="1:18" ht="19.5" hidden="1" thickBot="1" x14ac:dyDescent="0.3">
      <c r="A2284" s="990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6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  <c r="Q2284" s="2"/>
      <c r="R2284" s="2"/>
    </row>
    <row r="2285" spans="1:18" ht="19.5" hidden="1" thickBot="1" x14ac:dyDescent="0.3">
      <c r="A2285" s="990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6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  <c r="Q2285" s="2"/>
      <c r="R2285" s="2"/>
    </row>
    <row r="2286" spans="1:18" ht="19.5" hidden="1" thickBot="1" x14ac:dyDescent="0.3">
      <c r="A2286" s="991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6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  <c r="Q2286" s="2"/>
      <c r="R2286" s="2"/>
    </row>
    <row r="2287" spans="1:18" ht="19.5" hidden="1" thickBot="1" x14ac:dyDescent="0.3">
      <c r="A2287" s="991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6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  <c r="Q2287" s="2"/>
      <c r="R2287" s="2"/>
    </row>
    <row r="2288" spans="1:18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6"/>
        <v>07,24</v>
      </c>
      <c r="L2288" s="122" t="s">
        <v>28</v>
      </c>
      <c r="M2288" s="122">
        <v>17692.84</v>
      </c>
      <c r="N2288" s="365">
        <v>0.5</v>
      </c>
      <c r="O2288" s="2"/>
      <c r="P2288" s="2"/>
      <c r="Q2288" s="2"/>
      <c r="R2288" s="2"/>
    </row>
    <row r="2289" spans="1:18" ht="19.5" hidden="1" thickBot="1" x14ac:dyDescent="0.3">
      <c r="A2289" s="991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6"/>
        <v>07,24</v>
      </c>
      <c r="L2289" s="48" t="s">
        <v>265</v>
      </c>
      <c r="M2289" s="48">
        <v>13040.76</v>
      </c>
      <c r="N2289" s="315">
        <v>0.375</v>
      </c>
      <c r="O2289" s="2"/>
      <c r="P2289" s="2"/>
      <c r="Q2289" s="2"/>
      <c r="R2289" s="2"/>
    </row>
    <row r="2290" spans="1:18" ht="38.25" hidden="1" thickBot="1" x14ac:dyDescent="0.3">
      <c r="A2290" s="991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6"/>
        <v>07,24</v>
      </c>
      <c r="L2290" s="71" t="s">
        <v>265</v>
      </c>
      <c r="M2290" s="71">
        <v>261</v>
      </c>
      <c r="N2290" s="323">
        <v>0.375</v>
      </c>
      <c r="O2290" s="2"/>
      <c r="P2290" s="2"/>
      <c r="Q2290" s="2"/>
      <c r="R2290" s="2"/>
    </row>
    <row r="2291" spans="1:18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6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  <c r="Q2291" s="2"/>
      <c r="R2291" s="2"/>
    </row>
    <row r="2292" spans="1:18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6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  <c r="Q2292" s="2"/>
      <c r="R2292" s="2"/>
    </row>
    <row r="2293" spans="1:18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6"/>
        <v>07,24</v>
      </c>
      <c r="L2293" s="40" t="s">
        <v>265</v>
      </c>
      <c r="M2293" s="40">
        <v>17177.2</v>
      </c>
      <c r="N2293" s="317">
        <v>0.375</v>
      </c>
      <c r="O2293" s="2"/>
      <c r="P2293" s="2"/>
      <c r="Q2293" s="2"/>
      <c r="R2293" s="2"/>
    </row>
    <row r="2294" spans="1:18" ht="19.5" hidden="1" thickBot="1" x14ac:dyDescent="0.3">
      <c r="A2294" s="991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6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  <c r="Q2294" s="2"/>
      <c r="R2294" s="2"/>
    </row>
    <row r="2295" spans="1:18" ht="19.5" hidden="1" thickBot="1" x14ac:dyDescent="0.3">
      <c r="A2295" s="991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6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  <c r="Q2295" s="2"/>
      <c r="R2295" s="2"/>
    </row>
    <row r="2296" spans="1:18" ht="19.5" hidden="1" thickBot="1" x14ac:dyDescent="0.3">
      <c r="A2296" s="991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6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  <c r="Q2296" s="2"/>
      <c r="R2296" s="2"/>
    </row>
    <row r="2297" spans="1:18" ht="19.5" hidden="1" thickBot="1" x14ac:dyDescent="0.3">
      <c r="A2297" s="990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6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  <c r="Q2297" s="2"/>
      <c r="R2297" s="2"/>
    </row>
    <row r="2298" spans="1:18" ht="19.5" hidden="1" thickBot="1" x14ac:dyDescent="0.3">
      <c r="A2298" s="990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6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  <c r="Q2298" s="2"/>
      <c r="R2298" s="2"/>
    </row>
    <row r="2299" spans="1:18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60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  <c r="Q2299" s="2"/>
      <c r="R2299" s="2"/>
    </row>
    <row r="2300" spans="1:18" ht="19.5" hidden="1" thickBot="1" x14ac:dyDescent="0.3">
      <c r="A2300" s="990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60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  <c r="Q2300" s="2"/>
      <c r="R2300" s="2"/>
    </row>
    <row r="2301" spans="1:18" ht="19.5" hidden="1" thickBot="1" x14ac:dyDescent="0.3">
      <c r="A2301" s="990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60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  <c r="Q2301" s="2"/>
      <c r="R2301" s="2"/>
    </row>
    <row r="2302" spans="1:18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60"/>
        <v>07,24</v>
      </c>
      <c r="L2302" s="75" t="s">
        <v>28</v>
      </c>
      <c r="M2302" s="75">
        <v>12733.8</v>
      </c>
      <c r="N2302" s="322">
        <v>0.375</v>
      </c>
      <c r="O2302" s="2"/>
      <c r="P2302" s="2"/>
      <c r="Q2302" s="2"/>
      <c r="R2302" s="2"/>
    </row>
    <row r="2303" spans="1:18" ht="19.5" hidden="1" thickBot="1" x14ac:dyDescent="0.3">
      <c r="A2303" s="990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60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  <c r="Q2303" s="2"/>
      <c r="R2303" s="2"/>
    </row>
    <row r="2304" spans="1:18" ht="19.5" hidden="1" thickBot="1" x14ac:dyDescent="0.3">
      <c r="A2304" s="990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60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  <c r="Q2304" s="2"/>
      <c r="R2304" s="2"/>
    </row>
    <row r="2305" spans="1:18" ht="19.5" hidden="1" thickBot="1" x14ac:dyDescent="0.3">
      <c r="A2305" s="990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60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  <c r="Q2305" s="2"/>
      <c r="R2305" s="2"/>
    </row>
    <row r="2306" spans="1:18" ht="19.5" hidden="1" thickBot="1" x14ac:dyDescent="0.3">
      <c r="A2306" s="991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60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  <c r="Q2306" s="2"/>
      <c r="R2306" s="2"/>
    </row>
    <row r="2307" spans="1:18" ht="19.5" hidden="1" thickBot="1" x14ac:dyDescent="0.3">
      <c r="A2307" s="991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60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  <c r="Q2307" s="2"/>
      <c r="R2307" s="2"/>
    </row>
    <row r="2308" spans="1:18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60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  <c r="Q2308" s="2"/>
      <c r="R2308" s="2"/>
    </row>
    <row r="2309" spans="1:18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60"/>
        <v>08,24</v>
      </c>
      <c r="L2309" s="75" t="s">
        <v>266</v>
      </c>
      <c r="M2309" s="75">
        <v>18076.62</v>
      </c>
      <c r="N2309" s="322">
        <v>0.375</v>
      </c>
      <c r="O2309" s="2"/>
      <c r="P2309" s="2"/>
      <c r="Q2309" s="2"/>
      <c r="R2309" s="2"/>
    </row>
    <row r="2310" spans="1:18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60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  <c r="Q2310" s="2"/>
      <c r="R2310" s="2"/>
    </row>
    <row r="2311" spans="1:18" ht="19.5" hidden="1" thickBot="1" x14ac:dyDescent="0.3">
      <c r="A2311" s="991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60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  <c r="Q2311" s="2"/>
      <c r="R2311" s="2"/>
    </row>
    <row r="2312" spans="1:18" ht="19.5" hidden="1" thickBot="1" x14ac:dyDescent="0.3">
      <c r="A2312" s="991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60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  <c r="Q2312" s="2"/>
      <c r="R2312" s="2"/>
    </row>
    <row r="2313" spans="1:18" ht="19.5" hidden="1" thickBot="1" x14ac:dyDescent="0.3">
      <c r="A2313" s="991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60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  <c r="Q2313" s="2"/>
      <c r="R2313" s="2"/>
    </row>
    <row r="2314" spans="1:18" ht="19.5" hidden="1" thickBot="1" x14ac:dyDescent="0.3">
      <c r="A2314" s="990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60"/>
        <v>08,24</v>
      </c>
      <c r="L2314" s="82" t="s">
        <v>266</v>
      </c>
      <c r="M2314" s="82">
        <v>4454.12</v>
      </c>
      <c r="N2314" s="319">
        <v>0.5</v>
      </c>
      <c r="O2314" s="2"/>
      <c r="P2314" s="2"/>
      <c r="Q2314" s="2"/>
      <c r="R2314" s="2"/>
    </row>
    <row r="2315" spans="1:18" ht="19.5" hidden="1" thickBot="1" x14ac:dyDescent="0.3">
      <c r="A2315" s="990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60"/>
        <v>08,24</v>
      </c>
      <c r="L2315" s="98" t="s">
        <v>266</v>
      </c>
      <c r="M2315" s="98">
        <v>7426.2</v>
      </c>
      <c r="N2315" s="364">
        <v>0.5</v>
      </c>
      <c r="O2315" s="2"/>
      <c r="P2315" s="2"/>
      <c r="Q2315" s="2"/>
      <c r="R2315" s="2"/>
    </row>
    <row r="2316" spans="1:18" ht="19.5" hidden="1" thickBot="1" x14ac:dyDescent="0.3">
      <c r="A2316" s="990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60"/>
        <v>08,24</v>
      </c>
      <c r="L2316" s="90" t="s">
        <v>266</v>
      </c>
      <c r="M2316" s="90">
        <v>5552.54</v>
      </c>
      <c r="N2316" s="325">
        <v>0.5</v>
      </c>
      <c r="O2316" s="2"/>
      <c r="P2316" s="2"/>
      <c r="Q2316" s="2"/>
      <c r="R2316" s="2"/>
    </row>
    <row r="2317" spans="1:18" ht="19.5" hidden="1" thickBot="1" x14ac:dyDescent="0.3">
      <c r="A2317" s="153">
        <f t="shared" ref="A2317:A2326" si="61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60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  <c r="Q2317" s="2"/>
      <c r="R2317" s="2"/>
    </row>
    <row r="2318" spans="1:18" ht="19.5" hidden="1" thickBot="1" x14ac:dyDescent="0.3">
      <c r="A2318" s="110">
        <f t="shared" si="61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60"/>
        <v>08,24</v>
      </c>
      <c r="L2318" s="40" t="s">
        <v>265</v>
      </c>
      <c r="M2318" s="40">
        <v>12724.48</v>
      </c>
      <c r="N2318" s="317">
        <v>0.375</v>
      </c>
      <c r="O2318" s="2"/>
      <c r="P2318" s="2"/>
      <c r="Q2318" s="2"/>
      <c r="R2318" s="2"/>
    </row>
    <row r="2319" spans="1:18" ht="19.5" hidden="1" thickBot="1" x14ac:dyDescent="0.3">
      <c r="A2319" s="111">
        <f t="shared" si="61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60"/>
        <v>08,24</v>
      </c>
      <c r="L2319" s="75" t="s">
        <v>265</v>
      </c>
      <c r="M2319" s="75">
        <v>16304.3</v>
      </c>
      <c r="N2319" s="322">
        <v>0.375</v>
      </c>
      <c r="O2319" s="2"/>
      <c r="P2319" s="2"/>
      <c r="Q2319" s="2"/>
      <c r="R2319" s="2"/>
    </row>
    <row r="2320" spans="1:18" ht="57" hidden="1" thickBot="1" x14ac:dyDescent="0.3">
      <c r="A2320" s="110">
        <f t="shared" si="61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60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  <c r="Q2320" s="2"/>
      <c r="R2320" s="2"/>
    </row>
    <row r="2321" spans="1:18" ht="19.5" hidden="1" thickBot="1" x14ac:dyDescent="0.3">
      <c r="A2321" s="153">
        <f t="shared" si="61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60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  <c r="Q2321" s="2"/>
      <c r="R2321" s="2"/>
    </row>
    <row r="2322" spans="1:18" ht="19.5" hidden="1" thickBot="1" x14ac:dyDescent="0.3">
      <c r="A2322" s="110">
        <f t="shared" si="61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60"/>
        <v>08,24</v>
      </c>
      <c r="L2322" s="40" t="s">
        <v>265</v>
      </c>
      <c r="M2322" s="40">
        <v>17128.98</v>
      </c>
      <c r="N2322" s="317">
        <v>0.375</v>
      </c>
      <c r="O2322" s="2"/>
      <c r="P2322" s="2"/>
      <c r="Q2322" s="2"/>
      <c r="R2322" s="2"/>
    </row>
    <row r="2323" spans="1:18" ht="19.5" hidden="1" thickBot="1" x14ac:dyDescent="0.3">
      <c r="A2323" s="111">
        <f t="shared" si="61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60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  <c r="Q2323" s="2"/>
      <c r="R2323" s="2"/>
    </row>
    <row r="2324" spans="1:18" ht="19.5" hidden="1" thickBot="1" x14ac:dyDescent="0.3">
      <c r="A2324" s="110">
        <f t="shared" si="61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60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  <c r="Q2324" s="2"/>
      <c r="R2324" s="2"/>
    </row>
    <row r="2325" spans="1:18" ht="19.5" hidden="1" thickBot="1" x14ac:dyDescent="0.3">
      <c r="A2325" s="111">
        <f t="shared" si="61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60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  <c r="Q2325" s="2"/>
      <c r="R2325" s="2"/>
    </row>
    <row r="2326" spans="1:18" ht="19.5" hidden="1" thickBot="1" x14ac:dyDescent="0.3">
      <c r="A2326" s="990">
        <f t="shared" si="61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60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  <c r="Q2326" s="2"/>
      <c r="R2326" s="2"/>
    </row>
    <row r="2327" spans="1:18" ht="19.5" hidden="1" thickBot="1" x14ac:dyDescent="0.3">
      <c r="A2327" s="990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60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  <c r="Q2327" s="2"/>
      <c r="R2327" s="2"/>
    </row>
    <row r="2328" spans="1:18" ht="19.5" hidden="1" thickBot="1" x14ac:dyDescent="0.3">
      <c r="A2328" s="995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60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  <c r="Q2328" s="2"/>
      <c r="R2328" s="2"/>
    </row>
    <row r="2329" spans="1:18" ht="19.5" hidden="1" thickBot="1" x14ac:dyDescent="0.3">
      <c r="A2329" s="995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60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  <c r="Q2329" s="2"/>
      <c r="R2329" s="2"/>
    </row>
    <row r="2330" spans="1:18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60"/>
        <v>08,24</v>
      </c>
      <c r="L2330" s="40" t="s">
        <v>265</v>
      </c>
      <c r="M2330" s="40">
        <v>13063.64</v>
      </c>
      <c r="N2330" s="317">
        <v>0.375</v>
      </c>
      <c r="O2330" s="2"/>
      <c r="P2330" s="2"/>
      <c r="Q2330" s="2"/>
      <c r="R2330" s="2"/>
    </row>
    <row r="2331" spans="1:18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60"/>
        <v>08,24</v>
      </c>
      <c r="L2331" s="75" t="s">
        <v>265</v>
      </c>
      <c r="M2331" s="75">
        <v>17243.46</v>
      </c>
      <c r="N2331" s="322">
        <v>0.375</v>
      </c>
      <c r="O2331" s="2"/>
      <c r="P2331" s="2"/>
      <c r="Q2331" s="2"/>
      <c r="R2331" s="2"/>
    </row>
    <row r="2332" spans="1:18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60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  <c r="Q2332" s="2"/>
      <c r="R2332" s="2"/>
    </row>
    <row r="2333" spans="1:18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60"/>
        <v>08,24</v>
      </c>
      <c r="L2333" s="75" t="s">
        <v>265</v>
      </c>
      <c r="M2333" s="75">
        <v>17345.96</v>
      </c>
      <c r="N2333" s="322">
        <v>0.375</v>
      </c>
      <c r="O2333" s="2"/>
      <c r="P2333" s="2"/>
      <c r="Q2333" s="2"/>
      <c r="R2333" s="2"/>
    </row>
    <row r="2334" spans="1:18" ht="19.5" hidden="1" thickBot="1" x14ac:dyDescent="0.3">
      <c r="A2334" s="990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60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  <c r="Q2334" s="2"/>
      <c r="R2334" s="2"/>
    </row>
    <row r="2335" spans="1:18" ht="19.5" hidden="1" thickBot="1" x14ac:dyDescent="0.3">
      <c r="A2335" s="990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60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  <c r="Q2335" s="2"/>
      <c r="R2335" s="2"/>
    </row>
    <row r="2336" spans="1:18" ht="19.5" hidden="1" thickBot="1" x14ac:dyDescent="0.3">
      <c r="A2336" s="990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60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  <c r="Q2336" s="2"/>
      <c r="R2336" s="2"/>
    </row>
    <row r="2337" spans="1:18" ht="19.5" hidden="1" thickBot="1" x14ac:dyDescent="0.3">
      <c r="A2337" s="991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60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  <c r="Q2337" s="2"/>
      <c r="R2337" s="2"/>
    </row>
    <row r="2338" spans="1:18" ht="19.5" hidden="1" thickBot="1" x14ac:dyDescent="0.3">
      <c r="A2338" s="991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60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  <c r="Q2338" s="2"/>
      <c r="R2338" s="2"/>
    </row>
    <row r="2339" spans="1:18" ht="19.5" hidden="1" thickBot="1" x14ac:dyDescent="0.3">
      <c r="A2339" s="990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60"/>
        <v>08,24</v>
      </c>
      <c r="L2339" s="82" t="s">
        <v>28</v>
      </c>
      <c r="M2339" s="82">
        <v>13696.47</v>
      </c>
      <c r="N2339" s="319">
        <v>0.5</v>
      </c>
      <c r="O2339" s="2"/>
      <c r="P2339" s="2"/>
      <c r="Q2339" s="2"/>
      <c r="R2339" s="2"/>
    </row>
    <row r="2340" spans="1:18" ht="19.5" hidden="1" thickBot="1" x14ac:dyDescent="0.3">
      <c r="A2340" s="990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60"/>
        <v>08,24</v>
      </c>
      <c r="L2340" s="90" t="s">
        <v>28</v>
      </c>
      <c r="M2340" s="90">
        <v>3640.51</v>
      </c>
      <c r="N2340" s="325">
        <v>0.5</v>
      </c>
      <c r="O2340" s="2"/>
      <c r="P2340" s="2"/>
      <c r="Q2340" s="2"/>
      <c r="R2340" s="2"/>
    </row>
    <row r="2341" spans="1:18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60"/>
        <v>08,24</v>
      </c>
      <c r="L2341" s="75" t="s">
        <v>265</v>
      </c>
      <c r="M2341" s="75">
        <v>17468.68</v>
      </c>
      <c r="N2341" s="322">
        <v>0.375</v>
      </c>
      <c r="O2341" s="2"/>
      <c r="P2341" s="2"/>
      <c r="Q2341" s="2"/>
      <c r="R2341" s="2"/>
    </row>
    <row r="2342" spans="1:18" ht="19.5" hidden="1" thickBot="1" x14ac:dyDescent="0.3">
      <c r="A2342" s="990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60"/>
        <v>08,24</v>
      </c>
      <c r="L2342" s="82" t="s">
        <v>28</v>
      </c>
      <c r="M2342" s="82">
        <v>6189.64</v>
      </c>
      <c r="N2342" s="319">
        <v>0.375</v>
      </c>
      <c r="O2342" s="2"/>
      <c r="P2342" s="2"/>
      <c r="Q2342" s="2"/>
      <c r="R2342" s="2"/>
    </row>
    <row r="2343" spans="1:18" ht="19.5" hidden="1" thickBot="1" x14ac:dyDescent="0.3">
      <c r="A2343" s="990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60"/>
        <v>08,24</v>
      </c>
      <c r="L2343" s="98" t="s">
        <v>28</v>
      </c>
      <c r="M2343" s="98">
        <v>3990</v>
      </c>
      <c r="N2343" s="364">
        <v>0.375</v>
      </c>
      <c r="O2343" s="2"/>
      <c r="P2343" s="2"/>
      <c r="Q2343" s="2"/>
      <c r="R2343" s="2"/>
    </row>
    <row r="2344" spans="1:18" ht="19.5" hidden="1" thickBot="1" x14ac:dyDescent="0.3">
      <c r="A2344" s="990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60"/>
        <v>08,24</v>
      </c>
      <c r="L2344" s="98" t="s">
        <v>28</v>
      </c>
      <c r="M2344" s="98">
        <v>2540.16</v>
      </c>
      <c r="N2344" s="364">
        <v>0.375</v>
      </c>
      <c r="O2344" s="2"/>
      <c r="P2344" s="2"/>
      <c r="Q2344" s="2"/>
      <c r="R2344" s="2"/>
    </row>
    <row r="2345" spans="1:18" ht="38.25" hidden="1" thickBot="1" x14ac:dyDescent="0.3">
      <c r="A2345" s="990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60"/>
        <v>нет</v>
      </c>
      <c r="L2345" s="98" t="s">
        <v>28</v>
      </c>
      <c r="M2345" s="98">
        <v>0.06</v>
      </c>
      <c r="N2345" s="364">
        <v>0.375</v>
      </c>
      <c r="O2345" s="2"/>
      <c r="P2345" s="2"/>
      <c r="Q2345" s="2"/>
      <c r="R2345" s="2"/>
    </row>
    <row r="2346" spans="1:18" ht="38.25" hidden="1" thickBot="1" x14ac:dyDescent="0.3">
      <c r="A2346" s="990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60"/>
        <v>нет</v>
      </c>
      <c r="L2346" s="90" t="s">
        <v>28</v>
      </c>
      <c r="M2346" s="90">
        <v>0.06</v>
      </c>
      <c r="N2346" s="325">
        <v>0.375</v>
      </c>
      <c r="O2346" s="2"/>
      <c r="P2346" s="2"/>
      <c r="Q2346" s="2"/>
      <c r="R2346" s="2"/>
    </row>
    <row r="2347" spans="1:18" ht="19.5" hidden="1" thickBot="1" x14ac:dyDescent="0.3">
      <c r="A2347" s="991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60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  <c r="Q2347" s="2"/>
      <c r="R2347" s="2"/>
    </row>
    <row r="2348" spans="1:18" ht="19.5" hidden="1" thickBot="1" x14ac:dyDescent="0.3">
      <c r="A2348" s="991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60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  <c r="Q2348" s="2"/>
      <c r="R2348" s="2"/>
    </row>
    <row r="2349" spans="1:18" ht="38.25" hidden="1" thickBot="1" x14ac:dyDescent="0.3">
      <c r="A2349" s="991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60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  <c r="Q2349" s="2"/>
      <c r="R2349" s="2"/>
    </row>
    <row r="2350" spans="1:18" ht="38.25" hidden="1" thickBot="1" x14ac:dyDescent="0.3">
      <c r="A2350" s="991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60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  <c r="Q2350" s="2"/>
      <c r="R2350" s="2"/>
    </row>
    <row r="2351" spans="1:18" ht="19.5" hidden="1" thickBot="1" x14ac:dyDescent="0.3">
      <c r="A2351" s="149">
        <f t="shared" ref="A2351:A2356" si="62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60"/>
        <v>08,24</v>
      </c>
      <c r="L2351" s="122" t="s">
        <v>266</v>
      </c>
      <c r="M2351" s="122">
        <v>16054.2</v>
      </c>
      <c r="N2351" s="365">
        <v>0.5</v>
      </c>
      <c r="O2351" s="2"/>
      <c r="P2351" s="2"/>
      <c r="Q2351" s="2"/>
      <c r="R2351" s="2"/>
    </row>
    <row r="2352" spans="1:18" ht="19.5" hidden="1" thickBot="1" x14ac:dyDescent="0.3">
      <c r="A2352" s="111">
        <f t="shared" si="62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60"/>
        <v>08,24</v>
      </c>
      <c r="L2352" s="75" t="s">
        <v>266</v>
      </c>
      <c r="M2352" s="75">
        <v>18056</v>
      </c>
      <c r="N2352" s="322">
        <v>0.375</v>
      </c>
      <c r="O2352" s="2"/>
      <c r="P2352" s="2"/>
      <c r="Q2352" s="2"/>
      <c r="R2352" s="2"/>
    </row>
    <row r="2353" spans="1:18" ht="19.5" hidden="1" thickBot="1" x14ac:dyDescent="0.3">
      <c r="A2353" s="110">
        <f t="shared" si="62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60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  <c r="Q2353" s="2"/>
      <c r="R2353" s="2"/>
    </row>
    <row r="2354" spans="1:18" ht="19.5" hidden="1" thickBot="1" x14ac:dyDescent="0.3">
      <c r="A2354" s="111">
        <f t="shared" si="62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60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  <c r="Q2354" s="2"/>
      <c r="R2354" s="2"/>
    </row>
    <row r="2355" spans="1:18" ht="19.5" hidden="1" thickBot="1" x14ac:dyDescent="0.3">
      <c r="A2355" s="110">
        <f t="shared" si="62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60"/>
        <v>08,24</v>
      </c>
      <c r="L2355" s="40" t="s">
        <v>266</v>
      </c>
      <c r="M2355" s="40">
        <v>7800</v>
      </c>
      <c r="N2355" s="317">
        <v>0.5</v>
      </c>
      <c r="O2355" s="2"/>
      <c r="P2355" s="2"/>
      <c r="Q2355" s="2"/>
      <c r="R2355" s="2"/>
    </row>
    <row r="2356" spans="1:18" ht="19.5" hidden="1" thickBot="1" x14ac:dyDescent="0.3">
      <c r="A2356" s="991">
        <f t="shared" si="62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60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  <c r="Q2356" s="2"/>
      <c r="R2356" s="2"/>
    </row>
    <row r="2357" spans="1:18" ht="19.5" hidden="1" thickBot="1" x14ac:dyDescent="0.3">
      <c r="A2357" s="991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60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  <c r="Q2357" s="2"/>
      <c r="R2357" s="2"/>
    </row>
    <row r="2358" spans="1:18" ht="19.5" hidden="1" thickBot="1" x14ac:dyDescent="0.3">
      <c r="A2358" s="991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60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  <c r="Q2358" s="2"/>
      <c r="R2358" s="2"/>
    </row>
    <row r="2359" spans="1:18" ht="19.5" hidden="1" thickBot="1" x14ac:dyDescent="0.3">
      <c r="A2359" s="991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60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  <c r="Q2359" s="2"/>
      <c r="R2359" s="2"/>
    </row>
    <row r="2360" spans="1:18" ht="19.5" hidden="1" thickBot="1" x14ac:dyDescent="0.3">
      <c r="A2360" s="110">
        <f t="shared" ref="A2360:A2368" si="63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60"/>
        <v>08,24</v>
      </c>
      <c r="L2360" s="40" t="s">
        <v>265</v>
      </c>
      <c r="M2360" s="40">
        <v>13392.36</v>
      </c>
      <c r="N2360" s="317">
        <v>0.375</v>
      </c>
      <c r="O2360" s="2"/>
      <c r="P2360" s="2"/>
      <c r="Q2360" s="2"/>
      <c r="R2360" s="2"/>
    </row>
    <row r="2361" spans="1:18" ht="19.5" hidden="1" thickBot="1" x14ac:dyDescent="0.3">
      <c r="A2361" s="153">
        <f t="shared" si="63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60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  <c r="Q2361" s="2"/>
      <c r="R2361" s="2"/>
    </row>
    <row r="2362" spans="1:18" ht="19.5" hidden="1" thickBot="1" x14ac:dyDescent="0.3">
      <c r="A2362" s="110">
        <f t="shared" si="63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60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  <c r="Q2362" s="2"/>
      <c r="R2362" s="2"/>
    </row>
    <row r="2363" spans="1:18" ht="19.5" hidden="1" thickBot="1" x14ac:dyDescent="0.3">
      <c r="A2363" s="111">
        <f t="shared" si="63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4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  <c r="Q2363" s="2"/>
      <c r="R2363" s="2"/>
    </row>
    <row r="2364" spans="1:18" ht="19.5" hidden="1" thickBot="1" x14ac:dyDescent="0.3">
      <c r="A2364" s="110">
        <f t="shared" si="63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4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  <c r="Q2364" s="2"/>
      <c r="R2364" s="2"/>
    </row>
    <row r="2365" spans="1:18" ht="38.25" hidden="1" thickBot="1" x14ac:dyDescent="0.3">
      <c r="A2365" s="111">
        <f t="shared" si="63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4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  <c r="Q2365" s="2"/>
      <c r="R2365" s="2"/>
    </row>
    <row r="2366" spans="1:18" ht="19.5" hidden="1" thickBot="1" x14ac:dyDescent="0.3">
      <c r="A2366" s="110">
        <f t="shared" si="63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4"/>
        <v>08,24</v>
      </c>
      <c r="L2366" s="40" t="s">
        <v>28</v>
      </c>
      <c r="M2366" s="40">
        <v>17767.2</v>
      </c>
      <c r="N2366" s="317">
        <v>0.5</v>
      </c>
      <c r="O2366" s="2"/>
      <c r="P2366" s="2"/>
      <c r="Q2366" s="2"/>
      <c r="R2366" s="2"/>
    </row>
    <row r="2367" spans="1:18" ht="19.5" hidden="1" thickBot="1" x14ac:dyDescent="0.3">
      <c r="A2367" s="111">
        <f t="shared" si="63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4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  <c r="Q2367" s="2"/>
      <c r="R2367" s="2"/>
    </row>
    <row r="2368" spans="1:18" ht="19.5" hidden="1" thickBot="1" x14ac:dyDescent="0.3">
      <c r="A2368" s="996">
        <f t="shared" si="63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4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  <c r="Q2368" s="2"/>
      <c r="R2368" s="2"/>
    </row>
    <row r="2369" spans="1:18" ht="19.5" hidden="1" thickBot="1" x14ac:dyDescent="0.3">
      <c r="A2369" s="996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4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  <c r="Q2369" s="2"/>
      <c r="R2369" s="2"/>
    </row>
    <row r="2370" spans="1:18" ht="19.5" hidden="1" thickBot="1" x14ac:dyDescent="0.3">
      <c r="A2370" s="996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4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  <c r="Q2370" s="2"/>
      <c r="R2370" s="2"/>
    </row>
    <row r="2371" spans="1:18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4"/>
        <v>08,24</v>
      </c>
      <c r="L2371" s="75" t="s">
        <v>265</v>
      </c>
      <c r="M2371" s="75">
        <v>13290.12</v>
      </c>
      <c r="N2371" s="322">
        <v>0.375</v>
      </c>
      <c r="O2371" s="2"/>
      <c r="P2371" s="2"/>
      <c r="Q2371" s="2"/>
      <c r="R2371" s="2"/>
    </row>
    <row r="2372" spans="1:18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4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  <c r="Q2372" s="2"/>
      <c r="R2372" s="2"/>
    </row>
    <row r="2373" spans="1:18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4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  <c r="Q2373" s="2"/>
      <c r="R2373" s="2"/>
    </row>
    <row r="2374" spans="1:18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4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  <c r="Q2374" s="2"/>
      <c r="R2374" s="2"/>
    </row>
    <row r="2375" spans="1:18" ht="19.5" hidden="1" thickBot="1" x14ac:dyDescent="0.3">
      <c r="A2375" s="991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4"/>
        <v>08,24</v>
      </c>
      <c r="L2375" s="48" t="s">
        <v>265</v>
      </c>
      <c r="M2375" s="48">
        <v>13047.32</v>
      </c>
      <c r="N2375" s="315">
        <v>0.375</v>
      </c>
      <c r="O2375" s="2"/>
      <c r="P2375" s="2"/>
      <c r="Q2375" s="2"/>
      <c r="R2375" s="2"/>
    </row>
    <row r="2376" spans="1:18" ht="38.25" hidden="1" thickBot="1" x14ac:dyDescent="0.3">
      <c r="A2376" s="991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4"/>
        <v>08,24</v>
      </c>
      <c r="L2376" s="31" t="s">
        <v>265</v>
      </c>
      <c r="M2376" s="31">
        <v>152</v>
      </c>
      <c r="N2376" s="316">
        <v>0.375</v>
      </c>
      <c r="O2376" s="2"/>
      <c r="P2376" s="2"/>
      <c r="Q2376" s="2"/>
      <c r="R2376" s="2"/>
    </row>
    <row r="2377" spans="1:18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4"/>
        <v>08,24</v>
      </c>
      <c r="L2377" s="90" t="s">
        <v>265</v>
      </c>
      <c r="M2377" s="90">
        <v>17194.39</v>
      </c>
      <c r="N2377" s="325">
        <v>0.375</v>
      </c>
      <c r="O2377" s="2"/>
      <c r="P2377" s="2"/>
      <c r="Q2377" s="2"/>
      <c r="R2377" s="2"/>
    </row>
    <row r="2378" spans="1:18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4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  <c r="Q2378" s="2"/>
      <c r="R2378" s="2"/>
    </row>
    <row r="2379" spans="1:18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4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  <c r="Q2379" s="2"/>
      <c r="R2379" s="2"/>
    </row>
    <row r="2380" spans="1:18" ht="19.5" hidden="1" thickBot="1" x14ac:dyDescent="0.3">
      <c r="A2380" s="991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4"/>
        <v>08,24</v>
      </c>
      <c r="L2380" s="48" t="s">
        <v>28</v>
      </c>
      <c r="M2380" s="48">
        <v>5561.56</v>
      </c>
      <c r="N2380" s="315">
        <v>0.5</v>
      </c>
      <c r="O2380" s="2"/>
      <c r="P2380" s="2"/>
      <c r="Q2380" s="2"/>
      <c r="R2380" s="2"/>
    </row>
    <row r="2381" spans="1:18" ht="19.5" hidden="1" thickBot="1" x14ac:dyDescent="0.3">
      <c r="A2381" s="991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4"/>
        <v>08,24</v>
      </c>
      <c r="L2381" s="23" t="s">
        <v>28</v>
      </c>
      <c r="M2381" s="23">
        <v>2914.08</v>
      </c>
      <c r="N2381" s="329">
        <v>0.5</v>
      </c>
      <c r="O2381" s="2"/>
      <c r="P2381" s="2"/>
      <c r="Q2381" s="2"/>
      <c r="R2381" s="2"/>
    </row>
    <row r="2382" spans="1:18" ht="19.5" hidden="1" thickBot="1" x14ac:dyDescent="0.3">
      <c r="A2382" s="991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4"/>
        <v>08,24</v>
      </c>
      <c r="L2382" s="71" t="s">
        <v>28</v>
      </c>
      <c r="M2382" s="71">
        <v>8680.24</v>
      </c>
      <c r="N2382" s="323">
        <v>0.5</v>
      </c>
      <c r="O2382" s="2"/>
      <c r="P2382" s="2"/>
      <c r="Q2382" s="2"/>
      <c r="R2382" s="2"/>
    </row>
    <row r="2383" spans="1:18" ht="19.5" hidden="1" thickBot="1" x14ac:dyDescent="0.3">
      <c r="A2383" s="990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4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  <c r="Q2383" s="2"/>
      <c r="R2383" s="2"/>
    </row>
    <row r="2384" spans="1:18" ht="19.5" hidden="1" thickBot="1" x14ac:dyDescent="0.3">
      <c r="A2384" s="990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4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  <c r="Q2384" s="2"/>
      <c r="R2384" s="2"/>
    </row>
    <row r="2385" spans="1:18" ht="19.5" hidden="1" thickBot="1" x14ac:dyDescent="0.3">
      <c r="A2385" s="991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4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  <c r="Q2385" s="2"/>
      <c r="R2385" s="2"/>
    </row>
    <row r="2386" spans="1:18" ht="19.5" hidden="1" thickBot="1" x14ac:dyDescent="0.3">
      <c r="A2386" s="991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4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  <c r="Q2386" s="2"/>
      <c r="R2386" s="2"/>
    </row>
    <row r="2387" spans="1:18" ht="38.25" hidden="1" thickBot="1" x14ac:dyDescent="0.3">
      <c r="A2387" s="991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4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  <c r="Q2387" s="2"/>
      <c r="R2387" s="2"/>
    </row>
    <row r="2388" spans="1:18" ht="19.5" hidden="1" thickBot="1" x14ac:dyDescent="0.3">
      <c r="A2388" s="990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4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  <c r="Q2388" s="2"/>
      <c r="R2388" s="2"/>
    </row>
    <row r="2389" spans="1:18" ht="19.5" hidden="1" thickBot="1" x14ac:dyDescent="0.3">
      <c r="A2389" s="990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4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  <c r="Q2389" s="2"/>
      <c r="R2389" s="2"/>
    </row>
    <row r="2390" spans="1:18" ht="19.5" hidden="1" thickBot="1" x14ac:dyDescent="0.3">
      <c r="A2390" s="990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4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  <c r="Q2390" s="2"/>
      <c r="R2390" s="2"/>
    </row>
    <row r="2391" spans="1:18" ht="38.25" hidden="1" thickBot="1" x14ac:dyDescent="0.3">
      <c r="A2391" s="990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4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  <c r="Q2391" s="2"/>
      <c r="R2391" s="2"/>
    </row>
    <row r="2392" spans="1:18" ht="38.25" hidden="1" thickBot="1" x14ac:dyDescent="0.3">
      <c r="A2392" s="990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4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  <c r="Q2392" s="2"/>
      <c r="R2392" s="2"/>
    </row>
    <row r="2393" spans="1:18" ht="19.5" hidden="1" thickBot="1" x14ac:dyDescent="0.3">
      <c r="A2393" s="991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4"/>
        <v>08,24</v>
      </c>
      <c r="L2393" s="48" t="s">
        <v>28</v>
      </c>
      <c r="M2393" s="48">
        <v>14003.72</v>
      </c>
      <c r="N2393" s="315">
        <v>0.5</v>
      </c>
      <c r="O2393" s="2"/>
      <c r="P2393" s="2"/>
      <c r="Q2393" s="2"/>
      <c r="R2393" s="2"/>
    </row>
    <row r="2394" spans="1:18" ht="38.25" hidden="1" thickBot="1" x14ac:dyDescent="0.3">
      <c r="A2394" s="991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4"/>
        <v>нет</v>
      </c>
      <c r="L2394" s="71" t="s">
        <v>28</v>
      </c>
      <c r="M2394" s="71">
        <v>141</v>
      </c>
      <c r="N2394" s="323">
        <v>0.5</v>
      </c>
      <c r="O2394" s="2"/>
      <c r="P2394" s="2"/>
      <c r="Q2394" s="2"/>
      <c r="R2394" s="2"/>
    </row>
    <row r="2395" spans="1:18" ht="19.5" hidden="1" thickBot="1" x14ac:dyDescent="0.3">
      <c r="A2395" s="110">
        <f t="shared" ref="A2395:A2400" si="65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4"/>
        <v>08,24</v>
      </c>
      <c r="L2395" s="40" t="s">
        <v>265</v>
      </c>
      <c r="M2395" s="40">
        <v>17195.54</v>
      </c>
      <c r="N2395" s="317">
        <v>0.375</v>
      </c>
      <c r="O2395" s="2"/>
      <c r="P2395" s="2"/>
      <c r="Q2395" s="2"/>
      <c r="R2395" s="2"/>
    </row>
    <row r="2396" spans="1:18" ht="19.5" hidden="1" thickBot="1" x14ac:dyDescent="0.3">
      <c r="A2396" s="153">
        <f t="shared" si="65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4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  <c r="Q2396" s="2"/>
      <c r="R2396" s="2"/>
    </row>
    <row r="2397" spans="1:18" ht="19.5" hidden="1" thickBot="1" x14ac:dyDescent="0.3">
      <c r="A2397" s="110">
        <f t="shared" si="65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4"/>
        <v>08,24</v>
      </c>
      <c r="L2397" s="40" t="s">
        <v>266</v>
      </c>
      <c r="M2397" s="40">
        <v>18018.02</v>
      </c>
      <c r="N2397" s="317">
        <v>0.375</v>
      </c>
      <c r="O2397" s="2"/>
      <c r="P2397" s="2"/>
      <c r="Q2397" s="2"/>
      <c r="R2397" s="2"/>
    </row>
    <row r="2398" spans="1:18" ht="19.5" hidden="1" thickBot="1" x14ac:dyDescent="0.3">
      <c r="A2398" s="111">
        <f t="shared" si="65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4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  <c r="Q2398" s="2"/>
      <c r="R2398" s="2"/>
    </row>
    <row r="2399" spans="1:18" ht="19.5" hidden="1" thickBot="1" x14ac:dyDescent="0.3">
      <c r="A2399" s="110">
        <f t="shared" si="65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4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  <c r="Q2399" s="2"/>
      <c r="R2399" s="2"/>
    </row>
    <row r="2400" spans="1:18" ht="19.5" hidden="1" thickBot="1" x14ac:dyDescent="0.3">
      <c r="A2400" s="991">
        <f t="shared" si="65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4"/>
        <v>08,24</v>
      </c>
      <c r="L2400" s="48" t="s">
        <v>266</v>
      </c>
      <c r="M2400" s="48">
        <v>4071.52</v>
      </c>
      <c r="N2400" s="315">
        <v>0.5</v>
      </c>
      <c r="O2400" s="2"/>
      <c r="P2400" s="2"/>
      <c r="Q2400" s="2"/>
      <c r="R2400" s="2"/>
    </row>
    <row r="2401" spans="1:18" ht="19.5" hidden="1" thickBot="1" x14ac:dyDescent="0.3">
      <c r="A2401" s="991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4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  <c r="Q2401" s="2"/>
      <c r="R2401" s="2"/>
    </row>
    <row r="2402" spans="1:18" ht="19.5" hidden="1" thickBot="1" x14ac:dyDescent="0.3">
      <c r="A2402" s="991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4"/>
        <v>08,24</v>
      </c>
      <c r="L2402" s="71" t="s">
        <v>266</v>
      </c>
      <c r="M2402" s="71">
        <v>4399.66</v>
      </c>
      <c r="N2402" s="323">
        <v>0.5</v>
      </c>
      <c r="O2402" s="2"/>
      <c r="P2402" s="2"/>
      <c r="Q2402" s="2"/>
      <c r="R2402" s="2"/>
    </row>
    <row r="2403" spans="1:18" ht="19.5" hidden="1" thickBot="1" x14ac:dyDescent="0.3">
      <c r="A2403" s="996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4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  <c r="Q2403" s="2"/>
      <c r="R2403" s="2"/>
    </row>
    <row r="2404" spans="1:18" ht="19.5" hidden="1" thickBot="1" x14ac:dyDescent="0.3">
      <c r="A2404" s="996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4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  <c r="Q2404" s="2"/>
      <c r="R2404" s="2"/>
    </row>
    <row r="2405" spans="1:18" ht="19.5" hidden="1" thickBot="1" x14ac:dyDescent="0.3">
      <c r="A2405" s="996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4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  <c r="Q2405" s="2"/>
      <c r="R2405" s="2"/>
    </row>
    <row r="2406" spans="1:18" ht="19.5" hidden="1" thickBot="1" x14ac:dyDescent="0.3">
      <c r="A2406" s="111">
        <f t="shared" ref="A2406:A2412" si="66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4"/>
        <v>08,24</v>
      </c>
      <c r="L2406" s="75" t="s">
        <v>265</v>
      </c>
      <c r="M2406" s="75">
        <v>13152</v>
      </c>
      <c r="N2406" s="322">
        <v>0.375</v>
      </c>
      <c r="O2406" s="2"/>
      <c r="P2406" s="2"/>
      <c r="Q2406" s="2"/>
      <c r="R2406" s="2"/>
    </row>
    <row r="2407" spans="1:18" ht="19.5" hidden="1" thickBot="1" x14ac:dyDescent="0.3">
      <c r="A2407" s="110">
        <f t="shared" si="66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4"/>
        <v>08,24</v>
      </c>
      <c r="L2407" s="40" t="s">
        <v>265</v>
      </c>
      <c r="M2407" s="40">
        <v>16137.02</v>
      </c>
      <c r="N2407" s="317">
        <v>0.375</v>
      </c>
      <c r="O2407" s="2"/>
      <c r="P2407" s="2"/>
      <c r="Q2407" s="2"/>
      <c r="R2407" s="2"/>
    </row>
    <row r="2408" spans="1:18" ht="19.5" hidden="1" thickBot="1" x14ac:dyDescent="0.3">
      <c r="A2408" s="153">
        <f t="shared" si="66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4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  <c r="Q2408" s="2"/>
      <c r="R2408" s="2"/>
    </row>
    <row r="2409" spans="1:18" ht="19.5" hidden="1" thickBot="1" x14ac:dyDescent="0.3">
      <c r="A2409" s="110">
        <f t="shared" si="66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4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  <c r="Q2409" s="2"/>
      <c r="R2409" s="2"/>
    </row>
    <row r="2410" spans="1:18" ht="19.5" hidden="1" thickBot="1" x14ac:dyDescent="0.3">
      <c r="A2410" s="111">
        <f t="shared" si="66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4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  <c r="Q2410" s="2"/>
      <c r="R2410" s="2"/>
    </row>
    <row r="2411" spans="1:18" ht="19.5" hidden="1" thickBot="1" x14ac:dyDescent="0.3">
      <c r="A2411" s="110">
        <f t="shared" si="66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4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  <c r="Q2411" s="2"/>
      <c r="R2411" s="2"/>
    </row>
    <row r="2412" spans="1:18" ht="19.5" hidden="1" thickBot="1" x14ac:dyDescent="0.3">
      <c r="A2412" s="991">
        <f t="shared" si="66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4"/>
        <v>08,24</v>
      </c>
      <c r="L2412" s="48" t="s">
        <v>28</v>
      </c>
      <c r="M2412" s="48">
        <v>13052.74</v>
      </c>
      <c r="N2412" s="315">
        <v>0.5</v>
      </c>
      <c r="O2412" s="2"/>
      <c r="P2412" s="2"/>
      <c r="Q2412" s="2"/>
      <c r="R2412" s="2"/>
    </row>
    <row r="2413" spans="1:18" ht="19.5" hidden="1" thickBot="1" x14ac:dyDescent="0.3">
      <c r="A2413" s="991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4"/>
        <v>08,24</v>
      </c>
      <c r="L2413" s="71" t="s">
        <v>28</v>
      </c>
      <c r="M2413" s="71">
        <v>4169.88</v>
      </c>
      <c r="N2413" s="323">
        <v>0.5</v>
      </c>
      <c r="O2413" s="2"/>
      <c r="P2413" s="2"/>
      <c r="Q2413" s="2"/>
      <c r="R2413" s="2"/>
    </row>
    <row r="2414" spans="1:18" ht="19.5" hidden="1" thickBot="1" x14ac:dyDescent="0.3">
      <c r="A2414" s="996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4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  <c r="Q2414" s="2"/>
      <c r="R2414" s="2"/>
    </row>
    <row r="2415" spans="1:18" ht="19.5" hidden="1" thickBot="1" x14ac:dyDescent="0.3">
      <c r="A2415" s="996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4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  <c r="Q2415" s="2"/>
      <c r="R2415" s="2"/>
    </row>
    <row r="2416" spans="1:18" ht="19.5" hidden="1" thickBot="1" x14ac:dyDescent="0.3">
      <c r="A2416" s="111">
        <f t="shared" ref="A2416:A2422" si="67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4"/>
        <v>08,24</v>
      </c>
      <c r="L2416" s="75" t="s">
        <v>265</v>
      </c>
      <c r="M2416" s="75">
        <v>13267.16</v>
      </c>
      <c r="N2416" s="322">
        <v>0.375</v>
      </c>
      <c r="O2416" s="2"/>
      <c r="P2416" s="2"/>
      <c r="Q2416" s="2"/>
      <c r="R2416" s="2"/>
    </row>
    <row r="2417" spans="1:18" ht="19.5" hidden="1" thickBot="1" x14ac:dyDescent="0.3">
      <c r="A2417" s="110">
        <f t="shared" si="67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4"/>
        <v>08,24</v>
      </c>
      <c r="L2417" s="40" t="s">
        <v>265</v>
      </c>
      <c r="M2417" s="40">
        <v>17215.98</v>
      </c>
      <c r="N2417" s="317">
        <v>0.375</v>
      </c>
      <c r="O2417" s="2"/>
      <c r="P2417" s="2"/>
      <c r="Q2417" s="2"/>
      <c r="R2417" s="2"/>
    </row>
    <row r="2418" spans="1:18" ht="38.25" hidden="1" thickBot="1" x14ac:dyDescent="0.3">
      <c r="A2418" s="111">
        <f t="shared" si="67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4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  <c r="Q2418" s="2"/>
      <c r="R2418" s="2"/>
    </row>
    <row r="2419" spans="1:18" ht="19.5" hidden="1" thickBot="1" x14ac:dyDescent="0.3">
      <c r="A2419" s="110">
        <f t="shared" si="67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4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  <c r="Q2419" s="2"/>
      <c r="R2419" s="2"/>
    </row>
    <row r="2420" spans="1:18" ht="19.5" hidden="1" thickBot="1" x14ac:dyDescent="0.3">
      <c r="A2420" s="111">
        <f t="shared" si="67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4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  <c r="Q2420" s="2"/>
      <c r="R2420" s="2"/>
    </row>
    <row r="2421" spans="1:18" ht="19.5" hidden="1" thickBot="1" x14ac:dyDescent="0.3">
      <c r="A2421" s="110">
        <f t="shared" si="67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4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  <c r="Q2421" s="2"/>
      <c r="R2421" s="2"/>
    </row>
    <row r="2422" spans="1:18" ht="19.5" hidden="1" thickBot="1" x14ac:dyDescent="0.3">
      <c r="A2422" s="991">
        <f t="shared" si="67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4"/>
        <v>08,24</v>
      </c>
      <c r="L2422" s="48" t="s">
        <v>28</v>
      </c>
      <c r="M2422" s="48">
        <v>3196.58</v>
      </c>
      <c r="N2422" s="315">
        <v>0.5</v>
      </c>
      <c r="O2422" s="2"/>
      <c r="P2422" s="2"/>
      <c r="Q2422" s="2"/>
      <c r="R2422" s="2"/>
    </row>
    <row r="2423" spans="1:18" ht="19.5" hidden="1" thickBot="1" x14ac:dyDescent="0.3">
      <c r="A2423" s="991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4"/>
        <v>08,24</v>
      </c>
      <c r="L2423" s="23" t="s">
        <v>28</v>
      </c>
      <c r="M2423" s="23">
        <v>5143.45</v>
      </c>
      <c r="N2423" s="329">
        <v>0.5</v>
      </c>
      <c r="O2423" s="2"/>
      <c r="P2423" s="2"/>
      <c r="Q2423" s="2"/>
      <c r="R2423" s="2"/>
    </row>
    <row r="2424" spans="1:18" ht="19.5" hidden="1" thickBot="1" x14ac:dyDescent="0.3">
      <c r="A2424" s="991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4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  <c r="Q2424" s="2"/>
      <c r="R2424" s="2"/>
    </row>
    <row r="2425" spans="1:18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4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  <c r="Q2425" s="2"/>
      <c r="R2425" s="2"/>
    </row>
    <row r="2426" spans="1:18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4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  <c r="Q2426" s="2"/>
      <c r="R2426" s="2"/>
    </row>
    <row r="2427" spans="1:18" ht="19.5" hidden="1" thickBot="1" x14ac:dyDescent="0.3">
      <c r="A2427" s="990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8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  <c r="Q2427" s="2"/>
      <c r="R2427" s="2"/>
    </row>
    <row r="2428" spans="1:18" ht="19.5" hidden="1" thickBot="1" x14ac:dyDescent="0.3">
      <c r="A2428" s="990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8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  <c r="Q2428" s="2"/>
      <c r="R2428" s="2"/>
    </row>
    <row r="2429" spans="1:18" ht="38.25" hidden="1" thickBot="1" x14ac:dyDescent="0.3">
      <c r="A2429" s="990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8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  <c r="Q2429" s="2"/>
      <c r="R2429" s="2"/>
    </row>
    <row r="2430" spans="1:18" ht="38.25" hidden="1" thickBot="1" x14ac:dyDescent="0.3">
      <c r="A2430" s="990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8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  <c r="Q2430" s="2"/>
      <c r="R2430" s="2"/>
    </row>
    <row r="2431" spans="1:18" ht="19.5" hidden="1" thickBot="1" x14ac:dyDescent="0.3">
      <c r="A2431" s="991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8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  <c r="Q2431" s="2"/>
      <c r="R2431" s="2"/>
    </row>
    <row r="2432" spans="1:18" ht="19.5" hidden="1" thickBot="1" x14ac:dyDescent="0.3">
      <c r="A2432" s="991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8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  <c r="Q2432" s="2"/>
      <c r="R2432" s="2"/>
    </row>
    <row r="2433" spans="1:18" ht="19.5" hidden="1" thickBot="1" x14ac:dyDescent="0.3">
      <c r="A2433" s="991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8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  <c r="Q2433" s="2"/>
      <c r="R2433" s="2"/>
    </row>
    <row r="2434" spans="1:18" ht="38.25" hidden="1" thickBot="1" x14ac:dyDescent="0.3">
      <c r="A2434" s="991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8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  <c r="Q2434" s="2"/>
      <c r="R2434" s="2"/>
    </row>
    <row r="2435" spans="1:18" ht="38.25" hidden="1" thickBot="1" x14ac:dyDescent="0.3">
      <c r="A2435" s="991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8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  <c r="Q2435" s="2"/>
      <c r="R2435" s="2"/>
    </row>
    <row r="2436" spans="1:18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8"/>
        <v>08,24</v>
      </c>
      <c r="L2436" s="122" t="s">
        <v>266</v>
      </c>
      <c r="M2436" s="122">
        <v>14565.4</v>
      </c>
      <c r="N2436" s="365">
        <v>0.5</v>
      </c>
      <c r="O2436" s="2"/>
      <c r="P2436" s="2"/>
      <c r="Q2436" s="2"/>
      <c r="R2436" s="2"/>
    </row>
    <row r="2437" spans="1:18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8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  <c r="Q2437" s="2"/>
      <c r="R2437" s="2"/>
    </row>
    <row r="2438" spans="1:18" ht="19.5" hidden="1" thickBot="1" x14ac:dyDescent="0.3">
      <c r="A2438" s="990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8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  <c r="Q2438" s="2"/>
      <c r="R2438" s="2"/>
    </row>
    <row r="2439" spans="1:18" ht="19.5" hidden="1" thickBot="1" x14ac:dyDescent="0.3">
      <c r="A2439" s="990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8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  <c r="Q2439" s="2"/>
      <c r="R2439" s="2"/>
    </row>
    <row r="2440" spans="1:18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8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  <c r="Q2440" s="2"/>
      <c r="R2440" s="2"/>
    </row>
    <row r="2441" spans="1:18" ht="19.5" hidden="1" thickBot="1" x14ac:dyDescent="0.3">
      <c r="A2441" s="990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8"/>
        <v>08,24</v>
      </c>
      <c r="L2441" s="82" t="s">
        <v>266</v>
      </c>
      <c r="M2441" s="82">
        <v>2842.58</v>
      </c>
      <c r="N2441" s="319">
        <v>0.5</v>
      </c>
      <c r="O2441" s="2"/>
      <c r="P2441" s="2"/>
      <c r="Q2441" s="2"/>
      <c r="R2441" s="2"/>
    </row>
    <row r="2442" spans="1:18" ht="19.5" hidden="1" thickBot="1" x14ac:dyDescent="0.3">
      <c r="A2442" s="990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8"/>
        <v>08,24</v>
      </c>
      <c r="L2442" s="98" t="s">
        <v>266</v>
      </c>
      <c r="M2442" s="98">
        <v>4905.18</v>
      </c>
      <c r="N2442" s="364">
        <v>0.5</v>
      </c>
      <c r="O2442" s="2"/>
      <c r="P2442" s="2"/>
      <c r="Q2442" s="2"/>
      <c r="R2442" s="2"/>
    </row>
    <row r="2443" spans="1:18" ht="19.5" hidden="1" thickBot="1" x14ac:dyDescent="0.3">
      <c r="A2443" s="990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8"/>
        <v>08,24</v>
      </c>
      <c r="L2443" s="98" t="s">
        <v>266</v>
      </c>
      <c r="M2443" s="98">
        <v>3502.2</v>
      </c>
      <c r="N2443" s="364">
        <v>0.5</v>
      </c>
      <c r="O2443" s="2"/>
      <c r="P2443" s="2"/>
      <c r="Q2443" s="2"/>
      <c r="R2443" s="2"/>
    </row>
    <row r="2444" spans="1:18" ht="19.5" hidden="1" thickBot="1" x14ac:dyDescent="0.3">
      <c r="A2444" s="990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8"/>
        <v>08,24</v>
      </c>
      <c r="L2444" s="90" t="s">
        <v>266</v>
      </c>
      <c r="M2444" s="90">
        <v>6095.76</v>
      </c>
      <c r="N2444" s="325">
        <v>0.5</v>
      </c>
      <c r="O2444" s="2"/>
      <c r="P2444" s="2"/>
      <c r="Q2444" s="2"/>
      <c r="R2444" s="2"/>
    </row>
    <row r="2445" spans="1:18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8"/>
        <v>08,24</v>
      </c>
      <c r="L2445" s="75" t="s">
        <v>265</v>
      </c>
      <c r="M2445" s="75">
        <v>11781.4</v>
      </c>
      <c r="N2445" s="322">
        <v>0.375</v>
      </c>
      <c r="O2445" s="2"/>
      <c r="P2445" s="2"/>
      <c r="Q2445" s="2"/>
      <c r="R2445" s="2"/>
    </row>
    <row r="2446" spans="1:18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8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  <c r="Q2446" s="2"/>
      <c r="R2446" s="2"/>
    </row>
    <row r="2447" spans="1:18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8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  <c r="Q2447" s="2"/>
      <c r="R2447" s="2"/>
    </row>
    <row r="2448" spans="1:18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8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  <c r="Q2448" s="2"/>
      <c r="R2448" s="2"/>
    </row>
    <row r="2449" spans="1:18" ht="19.5" hidden="1" thickBot="1" x14ac:dyDescent="0.3">
      <c r="A2449" s="991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8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  <c r="Q2449" s="2"/>
      <c r="R2449" s="2"/>
    </row>
    <row r="2450" spans="1:18" ht="19.5" hidden="1" thickBot="1" x14ac:dyDescent="0.3">
      <c r="A2450" s="991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8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  <c r="Q2450" s="2"/>
      <c r="R2450" s="2"/>
    </row>
    <row r="2451" spans="1:18" ht="19.5" hidden="1" thickBot="1" x14ac:dyDescent="0.3">
      <c r="A2451" s="990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8"/>
        <v>08,24</v>
      </c>
      <c r="L2451" s="82" t="s">
        <v>28</v>
      </c>
      <c r="M2451" s="82">
        <v>6728.12</v>
      </c>
      <c r="N2451" s="319">
        <v>0.5</v>
      </c>
      <c r="O2451" s="2"/>
      <c r="P2451" s="2"/>
      <c r="Q2451" s="2"/>
      <c r="R2451" s="2"/>
    </row>
    <row r="2452" spans="1:18" ht="19.5" hidden="1" thickBot="1" x14ac:dyDescent="0.3">
      <c r="A2452" s="990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8"/>
        <v>08,24</v>
      </c>
      <c r="L2452" s="90" t="s">
        <v>28</v>
      </c>
      <c r="M2452" s="90">
        <v>10671.72</v>
      </c>
      <c r="N2452" s="325">
        <v>0.5</v>
      </c>
      <c r="O2452" s="2"/>
      <c r="P2452" s="2"/>
      <c r="Q2452" s="2"/>
      <c r="R2452" s="2"/>
    </row>
    <row r="2453" spans="1:18" ht="19.5" hidden="1" thickBot="1" x14ac:dyDescent="0.3">
      <c r="A2453" s="995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8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  <c r="Q2453" s="2"/>
      <c r="R2453" s="2"/>
    </row>
    <row r="2454" spans="1:18" ht="19.5" hidden="1" thickBot="1" x14ac:dyDescent="0.3">
      <c r="A2454" s="995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8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  <c r="Q2454" s="2"/>
      <c r="R2454" s="2"/>
    </row>
    <row r="2455" spans="1:18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8"/>
        <v>08,24</v>
      </c>
      <c r="L2455" s="40" t="s">
        <v>265</v>
      </c>
      <c r="M2455" s="40">
        <v>13048.72</v>
      </c>
      <c r="N2455" s="317">
        <v>0.375</v>
      </c>
      <c r="O2455" s="2"/>
      <c r="P2455" s="2"/>
      <c r="Q2455" s="2"/>
      <c r="R2455" s="2"/>
    </row>
    <row r="2456" spans="1:18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8"/>
        <v>08,24</v>
      </c>
      <c r="L2456" s="75" t="s">
        <v>28</v>
      </c>
      <c r="M2456" s="75">
        <v>15154.38</v>
      </c>
      <c r="N2456" s="322">
        <v>0.375</v>
      </c>
      <c r="O2456" s="2"/>
      <c r="P2456" s="2"/>
      <c r="Q2456" s="2"/>
      <c r="R2456" s="2"/>
    </row>
    <row r="2457" spans="1:18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8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  <c r="Q2457" s="2"/>
      <c r="R2457" s="2"/>
    </row>
    <row r="2458" spans="1:18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8"/>
        <v>08,24</v>
      </c>
      <c r="L2458" s="75" t="s">
        <v>265</v>
      </c>
      <c r="M2458" s="75">
        <v>17181.3</v>
      </c>
      <c r="N2458" s="322">
        <v>0.375</v>
      </c>
      <c r="O2458" s="2"/>
      <c r="P2458" s="2"/>
      <c r="Q2458" s="2"/>
      <c r="R2458" s="2"/>
    </row>
    <row r="2459" spans="1:18" ht="19.5" hidden="1" thickBot="1" x14ac:dyDescent="0.3">
      <c r="A2459" s="990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8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  <c r="Q2459" s="2"/>
      <c r="R2459" s="2"/>
    </row>
    <row r="2460" spans="1:18" ht="19.5" hidden="1" thickBot="1" x14ac:dyDescent="0.3">
      <c r="A2460" s="990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8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  <c r="Q2460" s="2"/>
      <c r="R2460" s="2"/>
    </row>
    <row r="2461" spans="1:18" ht="19.5" hidden="1" thickBot="1" x14ac:dyDescent="0.3">
      <c r="A2461" s="990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8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  <c r="Q2461" s="2"/>
      <c r="R2461" s="2"/>
    </row>
    <row r="2462" spans="1:18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8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  <c r="Q2462" s="2"/>
      <c r="R2462" s="2"/>
    </row>
    <row r="2463" spans="1:18" ht="19.5" hidden="1" thickBot="1" x14ac:dyDescent="0.3">
      <c r="A2463" s="990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8"/>
        <v>08,24</v>
      </c>
      <c r="L2463" s="82" t="s">
        <v>28</v>
      </c>
      <c r="M2463" s="82">
        <v>9705.74</v>
      </c>
      <c r="N2463" s="319">
        <v>0.5</v>
      </c>
      <c r="O2463" s="2"/>
      <c r="P2463" s="2"/>
      <c r="Q2463" s="2"/>
      <c r="R2463" s="2"/>
    </row>
    <row r="2464" spans="1:18" ht="19.5" hidden="1" thickBot="1" x14ac:dyDescent="0.3">
      <c r="A2464" s="990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8"/>
        <v>08,24</v>
      </c>
      <c r="L2464" s="90" t="s">
        <v>28</v>
      </c>
      <c r="M2464" s="90">
        <v>7884.3</v>
      </c>
      <c r="N2464" s="325">
        <v>0.5</v>
      </c>
      <c r="O2464" s="2"/>
      <c r="P2464" s="2"/>
      <c r="Q2464" s="2"/>
      <c r="R2464" s="2"/>
    </row>
    <row r="2465" spans="1:18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8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  <c r="Q2465" s="2"/>
      <c r="R2465" s="2"/>
    </row>
    <row r="2466" spans="1:18" ht="19.5" hidden="1" thickBot="1" x14ac:dyDescent="0.3">
      <c r="A2466" s="990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8"/>
        <v>08,24</v>
      </c>
      <c r="L2466" s="82" t="s">
        <v>28</v>
      </c>
      <c r="M2466" s="82">
        <v>7752.68</v>
      </c>
      <c r="N2466" s="319">
        <v>0.375</v>
      </c>
      <c r="O2466" s="2"/>
      <c r="P2466" s="2"/>
      <c r="Q2466" s="2"/>
      <c r="R2466" s="2"/>
    </row>
    <row r="2467" spans="1:18" ht="19.5" hidden="1" thickBot="1" x14ac:dyDescent="0.3">
      <c r="A2467" s="990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8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  <c r="Q2467" s="2"/>
      <c r="R2467" s="2"/>
    </row>
    <row r="2468" spans="1:18" ht="19.5" hidden="1" thickBot="1" x14ac:dyDescent="0.3">
      <c r="A2468" s="991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8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  <c r="Q2468" s="2"/>
      <c r="R2468" s="2"/>
    </row>
    <row r="2469" spans="1:18" ht="19.5" hidden="1" thickBot="1" x14ac:dyDescent="0.3">
      <c r="A2469" s="991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8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  <c r="Q2469" s="2"/>
      <c r="R2469" s="2"/>
    </row>
    <row r="2470" spans="1:18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8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  <c r="Q2470" s="2"/>
      <c r="R2470" s="2"/>
    </row>
    <row r="2471" spans="1:18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8"/>
        <v>08,24</v>
      </c>
      <c r="L2471" s="158" t="s">
        <v>28</v>
      </c>
      <c r="M2471" s="158">
        <v>11869.68</v>
      </c>
      <c r="N2471" s="433">
        <v>0.5</v>
      </c>
      <c r="O2471" s="2"/>
      <c r="P2471" s="2"/>
      <c r="Q2471" s="2"/>
      <c r="R2471" s="2"/>
    </row>
    <row r="2472" spans="1:18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8"/>
        <v>08,24</v>
      </c>
      <c r="L2472" s="40" t="s">
        <v>265</v>
      </c>
      <c r="M2472" s="40">
        <v>8031.6</v>
      </c>
      <c r="N2472" s="317">
        <v>0.375</v>
      </c>
      <c r="O2472" s="2"/>
      <c r="P2472" s="2"/>
      <c r="Q2472" s="2"/>
      <c r="R2472" s="2"/>
    </row>
    <row r="2473" spans="1:18" ht="19.5" hidden="1" thickBot="1" x14ac:dyDescent="0.3">
      <c r="A2473" s="991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8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  <c r="Q2473" s="2"/>
      <c r="R2473" s="2"/>
    </row>
    <row r="2474" spans="1:18" ht="19.5" hidden="1" thickBot="1" x14ac:dyDescent="0.3">
      <c r="A2474" s="991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8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  <c r="Q2474" s="2"/>
      <c r="R2474" s="2"/>
    </row>
    <row r="2475" spans="1:18" ht="19.5" hidden="1" thickBot="1" x14ac:dyDescent="0.3">
      <c r="A2475" s="991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8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  <c r="Q2475" s="2"/>
      <c r="R2475" s="2"/>
    </row>
    <row r="2476" spans="1:18" ht="19.5" hidden="1" thickBot="1" x14ac:dyDescent="0.3">
      <c r="A2476" s="990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8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  <c r="Q2476" s="2"/>
      <c r="R2476" s="2"/>
    </row>
    <row r="2477" spans="1:18" ht="19.5" hidden="1" thickBot="1" x14ac:dyDescent="0.3">
      <c r="A2477" s="990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8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  <c r="Q2477" s="2"/>
      <c r="R2477" s="2"/>
    </row>
    <row r="2478" spans="1:18" ht="19.5" hidden="1" thickBot="1" x14ac:dyDescent="0.3">
      <c r="A2478" s="153">
        <f t="shared" ref="A2478:A2485" si="69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8"/>
        <v>08,24</v>
      </c>
      <c r="L2478" s="158" t="s">
        <v>266</v>
      </c>
      <c r="M2478" s="158">
        <v>18128.7</v>
      </c>
      <c r="N2478" s="433">
        <v>0.5</v>
      </c>
      <c r="O2478" s="2"/>
      <c r="P2478" s="2"/>
      <c r="Q2478" s="2"/>
      <c r="R2478" s="2"/>
    </row>
    <row r="2479" spans="1:18" ht="19.5" hidden="1" thickBot="1" x14ac:dyDescent="0.3">
      <c r="A2479" s="111">
        <f t="shared" si="69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8"/>
        <v>08,24</v>
      </c>
      <c r="L2479" s="75" t="s">
        <v>265</v>
      </c>
      <c r="M2479" s="75">
        <v>12987.8</v>
      </c>
      <c r="N2479" s="322">
        <v>0.375</v>
      </c>
      <c r="O2479" s="2"/>
      <c r="P2479" s="2"/>
      <c r="Q2479" s="2"/>
      <c r="R2479" s="2"/>
    </row>
    <row r="2480" spans="1:18" ht="19.5" hidden="1" thickBot="1" x14ac:dyDescent="0.3">
      <c r="A2480" s="110">
        <f t="shared" si="69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8"/>
        <v>08,24</v>
      </c>
      <c r="L2480" s="40" t="s">
        <v>265</v>
      </c>
      <c r="M2480" s="40">
        <v>16725.8</v>
      </c>
      <c r="N2480" s="317">
        <v>0.375</v>
      </c>
      <c r="O2480" s="2"/>
      <c r="P2480" s="2"/>
      <c r="Q2480" s="2"/>
      <c r="R2480" s="2"/>
    </row>
    <row r="2481" spans="1:18" ht="19.5" hidden="1" thickBot="1" x14ac:dyDescent="0.3">
      <c r="A2481" s="111">
        <f t="shared" si="69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8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  <c r="Q2481" s="2"/>
      <c r="R2481" s="2"/>
    </row>
    <row r="2482" spans="1:18" ht="19.5" hidden="1" thickBot="1" x14ac:dyDescent="0.3">
      <c r="A2482" s="149">
        <f t="shared" si="69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8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  <c r="Q2482" s="2"/>
      <c r="R2482" s="2"/>
    </row>
    <row r="2483" spans="1:18" ht="19.5" hidden="1" thickBot="1" x14ac:dyDescent="0.3">
      <c r="A2483" s="111">
        <f t="shared" si="69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8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  <c r="Q2483" s="2"/>
      <c r="R2483" s="2"/>
    </row>
    <row r="2484" spans="1:18" ht="19.5" hidden="1" thickBot="1" x14ac:dyDescent="0.3">
      <c r="A2484" s="110">
        <f t="shared" si="69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8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  <c r="Q2484" s="2"/>
      <c r="R2484" s="2"/>
    </row>
    <row r="2485" spans="1:18" ht="19.5" hidden="1" thickBot="1" x14ac:dyDescent="0.3">
      <c r="A2485" s="991">
        <f t="shared" si="69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8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  <c r="Q2485" s="2"/>
      <c r="R2485" s="2"/>
    </row>
    <row r="2486" spans="1:18" ht="19.5" hidden="1" thickBot="1" x14ac:dyDescent="0.3">
      <c r="A2486" s="991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8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  <c r="Q2486" s="2"/>
      <c r="R2486" s="2"/>
    </row>
    <row r="2487" spans="1:18" ht="19.5" hidden="1" thickBot="1" x14ac:dyDescent="0.3">
      <c r="A2487" s="990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8"/>
        <v>08,24</v>
      </c>
      <c r="L2487" s="82" t="s">
        <v>28</v>
      </c>
      <c r="M2487" s="82">
        <v>3234.24</v>
      </c>
      <c r="N2487" s="319">
        <v>0.5</v>
      </c>
      <c r="O2487" s="2"/>
      <c r="P2487" s="2"/>
      <c r="Q2487" s="2"/>
      <c r="R2487" s="2"/>
    </row>
    <row r="2488" spans="1:18" ht="19.5" hidden="1" thickBot="1" x14ac:dyDescent="0.3">
      <c r="A2488" s="990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8"/>
        <v>08,24</v>
      </c>
      <c r="L2488" s="90" t="s">
        <v>28</v>
      </c>
      <c r="M2488" s="90">
        <v>14010.38</v>
      </c>
      <c r="N2488" s="325">
        <v>0.5</v>
      </c>
      <c r="O2488" s="2"/>
      <c r="P2488" s="2"/>
      <c r="Q2488" s="2"/>
      <c r="R2488" s="2"/>
    </row>
    <row r="2489" spans="1:18" ht="19.5" hidden="1" thickBot="1" x14ac:dyDescent="0.3">
      <c r="A2489" s="995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8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  <c r="Q2489" s="2"/>
      <c r="R2489" s="2"/>
    </row>
    <row r="2490" spans="1:18" ht="19.5" hidden="1" thickBot="1" x14ac:dyDescent="0.3">
      <c r="A2490" s="995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8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  <c r="Q2490" s="2"/>
      <c r="R2490" s="2"/>
    </row>
    <row r="2491" spans="1:18" ht="19.5" hidden="1" thickBot="1" x14ac:dyDescent="0.3">
      <c r="A2491" s="990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70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  <c r="Q2491" s="2"/>
      <c r="R2491" s="2"/>
    </row>
    <row r="2492" spans="1:18" ht="38.25" hidden="1" thickBot="1" x14ac:dyDescent="0.3">
      <c r="A2492" s="990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70"/>
        <v>нет</v>
      </c>
      <c r="L2492" s="90" t="s">
        <v>265</v>
      </c>
      <c r="M2492" s="90">
        <v>207</v>
      </c>
      <c r="N2492" s="325">
        <v>0.375</v>
      </c>
      <c r="O2492" s="2"/>
      <c r="P2492" s="2"/>
      <c r="Q2492" s="2"/>
      <c r="R2492" s="2"/>
    </row>
    <row r="2493" spans="1:18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70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  <c r="Q2493" s="2"/>
      <c r="R2493" s="2"/>
    </row>
    <row r="2494" spans="1:18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70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  <c r="Q2494" s="2"/>
      <c r="R2494" s="2"/>
    </row>
    <row r="2495" spans="1:18" ht="94.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70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  <c r="Q2495" s="2"/>
      <c r="R2495" s="2"/>
    </row>
    <row r="2496" spans="1:18" ht="19.5" hidden="1" thickBot="1" x14ac:dyDescent="0.3">
      <c r="A2496" s="990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70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  <c r="Q2496" s="2"/>
      <c r="R2496" s="2"/>
    </row>
    <row r="2497" spans="1:18" ht="19.5" hidden="1" thickBot="1" x14ac:dyDescent="0.3">
      <c r="A2497" s="990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70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  <c r="Q2497" s="2"/>
      <c r="R2497" s="2"/>
    </row>
    <row r="2498" spans="1:18" ht="19.5" hidden="1" thickBot="1" x14ac:dyDescent="0.3">
      <c r="A2498" s="990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70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  <c r="Q2498" s="2"/>
      <c r="R2498" s="2"/>
    </row>
    <row r="2499" spans="1:18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70"/>
        <v>09,24</v>
      </c>
      <c r="L2499" s="75" t="s">
        <v>265</v>
      </c>
      <c r="M2499" s="75">
        <v>17349.82</v>
      </c>
      <c r="N2499" s="322">
        <v>0.375</v>
      </c>
      <c r="O2499" s="2"/>
      <c r="P2499" s="2"/>
      <c r="Q2499" s="2"/>
      <c r="R2499" s="2"/>
    </row>
    <row r="2500" spans="1:18" ht="19.5" hidden="1" thickBot="1" x14ac:dyDescent="0.3">
      <c r="A2500" s="990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70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  <c r="Q2500" s="2"/>
      <c r="R2500" s="2"/>
    </row>
    <row r="2501" spans="1:18" ht="19.5" hidden="1" thickBot="1" x14ac:dyDescent="0.3">
      <c r="A2501" s="990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70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  <c r="Q2501" s="2"/>
      <c r="R2501" s="2"/>
    </row>
    <row r="2502" spans="1:18" ht="19.5" hidden="1" thickBot="1" x14ac:dyDescent="0.3">
      <c r="A2502" s="991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70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  <c r="Q2502" s="2"/>
      <c r="R2502" s="2"/>
    </row>
    <row r="2503" spans="1:18" ht="19.5" hidden="1" thickBot="1" x14ac:dyDescent="0.3">
      <c r="A2503" s="991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70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  <c r="Q2503" s="2"/>
      <c r="R2503" s="2"/>
    </row>
    <row r="2504" spans="1:18" ht="19.5" hidden="1" thickBot="1" x14ac:dyDescent="0.3">
      <c r="A2504" s="991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70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  <c r="Q2504" s="2"/>
      <c r="R2504" s="2"/>
    </row>
    <row r="2505" spans="1:18" ht="19.5" hidden="1" thickBot="1" x14ac:dyDescent="0.3">
      <c r="A2505" s="990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70"/>
        <v>09,24</v>
      </c>
      <c r="L2505" s="82" t="s">
        <v>28</v>
      </c>
      <c r="M2505" s="82">
        <v>15725.88</v>
      </c>
      <c r="N2505" s="319">
        <v>0.5</v>
      </c>
      <c r="O2505" s="2"/>
      <c r="P2505" s="2"/>
      <c r="Q2505" s="2"/>
      <c r="R2505" s="2"/>
    </row>
    <row r="2506" spans="1:18" ht="19.5" hidden="1" thickBot="1" x14ac:dyDescent="0.3">
      <c r="A2506" s="990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70"/>
        <v>09,24</v>
      </c>
      <c r="L2506" s="90" t="s">
        <v>28</v>
      </c>
      <c r="M2506" s="90">
        <v>1151.52</v>
      </c>
      <c r="N2506" s="325">
        <v>0.5</v>
      </c>
      <c r="O2506" s="2"/>
      <c r="P2506" s="2"/>
      <c r="Q2506" s="2"/>
      <c r="R2506" s="2"/>
    </row>
    <row r="2507" spans="1:18" ht="19.5" hidden="1" thickBot="1" x14ac:dyDescent="0.3">
      <c r="A2507" s="111">
        <f t="shared" ref="A2507:A2513" si="71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70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  <c r="Q2507" s="2"/>
      <c r="R2507" s="2"/>
    </row>
    <row r="2508" spans="1:18" ht="19.5" hidden="1" thickBot="1" x14ac:dyDescent="0.3">
      <c r="A2508" s="149">
        <f t="shared" si="71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70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  <c r="Q2508" s="2"/>
      <c r="R2508" s="2"/>
    </row>
    <row r="2509" spans="1:18" ht="19.5" hidden="1" thickBot="1" x14ac:dyDescent="0.3">
      <c r="A2509" s="111">
        <f t="shared" si="71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70"/>
        <v>09,24</v>
      </c>
      <c r="L2509" s="75" t="s">
        <v>266</v>
      </c>
      <c r="M2509" s="75">
        <v>18034.78</v>
      </c>
      <c r="N2509" s="322">
        <v>0.375</v>
      </c>
      <c r="O2509" s="2"/>
      <c r="P2509" s="2"/>
      <c r="Q2509" s="2"/>
      <c r="R2509" s="2"/>
    </row>
    <row r="2510" spans="1:18" ht="19.5" hidden="1" thickBot="1" x14ac:dyDescent="0.3">
      <c r="A2510" s="110">
        <f t="shared" si="71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70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  <c r="Q2510" s="2"/>
      <c r="R2510" s="2"/>
    </row>
    <row r="2511" spans="1:18" ht="19.5" hidden="1" thickBot="1" x14ac:dyDescent="0.3">
      <c r="A2511" s="111">
        <f t="shared" si="71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70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  <c r="Q2511" s="2"/>
      <c r="R2511" s="2"/>
    </row>
    <row r="2512" spans="1:18" ht="19.5" hidden="1" thickBot="1" x14ac:dyDescent="0.3">
      <c r="A2512" s="110">
        <f t="shared" si="71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70"/>
        <v>09,24</v>
      </c>
      <c r="L2512" s="40" t="s">
        <v>266</v>
      </c>
      <c r="M2512" s="40">
        <v>8362.92</v>
      </c>
      <c r="N2512" s="317">
        <v>0.5</v>
      </c>
      <c r="O2512" s="2"/>
      <c r="P2512" s="2"/>
      <c r="Q2512" s="2"/>
      <c r="R2512" s="2"/>
    </row>
    <row r="2513" spans="1:18" ht="19.5" hidden="1" thickBot="1" x14ac:dyDescent="0.3">
      <c r="A2513" s="991">
        <f t="shared" si="71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70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  <c r="Q2513" s="2"/>
      <c r="R2513" s="2"/>
    </row>
    <row r="2514" spans="1:18" ht="19.5" hidden="1" thickBot="1" x14ac:dyDescent="0.3">
      <c r="A2514" s="991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70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  <c r="Q2514" s="2"/>
      <c r="R2514" s="2"/>
    </row>
    <row r="2515" spans="1:18" ht="19.5" hidden="1" thickBot="1" x14ac:dyDescent="0.3">
      <c r="A2515" s="991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70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  <c r="Q2515" s="2"/>
      <c r="R2515" s="2"/>
    </row>
    <row r="2516" spans="1:18" ht="19.5" hidden="1" thickBot="1" x14ac:dyDescent="0.3">
      <c r="A2516" s="991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70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  <c r="Q2516" s="2"/>
      <c r="R2516" s="2"/>
    </row>
    <row r="2517" spans="1:18" ht="19.5" hidden="1" thickBot="1" x14ac:dyDescent="0.3">
      <c r="A2517" s="991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70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  <c r="Q2517" s="2"/>
      <c r="R2517" s="2"/>
    </row>
    <row r="2518" spans="1:18" ht="19.5" hidden="1" thickBot="1" x14ac:dyDescent="0.3">
      <c r="A2518" s="110">
        <f t="shared" ref="A2518:A2523" si="72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70"/>
        <v>09,24</v>
      </c>
      <c r="L2518" s="40" t="s">
        <v>265</v>
      </c>
      <c r="M2518" s="40">
        <v>13054.36</v>
      </c>
      <c r="N2518" s="317">
        <v>0.375</v>
      </c>
      <c r="O2518" s="2"/>
      <c r="P2518" s="2"/>
      <c r="Q2518" s="2"/>
      <c r="R2518" s="2"/>
    </row>
    <row r="2519" spans="1:18" ht="19.5" hidden="1" thickBot="1" x14ac:dyDescent="0.3">
      <c r="A2519" s="153">
        <f t="shared" si="72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70"/>
        <v>09,24</v>
      </c>
      <c r="L2519" s="158" t="s">
        <v>265</v>
      </c>
      <c r="M2519" s="158">
        <v>17085.7</v>
      </c>
      <c r="N2519" s="433">
        <v>0.5</v>
      </c>
      <c r="O2519" s="2"/>
      <c r="P2519" s="2"/>
      <c r="Q2519" s="2"/>
      <c r="R2519" s="2"/>
    </row>
    <row r="2520" spans="1:18" ht="19.5" hidden="1" thickBot="1" x14ac:dyDescent="0.3">
      <c r="A2520" s="110">
        <f t="shared" si="72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70"/>
        <v>09,24</v>
      </c>
      <c r="L2520" s="40" t="s">
        <v>265</v>
      </c>
      <c r="M2520" s="40">
        <v>17106.54</v>
      </c>
      <c r="N2520" s="317">
        <v>0.375</v>
      </c>
      <c r="O2520" s="2"/>
      <c r="P2520" s="2"/>
      <c r="Q2520" s="2"/>
      <c r="R2520" s="2"/>
    </row>
    <row r="2521" spans="1:18" ht="19.5" hidden="1" thickBot="1" x14ac:dyDescent="0.3">
      <c r="A2521" s="111">
        <f t="shared" si="72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70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  <c r="Q2521" s="2"/>
      <c r="R2521" s="2"/>
    </row>
    <row r="2522" spans="1:18" ht="19.5" hidden="1" thickBot="1" x14ac:dyDescent="0.3">
      <c r="A2522" s="110">
        <f t="shared" si="72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70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  <c r="Q2522" s="2"/>
      <c r="R2522" s="2"/>
    </row>
    <row r="2523" spans="1:18" ht="19.5" hidden="1" thickBot="1" x14ac:dyDescent="0.3">
      <c r="A2523" s="995">
        <f t="shared" si="72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70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  <c r="Q2523" s="2"/>
      <c r="R2523" s="2"/>
    </row>
    <row r="2524" spans="1:18" ht="19.5" hidden="1" thickBot="1" x14ac:dyDescent="0.3">
      <c r="A2524" s="995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70"/>
        <v>09,24</v>
      </c>
      <c r="L2524" s="23" t="s">
        <v>28</v>
      </c>
      <c r="M2524" s="23">
        <v>6453.42</v>
      </c>
      <c r="N2524" s="329">
        <v>0.5</v>
      </c>
      <c r="O2524" s="2"/>
      <c r="P2524" s="2"/>
      <c r="Q2524" s="2"/>
      <c r="R2524" s="2"/>
    </row>
    <row r="2525" spans="1:18" ht="19.5" hidden="1" thickBot="1" x14ac:dyDescent="0.3">
      <c r="A2525" s="995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70"/>
        <v>09,24</v>
      </c>
      <c r="L2525" s="293" t="s">
        <v>28</v>
      </c>
      <c r="M2525" s="293">
        <v>6127.5</v>
      </c>
      <c r="N2525" s="389">
        <v>0.5</v>
      </c>
      <c r="O2525" s="2"/>
      <c r="P2525" s="2"/>
      <c r="Q2525" s="2"/>
      <c r="R2525" s="2"/>
    </row>
    <row r="2526" spans="1:18" ht="19.5" hidden="1" thickBot="1" x14ac:dyDescent="0.3">
      <c r="A2526" s="990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70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  <c r="Q2526" s="2"/>
      <c r="R2526" s="2"/>
    </row>
    <row r="2527" spans="1:18" ht="38.25" hidden="1" thickBot="1" x14ac:dyDescent="0.3">
      <c r="A2527" s="990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70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  <c r="Q2527" s="2"/>
      <c r="R2527" s="2"/>
    </row>
    <row r="2528" spans="1:18" ht="19.5" hidden="1" thickBot="1" x14ac:dyDescent="0.3">
      <c r="A2528" s="990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70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  <c r="Q2528" s="2"/>
      <c r="R2528" s="2"/>
    </row>
    <row r="2529" spans="1:18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70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  <c r="Q2529" s="2"/>
      <c r="R2529" s="2"/>
    </row>
    <row r="2530" spans="1:18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70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  <c r="Q2530" s="2"/>
      <c r="R2530" s="2"/>
    </row>
    <row r="2531" spans="1:18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70"/>
        <v>09,24</v>
      </c>
      <c r="L2531" s="75" t="s">
        <v>265</v>
      </c>
      <c r="M2531" s="75">
        <v>17708.72</v>
      </c>
      <c r="N2531" s="322">
        <v>0.375</v>
      </c>
      <c r="O2531" s="2"/>
      <c r="P2531" s="2"/>
      <c r="Q2531" s="2"/>
      <c r="R2531" s="2"/>
    </row>
    <row r="2532" spans="1:18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70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  <c r="Q2532" s="2"/>
      <c r="R2532" s="2"/>
    </row>
    <row r="2533" spans="1:18" ht="19.5" hidden="1" thickBot="1" x14ac:dyDescent="0.3">
      <c r="A2533" s="991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70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  <c r="Q2533" s="2"/>
      <c r="R2533" s="2"/>
    </row>
    <row r="2534" spans="1:18" ht="19.5" hidden="1" thickBot="1" x14ac:dyDescent="0.3">
      <c r="A2534" s="991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70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  <c r="Q2534" s="2"/>
      <c r="R2534" s="2"/>
    </row>
    <row r="2535" spans="1:18" ht="19.5" hidden="1" thickBot="1" x14ac:dyDescent="0.3">
      <c r="A2535" s="990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70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  <c r="Q2535" s="2"/>
      <c r="R2535" s="2"/>
    </row>
    <row r="2536" spans="1:18" ht="19.5" hidden="1" thickBot="1" x14ac:dyDescent="0.3">
      <c r="A2536" s="990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70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  <c r="Q2536" s="2"/>
      <c r="R2536" s="2"/>
    </row>
    <row r="2537" spans="1:18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70"/>
        <v>09,24</v>
      </c>
      <c r="L2537" s="75" t="s">
        <v>28</v>
      </c>
      <c r="M2537" s="75">
        <v>14812.36</v>
      </c>
      <c r="N2537" s="322">
        <v>0.375</v>
      </c>
      <c r="O2537" s="2"/>
      <c r="P2537" s="2"/>
      <c r="Q2537" s="2"/>
      <c r="R2537" s="2"/>
    </row>
    <row r="2538" spans="1:18" ht="19.5" hidden="1" thickBot="1" x14ac:dyDescent="0.3">
      <c r="A2538" s="990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70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  <c r="Q2538" s="2"/>
      <c r="R2538" s="2"/>
    </row>
    <row r="2539" spans="1:18" ht="19.5" hidden="1" thickBot="1" x14ac:dyDescent="0.3">
      <c r="A2539" s="990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70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  <c r="Q2539" s="2"/>
      <c r="R2539" s="2"/>
    </row>
    <row r="2540" spans="1:18" ht="19.5" hidden="1" thickBot="1" x14ac:dyDescent="0.3">
      <c r="A2540" s="990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70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  <c r="Q2540" s="2"/>
      <c r="R2540" s="2"/>
    </row>
    <row r="2541" spans="1:18" ht="19.5" hidden="1" thickBot="1" x14ac:dyDescent="0.3">
      <c r="A2541" s="111">
        <f t="shared" ref="A2541:A2546" si="73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70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  <c r="Q2541" s="2"/>
      <c r="R2541" s="2"/>
    </row>
    <row r="2542" spans="1:18" ht="57" hidden="1" thickBot="1" x14ac:dyDescent="0.3">
      <c r="A2542" s="149">
        <f t="shared" si="73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70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  <c r="Q2542" s="2"/>
      <c r="R2542" s="2"/>
    </row>
    <row r="2543" spans="1:18" ht="19.5" hidden="1" thickBot="1" x14ac:dyDescent="0.3">
      <c r="A2543" s="111">
        <f t="shared" si="73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70"/>
        <v>09,24</v>
      </c>
      <c r="L2543" s="75" t="s">
        <v>265</v>
      </c>
      <c r="M2543" s="75">
        <v>6487.5</v>
      </c>
      <c r="N2543" s="322">
        <v>0.375</v>
      </c>
      <c r="O2543" s="2"/>
      <c r="P2543" s="2"/>
      <c r="Q2543" s="2"/>
      <c r="R2543" s="2"/>
    </row>
    <row r="2544" spans="1:18" ht="19.5" hidden="1" thickBot="1" x14ac:dyDescent="0.3">
      <c r="A2544" s="110">
        <f t="shared" si="73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70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  <c r="Q2544" s="2"/>
      <c r="R2544" s="2"/>
    </row>
    <row r="2545" spans="1:18" ht="19.5" hidden="1" thickBot="1" x14ac:dyDescent="0.3">
      <c r="A2545" s="111">
        <f t="shared" si="73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70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  <c r="Q2545" s="2"/>
      <c r="R2545" s="2"/>
    </row>
    <row r="2546" spans="1:18" ht="19.5" hidden="1" customHeight="1" thickBot="1" x14ac:dyDescent="0.3">
      <c r="A2546" s="990">
        <f t="shared" si="73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992" t="s">
        <v>467</v>
      </c>
      <c r="H2546" s="82" t="s">
        <v>595</v>
      </c>
      <c r="I2546" s="147" t="s">
        <v>595</v>
      </c>
      <c r="J2546" s="86"/>
      <c r="K2546" s="82" t="str">
        <f t="shared" si="70"/>
        <v>09,24</v>
      </c>
      <c r="L2546" s="82" t="s">
        <v>266</v>
      </c>
      <c r="M2546" s="82">
        <v>1510.95</v>
      </c>
      <c r="N2546" s="319">
        <v>0.5</v>
      </c>
      <c r="O2546" s="2"/>
      <c r="P2546" s="2"/>
      <c r="Q2546" s="2"/>
      <c r="R2546" s="2"/>
    </row>
    <row r="2547" spans="1:18" ht="19.5" hidden="1" thickBot="1" x14ac:dyDescent="0.3">
      <c r="A2547" s="990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992"/>
      <c r="H2547" s="98" t="s">
        <v>595</v>
      </c>
      <c r="I2547" s="181" t="s">
        <v>595</v>
      </c>
      <c r="J2547" s="140"/>
      <c r="K2547" s="98" t="str">
        <f t="shared" si="70"/>
        <v>09,24</v>
      </c>
      <c r="L2547" s="98" t="s">
        <v>266</v>
      </c>
      <c r="M2547" s="98">
        <v>2004.6</v>
      </c>
      <c r="N2547" s="364">
        <v>0.5</v>
      </c>
      <c r="O2547" s="2"/>
      <c r="P2547" s="2"/>
      <c r="Q2547" s="2"/>
      <c r="R2547" s="2"/>
    </row>
    <row r="2548" spans="1:18" ht="19.5" hidden="1" thickBot="1" x14ac:dyDescent="0.3">
      <c r="A2548" s="990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992"/>
      <c r="H2548" s="90" t="s">
        <v>595</v>
      </c>
      <c r="I2548" s="172" t="s">
        <v>595</v>
      </c>
      <c r="J2548" s="173"/>
      <c r="K2548" s="90" t="str">
        <f t="shared" si="70"/>
        <v>09,24</v>
      </c>
      <c r="L2548" s="90" t="s">
        <v>266</v>
      </c>
      <c r="M2548" s="90">
        <v>4823.92</v>
      </c>
      <c r="N2548" s="325">
        <v>0.5</v>
      </c>
      <c r="O2548" s="2"/>
      <c r="P2548" s="2"/>
      <c r="Q2548" s="2"/>
      <c r="R2548" s="2"/>
    </row>
    <row r="2549" spans="1:18" ht="19.5" hidden="1" thickBot="1" x14ac:dyDescent="0.3">
      <c r="A2549" s="995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70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  <c r="Q2549" s="2"/>
      <c r="R2549" s="2"/>
    </row>
    <row r="2550" spans="1:18" ht="19.5" hidden="1" thickBot="1" x14ac:dyDescent="0.3">
      <c r="A2550" s="995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70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  <c r="Q2550" s="2"/>
      <c r="R2550" s="2"/>
    </row>
    <row r="2551" spans="1:18" ht="19.5" hidden="1" thickBot="1" x14ac:dyDescent="0.3">
      <c r="A2551" s="995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70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  <c r="Q2551" s="2"/>
      <c r="R2551" s="2"/>
    </row>
    <row r="2552" spans="1:18" ht="19.5" hidden="1" thickBot="1" x14ac:dyDescent="0.3">
      <c r="A2552" s="995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70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  <c r="Q2552" s="2"/>
      <c r="R2552" s="2"/>
    </row>
    <row r="2553" spans="1:18" ht="19.5" hidden="1" thickBot="1" x14ac:dyDescent="0.3">
      <c r="A2553" s="110">
        <f t="shared" ref="A2553:A2558" si="74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70"/>
        <v>09,24</v>
      </c>
      <c r="L2553" s="40" t="s">
        <v>265</v>
      </c>
      <c r="M2553" s="40">
        <v>13068.76</v>
      </c>
      <c r="N2553" s="317">
        <v>0.375</v>
      </c>
      <c r="O2553" s="2"/>
      <c r="P2553" s="2"/>
      <c r="Q2553" s="2"/>
      <c r="R2553" s="2"/>
    </row>
    <row r="2554" spans="1:18" ht="19.5" hidden="1" thickBot="1" x14ac:dyDescent="0.3">
      <c r="A2554" s="111">
        <f t="shared" si="74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70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  <c r="Q2554" s="2"/>
      <c r="R2554" s="2"/>
    </row>
    <row r="2555" spans="1:18" ht="19.5" hidden="1" thickBot="1" x14ac:dyDescent="0.3">
      <c r="A2555" s="149">
        <f t="shared" si="74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5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  <c r="Q2555" s="2"/>
      <c r="R2555" s="2"/>
    </row>
    <row r="2556" spans="1:18" ht="19.5" hidden="1" thickBot="1" x14ac:dyDescent="0.3">
      <c r="A2556" s="111">
        <f t="shared" si="74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5"/>
        <v>09,24</v>
      </c>
      <c r="L2556" s="75" t="s">
        <v>265</v>
      </c>
      <c r="M2556" s="75">
        <v>17213.18</v>
      </c>
      <c r="N2556" s="322">
        <v>0.375</v>
      </c>
      <c r="O2556" s="2"/>
      <c r="P2556" s="2"/>
      <c r="Q2556" s="2"/>
      <c r="R2556" s="2"/>
    </row>
    <row r="2557" spans="1:18" ht="19.5" hidden="1" thickBot="1" x14ac:dyDescent="0.3">
      <c r="A2557" s="110">
        <f t="shared" si="74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5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  <c r="Q2557" s="2"/>
      <c r="R2557" s="2"/>
    </row>
    <row r="2558" spans="1:18" ht="19.5" hidden="1" thickBot="1" x14ac:dyDescent="0.3">
      <c r="A2558" s="991">
        <f t="shared" si="74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5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  <c r="Q2558" s="2"/>
      <c r="R2558" s="2"/>
    </row>
    <row r="2559" spans="1:18" ht="19.5" hidden="1" thickBot="1" x14ac:dyDescent="0.3">
      <c r="A2559" s="991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5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  <c r="Q2559" s="2"/>
      <c r="R2559" s="2"/>
    </row>
    <row r="2560" spans="1:18" ht="19.5" hidden="1" thickBot="1" x14ac:dyDescent="0.3">
      <c r="A2560" s="990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5"/>
        <v>09,24</v>
      </c>
      <c r="L2560" s="82" t="s">
        <v>28</v>
      </c>
      <c r="M2560" s="82">
        <v>12598.4</v>
      </c>
      <c r="N2560" s="319">
        <v>0.5</v>
      </c>
      <c r="O2560" s="2"/>
      <c r="P2560" s="2"/>
      <c r="Q2560" s="2"/>
      <c r="R2560" s="2"/>
    </row>
    <row r="2561" spans="1:18" ht="19.5" hidden="1" thickBot="1" x14ac:dyDescent="0.3">
      <c r="A2561" s="990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5"/>
        <v>09,24</v>
      </c>
      <c r="L2561" s="90" t="s">
        <v>28</v>
      </c>
      <c r="M2561" s="90">
        <v>5257.58</v>
      </c>
      <c r="N2561" s="325">
        <v>0.5</v>
      </c>
      <c r="O2561" s="2"/>
      <c r="P2561" s="2"/>
      <c r="Q2561" s="2"/>
      <c r="R2561" s="2"/>
    </row>
    <row r="2562" spans="1:18" ht="19.5" hidden="1" thickBot="1" x14ac:dyDescent="0.3">
      <c r="A2562" s="995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5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  <c r="Q2562" s="2"/>
      <c r="R2562" s="2"/>
    </row>
    <row r="2563" spans="1:18" ht="19.5" hidden="1" thickBot="1" x14ac:dyDescent="0.3">
      <c r="A2563" s="995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5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  <c r="Q2563" s="2"/>
      <c r="R2563" s="2"/>
    </row>
    <row r="2564" spans="1:18" ht="19.5" hidden="1" customHeight="1" thickBot="1" x14ac:dyDescent="0.3">
      <c r="A2564" s="990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992" t="s">
        <v>72</v>
      </c>
      <c r="H2564" s="82" t="s">
        <v>598</v>
      </c>
      <c r="I2564" s="147" t="s">
        <v>598</v>
      </c>
      <c r="J2564" s="86"/>
      <c r="K2564" s="82" t="str">
        <f t="shared" si="75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  <c r="Q2564" s="2"/>
      <c r="R2564" s="2"/>
    </row>
    <row r="2565" spans="1:18" ht="19.5" hidden="1" thickBot="1" x14ac:dyDescent="0.3">
      <c r="A2565" s="990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992"/>
      <c r="H2565" s="90" t="s">
        <v>598</v>
      </c>
      <c r="I2565" s="172" t="s">
        <v>598</v>
      </c>
      <c r="J2565" s="173"/>
      <c r="K2565" s="90" t="str">
        <f t="shared" si="75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  <c r="Q2565" s="2"/>
      <c r="R2565" s="2"/>
    </row>
    <row r="2566" spans="1:18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5"/>
        <v>09,24</v>
      </c>
      <c r="L2566" s="75" t="s">
        <v>28</v>
      </c>
      <c r="M2566" s="75">
        <v>17883.72</v>
      </c>
      <c r="N2566" s="322">
        <v>0.5</v>
      </c>
      <c r="O2566" s="2"/>
      <c r="P2566" s="2"/>
      <c r="Q2566" s="2"/>
      <c r="R2566" s="2"/>
    </row>
    <row r="2567" spans="1:18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5"/>
        <v>09,24</v>
      </c>
      <c r="L2567" s="40" t="s">
        <v>265</v>
      </c>
      <c r="M2567" s="40">
        <v>17336.98</v>
      </c>
      <c r="N2567" s="317">
        <v>0.375</v>
      </c>
      <c r="O2567" s="2"/>
      <c r="P2567" s="2"/>
      <c r="Q2567" s="2"/>
      <c r="R2567" s="2"/>
    </row>
    <row r="2568" spans="1:18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5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  <c r="Q2568" s="2"/>
      <c r="R2568" s="2"/>
    </row>
    <row r="2569" spans="1:18" ht="19.5" hidden="1" thickBot="1" x14ac:dyDescent="0.3">
      <c r="A2569" s="990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5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  <c r="Q2569" s="2"/>
      <c r="R2569" s="2"/>
    </row>
    <row r="2570" spans="1:18" ht="19.5" hidden="1" thickBot="1" x14ac:dyDescent="0.3">
      <c r="A2570" s="990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5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  <c r="Q2570" s="2"/>
      <c r="R2570" s="2"/>
    </row>
    <row r="2571" spans="1:18" ht="19.5" hidden="1" thickBot="1" x14ac:dyDescent="0.3">
      <c r="A2571" s="991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5"/>
        <v>09,24</v>
      </c>
      <c r="L2571" s="48" t="s">
        <v>28</v>
      </c>
      <c r="M2571" s="48">
        <v>8194.1</v>
      </c>
      <c r="N2571" s="315">
        <v>0.5</v>
      </c>
      <c r="O2571" s="2"/>
      <c r="P2571" s="2"/>
      <c r="Q2571" s="2"/>
      <c r="R2571" s="2"/>
    </row>
    <row r="2572" spans="1:18" ht="19.5" hidden="1" thickBot="1" x14ac:dyDescent="0.3">
      <c r="A2572" s="991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5"/>
        <v>09,24</v>
      </c>
      <c r="L2572" s="71" t="s">
        <v>28</v>
      </c>
      <c r="M2572" s="71">
        <v>9450.16</v>
      </c>
      <c r="N2572" s="323">
        <v>0.5</v>
      </c>
      <c r="O2572" s="2"/>
      <c r="P2572" s="2"/>
      <c r="Q2572" s="2"/>
      <c r="R2572" s="2"/>
    </row>
    <row r="2573" spans="1:18" ht="19.5" hidden="1" thickBot="1" x14ac:dyDescent="0.3">
      <c r="A2573" s="990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5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  <c r="Q2573" s="2"/>
      <c r="R2573" s="2"/>
    </row>
    <row r="2574" spans="1:18" ht="19.5" hidden="1" thickBot="1" x14ac:dyDescent="0.3">
      <c r="A2574" s="990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5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  <c r="Q2574" s="2"/>
      <c r="R2574" s="2"/>
    </row>
    <row r="2575" spans="1:18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5"/>
        <v>09,24</v>
      </c>
      <c r="L2575" s="75" t="s">
        <v>265</v>
      </c>
      <c r="M2575" s="75">
        <v>17311.53</v>
      </c>
      <c r="N2575" s="322">
        <v>0.375</v>
      </c>
      <c r="O2575" s="2"/>
      <c r="P2575" s="2"/>
      <c r="Q2575" s="2"/>
      <c r="R2575" s="2"/>
    </row>
    <row r="2576" spans="1:18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5"/>
        <v>09,24</v>
      </c>
      <c r="L2576" s="40" t="s">
        <v>28</v>
      </c>
      <c r="M2576" s="40">
        <v>11160.72</v>
      </c>
      <c r="N2576" s="317">
        <v>0.375</v>
      </c>
      <c r="O2576" s="2"/>
      <c r="P2576" s="2"/>
      <c r="Q2576" s="2"/>
      <c r="R2576" s="2"/>
    </row>
    <row r="2577" spans="1:18" ht="19.5" hidden="1" thickBot="1" x14ac:dyDescent="0.3">
      <c r="A2577" s="991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5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  <c r="Q2577" s="2"/>
      <c r="R2577" s="2"/>
    </row>
    <row r="2578" spans="1:18" ht="19.5" hidden="1" thickBot="1" x14ac:dyDescent="0.3">
      <c r="A2578" s="991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5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  <c r="Q2578" s="2"/>
      <c r="R2578" s="2"/>
    </row>
    <row r="2579" spans="1:18" ht="19.5" hidden="1" thickBot="1" x14ac:dyDescent="0.3">
      <c r="A2579" s="110">
        <f t="shared" ref="A2579:A2584" si="76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5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  <c r="Q2579" s="2"/>
      <c r="R2579" s="2"/>
    </row>
    <row r="2580" spans="1:18" ht="19.5" hidden="1" thickBot="1" x14ac:dyDescent="0.3">
      <c r="A2580" s="153">
        <f t="shared" si="76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5"/>
        <v>09,24</v>
      </c>
      <c r="L2580" s="158" t="s">
        <v>266</v>
      </c>
      <c r="M2580" s="158">
        <v>16695.47</v>
      </c>
      <c r="N2580" s="433">
        <v>0.5</v>
      </c>
      <c r="O2580" s="2"/>
      <c r="P2580" s="2"/>
      <c r="Q2580" s="2"/>
      <c r="R2580" s="2"/>
    </row>
    <row r="2581" spans="1:18" ht="19.5" hidden="1" thickBot="1" x14ac:dyDescent="0.3">
      <c r="A2581" s="214">
        <f t="shared" si="76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5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  <c r="Q2581" s="2"/>
      <c r="R2581" s="2"/>
    </row>
    <row r="2582" spans="1:18" ht="19.5" hidden="1" thickBot="1" x14ac:dyDescent="0.3">
      <c r="A2582" s="111">
        <f t="shared" si="76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5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  <c r="Q2582" s="2"/>
      <c r="R2582" s="2"/>
    </row>
    <row r="2583" spans="1:18" ht="19.5" hidden="1" thickBot="1" x14ac:dyDescent="0.3">
      <c r="A2583" s="110">
        <f t="shared" si="76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5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  <c r="Q2583" s="2"/>
      <c r="R2583" s="2"/>
    </row>
    <row r="2584" spans="1:18" ht="19.5" hidden="1" thickBot="1" x14ac:dyDescent="0.3">
      <c r="A2584" s="991">
        <f t="shared" si="76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5"/>
        <v>09,24</v>
      </c>
      <c r="L2584" s="48" t="s">
        <v>266</v>
      </c>
      <c r="M2584" s="48">
        <v>3851.55</v>
      </c>
      <c r="N2584" s="315">
        <v>0.5</v>
      </c>
      <c r="O2584" s="2"/>
      <c r="P2584" s="2"/>
      <c r="Q2584" s="2"/>
      <c r="R2584" s="2"/>
    </row>
    <row r="2585" spans="1:18" ht="19.5" hidden="1" thickBot="1" x14ac:dyDescent="0.3">
      <c r="A2585" s="991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5"/>
        <v>09,24</v>
      </c>
      <c r="L2585" s="23" t="s">
        <v>266</v>
      </c>
      <c r="M2585" s="23">
        <v>1887.4</v>
      </c>
      <c r="N2585" s="329">
        <v>0.5</v>
      </c>
      <c r="O2585" s="2"/>
      <c r="P2585" s="2"/>
      <c r="Q2585" s="2"/>
      <c r="R2585" s="2"/>
    </row>
    <row r="2586" spans="1:18" ht="19.5" hidden="1" thickBot="1" x14ac:dyDescent="0.3">
      <c r="A2586" s="991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5"/>
        <v>09,24</v>
      </c>
      <c r="L2586" s="23" t="s">
        <v>266</v>
      </c>
      <c r="M2586" s="23">
        <v>5141.82</v>
      </c>
      <c r="N2586" s="329">
        <v>0.5</v>
      </c>
      <c r="O2586" s="2"/>
      <c r="P2586" s="2"/>
      <c r="Q2586" s="2"/>
      <c r="R2586" s="2"/>
    </row>
    <row r="2587" spans="1:18" ht="19.5" hidden="1" thickBot="1" x14ac:dyDescent="0.3">
      <c r="A2587" s="991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5"/>
        <v>09,24</v>
      </c>
      <c r="L2587" s="71" t="s">
        <v>266</v>
      </c>
      <c r="M2587" s="71">
        <v>6770.31</v>
      </c>
      <c r="N2587" s="323">
        <v>0.5</v>
      </c>
      <c r="O2587" s="2"/>
      <c r="P2587" s="2"/>
      <c r="Q2587" s="2"/>
      <c r="R2587" s="2"/>
    </row>
    <row r="2588" spans="1:18" ht="18.75" hidden="1" customHeight="1" thickBot="1" x14ac:dyDescent="0.3">
      <c r="A2588" s="1019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1020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5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  <c r="Q2588" s="2"/>
      <c r="R2588" s="2"/>
    </row>
    <row r="2589" spans="1:18" ht="19.5" hidden="1" thickBot="1" x14ac:dyDescent="0.3">
      <c r="A2589" s="1019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1020"/>
      <c r="H2589" s="257" t="s">
        <v>603</v>
      </c>
      <c r="I2589" s="449" t="s">
        <v>603</v>
      </c>
      <c r="J2589" s="450" t="s">
        <v>604</v>
      </c>
      <c r="K2589" s="257" t="str">
        <f t="shared" si="75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  <c r="Q2589" s="2"/>
      <c r="R2589" s="2"/>
    </row>
    <row r="2590" spans="1:18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5"/>
        <v>09,24</v>
      </c>
      <c r="L2590" s="75" t="s">
        <v>265</v>
      </c>
      <c r="M2590" s="75">
        <v>12667.64</v>
      </c>
      <c r="N2590" s="322">
        <v>0.375</v>
      </c>
      <c r="O2590" s="2"/>
      <c r="P2590" s="2"/>
      <c r="Q2590" s="2"/>
      <c r="R2590" s="2"/>
    </row>
    <row r="2591" spans="1:18" ht="19.5" hidden="1" thickBot="1" x14ac:dyDescent="0.3">
      <c r="A2591" s="990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5"/>
        <v>09,24</v>
      </c>
      <c r="L2591" s="82" t="s">
        <v>265</v>
      </c>
      <c r="M2591" s="82">
        <v>11103.64</v>
      </c>
      <c r="N2591" s="319">
        <v>0.375</v>
      </c>
      <c r="O2591" s="2"/>
      <c r="P2591" s="2"/>
      <c r="Q2591" s="2"/>
      <c r="R2591" s="2"/>
    </row>
    <row r="2592" spans="1:18" ht="19.5" hidden="1" thickBot="1" x14ac:dyDescent="0.3">
      <c r="A2592" s="990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5"/>
        <v>09,24</v>
      </c>
      <c r="L2592" s="90" t="s">
        <v>265</v>
      </c>
      <c r="M2592" s="90">
        <v>5479.5</v>
      </c>
      <c r="N2592" s="325">
        <v>0.375</v>
      </c>
      <c r="O2592" s="2"/>
      <c r="P2592" s="2"/>
      <c r="Q2592" s="2"/>
      <c r="R2592" s="2"/>
    </row>
    <row r="2593" spans="1:18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5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  <c r="Q2593" s="2"/>
      <c r="R2593" s="2"/>
    </row>
    <row r="2594" spans="1:18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5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  <c r="Q2594" s="2"/>
      <c r="R2594" s="2"/>
    </row>
    <row r="2595" spans="1:18" ht="18.75" hidden="1" customHeight="1" thickBot="1" x14ac:dyDescent="0.3">
      <c r="A2595" s="991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993" t="s">
        <v>72</v>
      </c>
      <c r="H2595" s="48" t="s">
        <v>607</v>
      </c>
      <c r="I2595" s="163" t="s">
        <v>607</v>
      </c>
      <c r="J2595" s="52"/>
      <c r="K2595" s="48" t="str">
        <f t="shared" si="75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  <c r="Q2595" s="2"/>
      <c r="R2595" s="2"/>
    </row>
    <row r="2596" spans="1:18" ht="19.5" hidden="1" thickBot="1" x14ac:dyDescent="0.3">
      <c r="A2596" s="991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993"/>
      <c r="H2596" s="71" t="s">
        <v>607</v>
      </c>
      <c r="I2596" s="167" t="s">
        <v>607</v>
      </c>
      <c r="J2596" s="168"/>
      <c r="K2596" s="71" t="str">
        <f t="shared" si="75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  <c r="Q2596" s="2"/>
      <c r="R2596" s="2"/>
    </row>
    <row r="2597" spans="1:18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5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  <c r="Q2597" s="2"/>
      <c r="R2597" s="2"/>
    </row>
    <row r="2598" spans="1:18" ht="19.5" hidden="1" thickBot="1" x14ac:dyDescent="0.3">
      <c r="A2598" s="991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5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  <c r="Q2598" s="2"/>
      <c r="R2598" s="2"/>
    </row>
    <row r="2599" spans="1:18" ht="19.5" hidden="1" thickBot="1" x14ac:dyDescent="0.3">
      <c r="A2599" s="991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5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  <c r="Q2599" s="2"/>
      <c r="R2599" s="2"/>
    </row>
    <row r="2600" spans="1:18" ht="19.5" hidden="1" thickBot="1" x14ac:dyDescent="0.3">
      <c r="A2600" s="996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5"/>
        <v>09,24</v>
      </c>
      <c r="L2600" s="82" t="s">
        <v>28</v>
      </c>
      <c r="M2600" s="82">
        <v>5893.94</v>
      </c>
      <c r="N2600" s="319">
        <v>0.5</v>
      </c>
      <c r="O2600" s="2"/>
      <c r="P2600" s="2"/>
      <c r="Q2600" s="2"/>
      <c r="R2600" s="2"/>
    </row>
    <row r="2601" spans="1:18" ht="19.5" hidden="1" thickBot="1" x14ac:dyDescent="0.3">
      <c r="A2601" s="996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5"/>
        <v>09,24</v>
      </c>
      <c r="L2601" s="65" t="s">
        <v>28</v>
      </c>
      <c r="M2601" s="65">
        <v>11836.8</v>
      </c>
      <c r="N2601" s="434">
        <v>0.5</v>
      </c>
      <c r="O2601" s="2"/>
      <c r="P2601" s="2"/>
      <c r="Q2601" s="2"/>
      <c r="R2601" s="2"/>
    </row>
    <row r="2602" spans="1:18" ht="57" hidden="1" thickBot="1" x14ac:dyDescent="0.3">
      <c r="A2602" s="111">
        <f t="shared" ref="A2602:A2607" si="77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5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  <c r="Q2602" s="2"/>
      <c r="R2602" s="2"/>
    </row>
    <row r="2603" spans="1:18" ht="38.25" hidden="1" thickBot="1" x14ac:dyDescent="0.3">
      <c r="A2603" s="110">
        <f t="shared" si="77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5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  <c r="Q2603" s="2"/>
      <c r="R2603" s="2"/>
    </row>
    <row r="2604" spans="1:18" ht="19.5" hidden="1" thickBot="1" x14ac:dyDescent="0.3">
      <c r="A2604" s="111">
        <f t="shared" si="77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5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  <c r="Q2604" s="2"/>
      <c r="R2604" s="2"/>
    </row>
    <row r="2605" spans="1:18" ht="19.5" hidden="1" thickBot="1" x14ac:dyDescent="0.3">
      <c r="A2605" s="110">
        <f t="shared" si="77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5"/>
        <v>09,24</v>
      </c>
      <c r="L2605" s="40" t="s">
        <v>265</v>
      </c>
      <c r="M2605" s="40">
        <v>17247.64</v>
      </c>
      <c r="N2605" s="317">
        <v>0.375</v>
      </c>
      <c r="O2605" s="2"/>
      <c r="P2605" s="2"/>
      <c r="Q2605" s="2"/>
      <c r="R2605" s="2"/>
    </row>
    <row r="2606" spans="1:18" ht="19.5" hidden="1" thickBot="1" x14ac:dyDescent="0.3">
      <c r="A2606" s="111">
        <f t="shared" si="77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5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  <c r="Q2606" s="2"/>
      <c r="R2606" s="2"/>
    </row>
    <row r="2607" spans="1:18" ht="19.5" hidden="1" thickBot="1" x14ac:dyDescent="0.3">
      <c r="A2607" s="990">
        <f t="shared" si="77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5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  <c r="Q2607" s="2"/>
      <c r="R2607" s="2"/>
    </row>
    <row r="2608" spans="1:18" ht="19.5" hidden="1" thickBot="1" x14ac:dyDescent="0.3">
      <c r="A2608" s="990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5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  <c r="Q2608" s="2"/>
      <c r="R2608" s="2"/>
    </row>
    <row r="2609" spans="1:18" ht="19.5" hidden="1" thickBot="1" x14ac:dyDescent="0.3">
      <c r="A2609" s="990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5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  <c r="Q2609" s="2"/>
      <c r="R2609" s="2"/>
    </row>
    <row r="2610" spans="1:18" ht="19.5" hidden="1" thickBot="1" x14ac:dyDescent="0.3">
      <c r="A2610" s="991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5"/>
        <v>09,24</v>
      </c>
      <c r="L2610" s="48" t="s">
        <v>28</v>
      </c>
      <c r="M2610" s="48">
        <v>3510</v>
      </c>
      <c r="N2610" s="315">
        <v>0.5</v>
      </c>
      <c r="O2610" s="2"/>
      <c r="P2610" s="2"/>
      <c r="Q2610" s="2"/>
      <c r="R2610" s="2"/>
    </row>
    <row r="2611" spans="1:18" ht="19.5" hidden="1" thickBot="1" x14ac:dyDescent="0.3">
      <c r="A2611" s="991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5"/>
        <v>09,24</v>
      </c>
      <c r="L2611" s="71" t="s">
        <v>28</v>
      </c>
      <c r="M2611" s="71">
        <v>13748.3</v>
      </c>
      <c r="N2611" s="323">
        <v>0.5</v>
      </c>
      <c r="O2611" s="2"/>
      <c r="P2611" s="2"/>
      <c r="Q2611" s="2"/>
      <c r="R2611" s="2"/>
    </row>
    <row r="2612" spans="1:18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5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  <c r="Q2612" s="2"/>
      <c r="R2612" s="2"/>
    </row>
    <row r="2613" spans="1:18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5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  <c r="Q2613" s="2"/>
      <c r="R2613" s="2"/>
    </row>
    <row r="2614" spans="1:18" ht="19.5" hidden="1" thickBot="1" x14ac:dyDescent="0.3">
      <c r="A2614" s="990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5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  <c r="Q2614" s="2"/>
      <c r="R2614" s="2"/>
    </row>
    <row r="2615" spans="1:18" ht="19.5" hidden="1" thickBot="1" x14ac:dyDescent="0.3">
      <c r="A2615" s="990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5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  <c r="Q2615" s="2"/>
      <c r="R2615" s="2"/>
    </row>
    <row r="2616" spans="1:18" ht="19.5" hidden="1" thickBot="1" x14ac:dyDescent="0.3">
      <c r="A2616" s="995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5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  <c r="Q2616" s="2"/>
      <c r="R2616" s="2"/>
    </row>
    <row r="2617" spans="1:18" ht="19.5" hidden="1" thickBot="1" x14ac:dyDescent="0.3">
      <c r="A2617" s="995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5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  <c r="Q2617" s="2"/>
      <c r="R2617" s="2"/>
    </row>
    <row r="2618" spans="1:18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5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  <c r="Q2618" s="2"/>
      <c r="R2618" s="2"/>
    </row>
    <row r="2619" spans="1:18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8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  <c r="Q2619" s="2"/>
      <c r="R2619" s="2"/>
    </row>
    <row r="2620" spans="1:18" ht="19.5" hidden="1" thickBot="1" x14ac:dyDescent="0.3">
      <c r="A2620" s="990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8"/>
        <v>09,24</v>
      </c>
      <c r="L2620" s="82" t="s">
        <v>266</v>
      </c>
      <c r="M2620" s="82">
        <v>3737.4</v>
      </c>
      <c r="N2620" s="319">
        <v>0.5</v>
      </c>
      <c r="O2620" s="2"/>
      <c r="P2620" s="2"/>
      <c r="Q2620" s="2"/>
      <c r="R2620" s="2"/>
    </row>
    <row r="2621" spans="1:18" ht="19.5" hidden="1" thickBot="1" x14ac:dyDescent="0.3">
      <c r="A2621" s="990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8"/>
        <v>09,24</v>
      </c>
      <c r="L2621" s="98" t="s">
        <v>266</v>
      </c>
      <c r="M2621" s="98">
        <v>4685.46</v>
      </c>
      <c r="N2621" s="364">
        <v>0.5</v>
      </c>
      <c r="O2621" s="2"/>
      <c r="P2621" s="2"/>
      <c r="Q2621" s="2"/>
      <c r="R2621" s="2"/>
    </row>
    <row r="2622" spans="1:18" ht="19.5" hidden="1" thickBot="1" x14ac:dyDescent="0.3">
      <c r="A2622" s="990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8"/>
        <v>09,24</v>
      </c>
      <c r="L2622" s="98" t="s">
        <v>266</v>
      </c>
      <c r="M2622" s="98">
        <v>5023.53</v>
      </c>
      <c r="N2622" s="364">
        <v>0.5</v>
      </c>
      <c r="O2622" s="2"/>
      <c r="P2622" s="2"/>
      <c r="Q2622" s="2"/>
      <c r="R2622" s="2"/>
    </row>
    <row r="2623" spans="1:18" ht="19.5" hidden="1" thickBot="1" x14ac:dyDescent="0.3">
      <c r="A2623" s="990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8"/>
        <v>09,24</v>
      </c>
      <c r="L2623" s="90" t="s">
        <v>266</v>
      </c>
      <c r="M2623" s="90">
        <v>4002.7</v>
      </c>
      <c r="N2623" s="325">
        <v>0.5</v>
      </c>
      <c r="O2623" s="2"/>
      <c r="P2623" s="2"/>
      <c r="Q2623" s="2"/>
      <c r="R2623" s="2"/>
    </row>
    <row r="2624" spans="1:18" ht="17.25" hidden="1" customHeight="1" thickBot="1" x14ac:dyDescent="0.3">
      <c r="A2624" s="995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1021" t="s">
        <v>467</v>
      </c>
      <c r="H2624" s="48" t="s">
        <v>610</v>
      </c>
      <c r="I2624" s="47" t="s">
        <v>611</v>
      </c>
      <c r="J2624" s="52"/>
      <c r="K2624" s="48" t="str">
        <f t="shared" si="78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  <c r="Q2624" s="2"/>
      <c r="R2624" s="2"/>
    </row>
    <row r="2625" spans="1:18" ht="19.5" hidden="1" thickBot="1" x14ac:dyDescent="0.3">
      <c r="A2625" s="995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1021"/>
      <c r="H2625" s="293" t="s">
        <v>610</v>
      </c>
      <c r="I2625" s="292" t="s">
        <v>611</v>
      </c>
      <c r="J2625" s="296"/>
      <c r="K2625" s="293" t="str">
        <f t="shared" si="78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  <c r="Q2625" s="2"/>
      <c r="R2625" s="2"/>
    </row>
    <row r="2626" spans="1:18" ht="19.5" hidden="1" thickBot="1" x14ac:dyDescent="0.3">
      <c r="A2626" s="990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8"/>
        <v>09,24</v>
      </c>
      <c r="L2626" s="82" t="s">
        <v>265</v>
      </c>
      <c r="M2626" s="82">
        <v>12561.18</v>
      </c>
      <c r="N2626" s="319">
        <v>0.375</v>
      </c>
      <c r="O2626" s="2"/>
      <c r="P2626" s="2"/>
      <c r="Q2626" s="2"/>
      <c r="R2626" s="2"/>
    </row>
    <row r="2627" spans="1:18" ht="19.5" hidden="1" thickBot="1" x14ac:dyDescent="0.3">
      <c r="A2627" s="990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8"/>
        <v>09,24</v>
      </c>
      <c r="L2627" s="90" t="s">
        <v>265</v>
      </c>
      <c r="M2627" s="90">
        <v>3592.9</v>
      </c>
      <c r="N2627" s="325">
        <v>0.375</v>
      </c>
      <c r="O2627" s="2"/>
      <c r="P2627" s="2"/>
      <c r="Q2627" s="2"/>
      <c r="R2627" s="2"/>
    </row>
    <row r="2628" spans="1:18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8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  <c r="Q2628" s="2"/>
      <c r="R2628" s="2"/>
    </row>
    <row r="2629" spans="1:18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8"/>
        <v>09,24</v>
      </c>
      <c r="L2629" s="40" t="s">
        <v>265</v>
      </c>
      <c r="M2629" s="40">
        <v>17154.84</v>
      </c>
      <c r="N2629" s="317">
        <v>0.375</v>
      </c>
      <c r="O2629" s="2"/>
      <c r="P2629" s="2"/>
      <c r="Q2629" s="2"/>
      <c r="R2629" s="2"/>
    </row>
    <row r="2630" spans="1:18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8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  <c r="Q2630" s="2"/>
      <c r="R2630" s="2"/>
    </row>
    <row r="2631" spans="1:18" ht="19.5" hidden="1" customHeight="1" thickBot="1" x14ac:dyDescent="0.3">
      <c r="A2631" s="990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992" t="s">
        <v>72</v>
      </c>
      <c r="H2631" s="82" t="s">
        <v>614</v>
      </c>
      <c r="I2631" s="147" t="s">
        <v>614</v>
      </c>
      <c r="J2631" s="86"/>
      <c r="K2631" s="82" t="str">
        <f t="shared" si="78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  <c r="Q2631" s="2"/>
      <c r="R2631" s="2"/>
    </row>
    <row r="2632" spans="1:18" ht="19.5" hidden="1" thickBot="1" x14ac:dyDescent="0.3">
      <c r="A2632" s="990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992"/>
      <c r="H2632" s="90" t="s">
        <v>614</v>
      </c>
      <c r="I2632" s="172" t="s">
        <v>614</v>
      </c>
      <c r="J2632" s="173"/>
      <c r="K2632" s="90" t="str">
        <f t="shared" si="78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  <c r="Q2632" s="2"/>
      <c r="R2632" s="2"/>
    </row>
    <row r="2633" spans="1:18" ht="19.5" hidden="1" thickBot="1" x14ac:dyDescent="0.3">
      <c r="A2633" s="991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8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  <c r="Q2633" s="2"/>
      <c r="R2633" s="2"/>
    </row>
    <row r="2634" spans="1:18" ht="19.5" hidden="1" thickBot="1" x14ac:dyDescent="0.3">
      <c r="A2634" s="991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8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  <c r="Q2634" s="2"/>
      <c r="R2634" s="2"/>
    </row>
    <row r="2635" spans="1:18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8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  <c r="Q2635" s="2"/>
      <c r="R2635" s="2"/>
    </row>
    <row r="2636" spans="1:18" ht="19.5" hidden="1" thickBot="1" x14ac:dyDescent="0.3">
      <c r="A2636" s="991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8"/>
        <v>09,24</v>
      </c>
      <c r="L2636" s="48" t="s">
        <v>28</v>
      </c>
      <c r="M2636" s="48">
        <v>7948.41</v>
      </c>
      <c r="N2636" s="315">
        <v>0.5</v>
      </c>
      <c r="O2636" s="2"/>
      <c r="P2636" s="2"/>
      <c r="Q2636" s="2"/>
      <c r="R2636" s="2"/>
    </row>
    <row r="2637" spans="1:18" ht="19.5" hidden="1" thickBot="1" x14ac:dyDescent="0.3">
      <c r="A2637" s="991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8"/>
        <v>09,24</v>
      </c>
      <c r="L2637" s="71" t="s">
        <v>28</v>
      </c>
      <c r="M2637" s="71">
        <v>9196.35</v>
      </c>
      <c r="N2637" s="323">
        <v>0.5</v>
      </c>
      <c r="O2637" s="2"/>
      <c r="P2637" s="2"/>
      <c r="Q2637" s="2"/>
      <c r="R2637" s="2"/>
    </row>
    <row r="2638" spans="1:18" ht="19.5" hidden="1" thickBot="1" x14ac:dyDescent="0.3">
      <c r="A2638" s="996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8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  <c r="Q2638" s="2"/>
      <c r="R2638" s="2"/>
    </row>
    <row r="2639" spans="1:18" ht="19.5" hidden="1" thickBot="1" x14ac:dyDescent="0.3">
      <c r="A2639" s="996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8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  <c r="Q2639" s="2"/>
      <c r="R2639" s="2"/>
    </row>
    <row r="2640" spans="1:18" ht="38.25" hidden="1" thickBot="1" x14ac:dyDescent="0.3">
      <c r="A2640" s="111">
        <f t="shared" ref="A2640:A2645" si="79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8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  <c r="Q2640" s="2"/>
      <c r="R2640" s="2"/>
    </row>
    <row r="2641" spans="1:18" ht="19.5" hidden="1" thickBot="1" x14ac:dyDescent="0.3">
      <c r="A2641" s="110">
        <f t="shared" si="79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8"/>
        <v>09,24</v>
      </c>
      <c r="L2641" s="40" t="s">
        <v>265</v>
      </c>
      <c r="M2641" s="40">
        <v>17180.02</v>
      </c>
      <c r="N2641" s="317">
        <v>0.375</v>
      </c>
      <c r="O2641" s="2"/>
      <c r="P2641" s="2"/>
      <c r="Q2641" s="2"/>
      <c r="R2641" s="2"/>
    </row>
    <row r="2642" spans="1:18" ht="38.25" hidden="1" thickBot="1" x14ac:dyDescent="0.3">
      <c r="A2642" s="111">
        <f t="shared" si="79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8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  <c r="Q2642" s="2"/>
      <c r="R2642" s="2"/>
    </row>
    <row r="2643" spans="1:18" ht="19.5" hidden="1" thickBot="1" x14ac:dyDescent="0.3">
      <c r="A2643" s="110">
        <f t="shared" si="79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8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  <c r="Q2643" s="2"/>
      <c r="R2643" s="2"/>
    </row>
    <row r="2644" spans="1:18" ht="19.5" hidden="1" thickBot="1" x14ac:dyDescent="0.3">
      <c r="A2644" s="111">
        <f t="shared" si="79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8"/>
        <v>09,24</v>
      </c>
      <c r="L2644" s="75" t="s">
        <v>28</v>
      </c>
      <c r="M2644" s="75">
        <v>17369.68</v>
      </c>
      <c r="N2644" s="322">
        <v>0.5</v>
      </c>
      <c r="O2644" s="2"/>
      <c r="P2644" s="2"/>
      <c r="Q2644" s="2"/>
      <c r="R2644" s="2"/>
    </row>
    <row r="2645" spans="1:18" ht="19.5" hidden="1" thickBot="1" x14ac:dyDescent="0.3">
      <c r="A2645" s="990">
        <f t="shared" si="79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8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  <c r="Q2645" s="2"/>
      <c r="R2645" s="2"/>
    </row>
    <row r="2646" spans="1:18" ht="19.5" hidden="1" thickBot="1" x14ac:dyDescent="0.3">
      <c r="A2646" s="990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8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  <c r="Q2646" s="2"/>
      <c r="R2646" s="2"/>
    </row>
    <row r="2647" spans="1:18" ht="19.5" hidden="1" thickBot="1" x14ac:dyDescent="0.3">
      <c r="A2647" s="991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8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  <c r="Q2647" s="2"/>
      <c r="R2647" s="2"/>
    </row>
    <row r="2648" spans="1:18" ht="19.5" hidden="1" thickBot="1" x14ac:dyDescent="0.3">
      <c r="A2648" s="991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8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  <c r="Q2648" s="2"/>
      <c r="R2648" s="2"/>
    </row>
    <row r="2649" spans="1:18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8"/>
        <v>10,24</v>
      </c>
      <c r="L2649" s="40" t="s">
        <v>265</v>
      </c>
      <c r="M2649" s="40">
        <v>17261.46</v>
      </c>
      <c r="N2649" s="317">
        <v>0.375</v>
      </c>
      <c r="O2649" s="2"/>
      <c r="P2649" s="2"/>
      <c r="Q2649" s="2"/>
      <c r="R2649" s="2"/>
    </row>
    <row r="2650" spans="1:18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8"/>
        <v>09,24</v>
      </c>
      <c r="L2650" s="75" t="s">
        <v>28</v>
      </c>
      <c r="M2650" s="75">
        <v>12014.52</v>
      </c>
      <c r="N2650" s="322">
        <v>0.375</v>
      </c>
      <c r="O2650" s="2"/>
      <c r="P2650" s="2"/>
      <c r="Q2650" s="2"/>
      <c r="R2650" s="2"/>
    </row>
    <row r="2651" spans="1:18" ht="19.5" hidden="1" thickBot="1" x14ac:dyDescent="0.3">
      <c r="A2651" s="990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8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  <c r="Q2651" s="2"/>
      <c r="R2651" s="2"/>
    </row>
    <row r="2652" spans="1:18" ht="19.5" hidden="1" thickBot="1" x14ac:dyDescent="0.3">
      <c r="A2652" s="990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8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  <c r="Q2652" s="2"/>
      <c r="R2652" s="2"/>
    </row>
    <row r="2653" spans="1:18" ht="19.5" hidden="1" thickBot="1" x14ac:dyDescent="0.3">
      <c r="A2653" s="990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8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  <c r="Q2653" s="2"/>
      <c r="R2653" s="2"/>
    </row>
    <row r="2654" spans="1:18" ht="19.5" hidden="1" thickBot="1" x14ac:dyDescent="0.3">
      <c r="A2654" s="991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8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  <c r="Q2654" s="2"/>
      <c r="R2654" s="2"/>
    </row>
    <row r="2655" spans="1:18" ht="19.5" hidden="1" thickBot="1" x14ac:dyDescent="0.3">
      <c r="A2655" s="991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8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  <c r="Q2655" s="2"/>
      <c r="R2655" s="2"/>
    </row>
    <row r="2656" spans="1:18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8"/>
        <v>10,24</v>
      </c>
      <c r="L2656" s="122" t="s">
        <v>266</v>
      </c>
      <c r="M2656" s="122">
        <v>16173.52</v>
      </c>
      <c r="N2656" s="365">
        <v>0.5</v>
      </c>
      <c r="O2656" s="2"/>
      <c r="P2656" s="2"/>
      <c r="Q2656" s="2"/>
      <c r="R2656" s="2"/>
    </row>
    <row r="2657" spans="1:18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8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  <c r="Q2657" s="2"/>
      <c r="R2657" s="2"/>
    </row>
    <row r="2658" spans="1:18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8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  <c r="Q2658" s="2"/>
      <c r="R2658" s="2"/>
    </row>
    <row r="2659" spans="1:18" ht="19.5" hidden="1" thickBot="1" x14ac:dyDescent="0.3">
      <c r="A2659" s="991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8"/>
        <v>10,24</v>
      </c>
      <c r="L2659" s="48" t="s">
        <v>266</v>
      </c>
      <c r="M2659" s="48">
        <v>3003</v>
      </c>
      <c r="N2659" s="315">
        <v>0.5</v>
      </c>
      <c r="O2659" s="2"/>
      <c r="P2659" s="2"/>
      <c r="Q2659" s="2"/>
      <c r="R2659" s="2"/>
    </row>
    <row r="2660" spans="1:18" ht="19.5" hidden="1" thickBot="1" x14ac:dyDescent="0.3">
      <c r="A2660" s="991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8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  <c r="Q2660" s="2"/>
      <c r="R2660" s="2"/>
    </row>
    <row r="2661" spans="1:18" ht="19.5" hidden="1" thickBot="1" x14ac:dyDescent="0.3">
      <c r="A2661" s="991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8"/>
        <v>10,24</v>
      </c>
      <c r="L2661" s="23" t="s">
        <v>266</v>
      </c>
      <c r="M2661" s="23">
        <v>3300</v>
      </c>
      <c r="N2661" s="329">
        <v>0.5</v>
      </c>
      <c r="O2661" s="2"/>
      <c r="P2661" s="2"/>
      <c r="Q2661" s="2"/>
      <c r="R2661" s="2"/>
    </row>
    <row r="2662" spans="1:18" ht="19.5" hidden="1" thickBot="1" x14ac:dyDescent="0.3">
      <c r="A2662" s="991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8"/>
        <v>10,24</v>
      </c>
      <c r="L2662" s="23" t="s">
        <v>266</v>
      </c>
      <c r="M2662" s="23">
        <v>5104.5</v>
      </c>
      <c r="N2662" s="329">
        <v>0.5</v>
      </c>
      <c r="O2662" s="2"/>
      <c r="P2662" s="2"/>
      <c r="Q2662" s="2"/>
      <c r="R2662" s="2"/>
    </row>
    <row r="2663" spans="1:18" ht="19.5" hidden="1" thickBot="1" x14ac:dyDescent="0.3">
      <c r="A2663" s="991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8"/>
        <v>10,24</v>
      </c>
      <c r="L2663" s="71" t="s">
        <v>266</v>
      </c>
      <c r="M2663" s="71">
        <v>3505.56</v>
      </c>
      <c r="N2663" s="323">
        <v>0.5</v>
      </c>
      <c r="O2663" s="2"/>
      <c r="P2663" s="2"/>
      <c r="Q2663" s="2"/>
      <c r="R2663" s="2"/>
    </row>
    <row r="2664" spans="1:18" ht="19.5" hidden="1" thickBot="1" x14ac:dyDescent="0.3">
      <c r="A2664" s="990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8"/>
        <v>10,24</v>
      </c>
      <c r="L2664" s="82" t="s">
        <v>265</v>
      </c>
      <c r="M2664" s="82">
        <v>7947.08</v>
      </c>
      <c r="N2664" s="319">
        <v>0.375</v>
      </c>
      <c r="O2664" s="2"/>
      <c r="P2664" s="2"/>
      <c r="Q2664" s="2"/>
      <c r="R2664" s="2"/>
    </row>
    <row r="2665" spans="1:18" ht="19.5" hidden="1" thickBot="1" x14ac:dyDescent="0.3">
      <c r="A2665" s="990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8"/>
        <v>10,24</v>
      </c>
      <c r="L2665" s="90" t="s">
        <v>265</v>
      </c>
      <c r="M2665" s="90">
        <v>8274.1</v>
      </c>
      <c r="N2665" s="325">
        <v>0.375</v>
      </c>
      <c r="O2665" s="2"/>
      <c r="P2665" s="2"/>
      <c r="Q2665" s="2"/>
      <c r="R2665" s="2"/>
    </row>
    <row r="2666" spans="1:18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8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  <c r="Q2666" s="2"/>
      <c r="R2666" s="2"/>
    </row>
    <row r="2667" spans="1:18" ht="18.75" hidden="1" customHeight="1" thickBot="1" x14ac:dyDescent="0.3">
      <c r="A2667" s="990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992" t="s">
        <v>72</v>
      </c>
      <c r="H2667" s="82" t="s">
        <v>621</v>
      </c>
      <c r="I2667" s="147" t="s">
        <v>621</v>
      </c>
      <c r="J2667" s="86"/>
      <c r="K2667" s="82" t="str">
        <f t="shared" si="78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  <c r="Q2667" s="2"/>
      <c r="R2667" s="2"/>
    </row>
    <row r="2668" spans="1:18" ht="19.5" hidden="1" thickBot="1" x14ac:dyDescent="0.3">
      <c r="A2668" s="990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992"/>
      <c r="H2668" s="90" t="s">
        <v>621</v>
      </c>
      <c r="I2668" s="172" t="s">
        <v>621</v>
      </c>
      <c r="J2668" s="173"/>
      <c r="K2668" s="90" t="str">
        <f t="shared" si="78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  <c r="Q2668" s="2"/>
      <c r="R2668" s="2"/>
    </row>
    <row r="2669" spans="1:18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8"/>
        <v>10,24</v>
      </c>
      <c r="L2669" s="75" t="s">
        <v>28</v>
      </c>
      <c r="M2669" s="75">
        <v>15794.82</v>
      </c>
      <c r="N2669" s="322">
        <v>0.375</v>
      </c>
      <c r="O2669" s="2"/>
      <c r="P2669" s="2"/>
      <c r="Q2669" s="2"/>
      <c r="R2669" s="2"/>
    </row>
    <row r="2670" spans="1:18" ht="19.5" hidden="1" thickBot="1" x14ac:dyDescent="0.3">
      <c r="A2670" s="990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8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  <c r="Q2670" s="2"/>
      <c r="R2670" s="2"/>
    </row>
    <row r="2671" spans="1:18" ht="19.5" hidden="1" thickBot="1" x14ac:dyDescent="0.3">
      <c r="A2671" s="990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8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  <c r="Q2671" s="2"/>
      <c r="R2671" s="2"/>
    </row>
    <row r="2672" spans="1:18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8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  <c r="Q2672" s="2"/>
      <c r="R2672" s="2"/>
    </row>
    <row r="2673" spans="1:18" ht="19.5" hidden="1" thickBot="1" x14ac:dyDescent="0.3">
      <c r="A2673" s="990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8"/>
        <v>10,24</v>
      </c>
      <c r="L2673" s="82" t="s">
        <v>28</v>
      </c>
      <c r="M2673" s="82">
        <v>3590.64</v>
      </c>
      <c r="N2673" s="319">
        <v>0.5</v>
      </c>
      <c r="O2673" s="2"/>
      <c r="P2673" s="2"/>
      <c r="Q2673" s="2"/>
      <c r="R2673" s="2"/>
    </row>
    <row r="2674" spans="1:18" ht="19.5" hidden="1" thickBot="1" x14ac:dyDescent="0.3">
      <c r="A2674" s="990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8"/>
        <v>10,24</v>
      </c>
      <c r="L2674" s="90" t="s">
        <v>28</v>
      </c>
      <c r="M2674" s="90">
        <v>13786.74</v>
      </c>
      <c r="N2674" s="325">
        <v>0.5</v>
      </c>
      <c r="O2674" s="2"/>
      <c r="P2674" s="2"/>
      <c r="Q2674" s="2"/>
      <c r="R2674" s="2"/>
    </row>
    <row r="2675" spans="1:18" ht="19.5" hidden="1" thickBot="1" x14ac:dyDescent="0.3">
      <c r="A2675" s="995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8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  <c r="Q2675" s="2"/>
      <c r="R2675" s="2"/>
    </row>
    <row r="2676" spans="1:18" ht="19.5" hidden="1" thickBot="1" x14ac:dyDescent="0.3">
      <c r="A2676" s="995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8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  <c r="Q2676" s="2"/>
      <c r="R2676" s="2"/>
    </row>
    <row r="2677" spans="1:18" ht="19.5" hidden="1" thickBot="1" x14ac:dyDescent="0.3">
      <c r="A2677" s="995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8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  <c r="Q2677" s="2"/>
      <c r="R2677" s="2"/>
    </row>
    <row r="2678" spans="1:18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8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  <c r="Q2678" s="2"/>
      <c r="R2678" s="2"/>
    </row>
    <row r="2679" spans="1:18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8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  <c r="Q2679" s="2"/>
      <c r="R2679" s="2"/>
    </row>
    <row r="2680" spans="1:18" ht="19.5" hidden="1" thickBot="1" x14ac:dyDescent="0.3">
      <c r="A2680" s="990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8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  <c r="Q2680" s="2"/>
      <c r="R2680" s="2"/>
    </row>
    <row r="2681" spans="1:18" ht="19.5" hidden="1" thickBot="1" x14ac:dyDescent="0.3">
      <c r="A2681" s="990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8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  <c r="Q2681" s="2"/>
      <c r="R2681" s="2"/>
    </row>
    <row r="2682" spans="1:18" ht="19.5" hidden="1" thickBot="1" x14ac:dyDescent="0.3">
      <c r="A2682" s="991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8"/>
        <v>10,24</v>
      </c>
      <c r="L2682" s="48" t="s">
        <v>28</v>
      </c>
      <c r="M2682" s="48">
        <v>1721.5</v>
      </c>
      <c r="N2682" s="315">
        <v>0.5</v>
      </c>
      <c r="O2682" s="2"/>
      <c r="P2682" s="2"/>
      <c r="Q2682" s="2"/>
      <c r="R2682" s="2"/>
    </row>
    <row r="2683" spans="1:18" ht="19.5" hidden="1" thickBot="1" x14ac:dyDescent="0.3">
      <c r="A2683" s="991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80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  <c r="Q2683" s="2"/>
      <c r="R2683" s="2"/>
    </row>
    <row r="2684" spans="1:18" ht="19.5" hidden="1" thickBot="1" x14ac:dyDescent="0.3">
      <c r="A2684" s="991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80"/>
        <v>10,24</v>
      </c>
      <c r="L2684" s="71" t="s">
        <v>28</v>
      </c>
      <c r="M2684" s="71">
        <v>7857.42</v>
      </c>
      <c r="N2684" s="323">
        <v>0.5</v>
      </c>
      <c r="O2684" s="2"/>
      <c r="P2684" s="2"/>
      <c r="Q2684" s="2"/>
      <c r="R2684" s="2"/>
    </row>
    <row r="2685" spans="1:18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80"/>
        <v>10,24</v>
      </c>
      <c r="L2685" s="40" t="s">
        <v>265</v>
      </c>
      <c r="M2685" s="40">
        <v>17307.75</v>
      </c>
      <c r="N2685" s="317">
        <v>0.375</v>
      </c>
      <c r="O2685" s="2"/>
      <c r="P2685" s="2"/>
      <c r="Q2685" s="2"/>
      <c r="R2685" s="2"/>
    </row>
    <row r="2686" spans="1:18" ht="19.5" hidden="1" thickBot="1" x14ac:dyDescent="0.3">
      <c r="A2686" s="991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80"/>
        <v>10,24</v>
      </c>
      <c r="L2686" s="48" t="s">
        <v>28</v>
      </c>
      <c r="M2686" s="48">
        <v>6838.52</v>
      </c>
      <c r="N2686" s="315">
        <v>0.375</v>
      </c>
      <c r="O2686" s="2"/>
      <c r="P2686" s="2"/>
      <c r="Q2686" s="2"/>
      <c r="R2686" s="2"/>
    </row>
    <row r="2687" spans="1:18" ht="19.5" hidden="1" thickBot="1" x14ac:dyDescent="0.3">
      <c r="A2687" s="991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80"/>
        <v>10,24</v>
      </c>
      <c r="L2687" s="71" t="s">
        <v>28</v>
      </c>
      <c r="M2687" s="71">
        <v>5558.88</v>
      </c>
      <c r="N2687" s="323">
        <v>0.375</v>
      </c>
      <c r="O2687" s="2"/>
      <c r="P2687" s="2"/>
      <c r="Q2687" s="2"/>
      <c r="R2687" s="2"/>
    </row>
    <row r="2688" spans="1:18" ht="19.5" hidden="1" thickBot="1" x14ac:dyDescent="0.3">
      <c r="A2688" s="990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80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  <c r="Q2688" s="2"/>
      <c r="R2688" s="2"/>
    </row>
    <row r="2689" spans="1:18" ht="19.5" hidden="1" thickBot="1" x14ac:dyDescent="0.3">
      <c r="A2689" s="990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80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  <c r="Q2689" s="2"/>
      <c r="R2689" s="2"/>
    </row>
    <row r="2690" spans="1:18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80"/>
        <v>10,24</v>
      </c>
      <c r="L2690" s="158" t="s">
        <v>265</v>
      </c>
      <c r="M2690" s="158">
        <v>8041.5</v>
      </c>
      <c r="N2690" s="433">
        <v>0.375</v>
      </c>
      <c r="O2690" s="2"/>
      <c r="P2690" s="2"/>
      <c r="Q2690" s="2"/>
      <c r="R2690" s="2"/>
    </row>
    <row r="2691" spans="1:18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80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  <c r="Q2691" s="2"/>
      <c r="R2691" s="2"/>
    </row>
    <row r="2692" spans="1:18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80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  <c r="Q2692" s="2"/>
      <c r="R2692" s="2"/>
    </row>
    <row r="2693" spans="1:18" ht="19.5" hidden="1" thickBot="1" x14ac:dyDescent="0.3">
      <c r="A2693" s="996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80"/>
        <v>10,24</v>
      </c>
      <c r="L2693" s="82" t="s">
        <v>266</v>
      </c>
      <c r="M2693" s="82">
        <v>2832.75</v>
      </c>
      <c r="N2693" s="319">
        <v>0.5</v>
      </c>
      <c r="O2693" s="2"/>
      <c r="P2693" s="2"/>
      <c r="Q2693" s="2"/>
      <c r="R2693" s="2"/>
    </row>
    <row r="2694" spans="1:18" ht="19.5" hidden="1" thickBot="1" x14ac:dyDescent="0.3">
      <c r="A2694" s="996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80"/>
        <v>10,24</v>
      </c>
      <c r="L2694" s="98" t="s">
        <v>266</v>
      </c>
      <c r="M2694" s="98">
        <v>4373.38</v>
      </c>
      <c r="N2694" s="364">
        <v>0.5</v>
      </c>
      <c r="O2694" s="2"/>
      <c r="P2694" s="2"/>
      <c r="Q2694" s="2"/>
      <c r="R2694" s="2"/>
    </row>
    <row r="2695" spans="1:18" ht="19.5" hidden="1" thickBot="1" x14ac:dyDescent="0.3">
      <c r="A2695" s="996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80"/>
        <v>10,24</v>
      </c>
      <c r="L2695" s="98" t="s">
        <v>266</v>
      </c>
      <c r="M2695" s="98">
        <v>2639.46</v>
      </c>
      <c r="N2695" s="364">
        <v>0.5</v>
      </c>
      <c r="O2695" s="2"/>
      <c r="P2695" s="2"/>
      <c r="Q2695" s="2"/>
      <c r="R2695" s="2"/>
    </row>
    <row r="2696" spans="1:18" ht="19.5" hidden="1" thickBot="1" x14ac:dyDescent="0.3">
      <c r="A2696" s="996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80"/>
        <v>10,24</v>
      </c>
      <c r="L2696" s="98" t="s">
        <v>266</v>
      </c>
      <c r="M2696" s="98">
        <v>1005</v>
      </c>
      <c r="N2696" s="364">
        <v>0.5</v>
      </c>
      <c r="O2696" s="2"/>
      <c r="P2696" s="2"/>
      <c r="Q2696" s="2"/>
      <c r="R2696" s="2"/>
    </row>
    <row r="2697" spans="1:18" ht="19.5" hidden="1" thickBot="1" x14ac:dyDescent="0.3">
      <c r="A2697" s="996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80"/>
        <v>10,24</v>
      </c>
      <c r="L2697" s="98" t="s">
        <v>266</v>
      </c>
      <c r="M2697" s="98">
        <v>2564.25</v>
      </c>
      <c r="N2697" s="364">
        <v>0.5</v>
      </c>
      <c r="O2697" s="2"/>
      <c r="P2697" s="2"/>
      <c r="Q2697" s="2"/>
      <c r="R2697" s="2"/>
    </row>
    <row r="2698" spans="1:18" ht="19.5" hidden="1" thickBot="1" x14ac:dyDescent="0.3">
      <c r="A2698" s="996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80"/>
        <v>10,24</v>
      </c>
      <c r="L2698" s="65" t="s">
        <v>266</v>
      </c>
      <c r="M2698" s="65">
        <v>4209.66</v>
      </c>
      <c r="N2698" s="434">
        <v>0.5</v>
      </c>
      <c r="O2698" s="2"/>
      <c r="P2698" s="2"/>
      <c r="Q2698" s="2"/>
      <c r="R2698" s="2"/>
    </row>
    <row r="2699" spans="1:18" ht="19.5" hidden="1" thickBot="1" x14ac:dyDescent="0.3">
      <c r="A2699" s="991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80"/>
        <v>10,24</v>
      </c>
      <c r="L2699" s="48" t="s">
        <v>265</v>
      </c>
      <c r="M2699" s="48">
        <v>12132.78</v>
      </c>
      <c r="N2699" s="315">
        <v>0.375</v>
      </c>
      <c r="O2699" s="2"/>
      <c r="P2699" s="2"/>
      <c r="Q2699" s="2"/>
      <c r="R2699" s="2"/>
    </row>
    <row r="2700" spans="1:18" ht="19.5" hidden="1" thickBot="1" x14ac:dyDescent="0.3">
      <c r="A2700" s="991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80"/>
        <v>10,24</v>
      </c>
      <c r="L2700" s="71" t="s">
        <v>265</v>
      </c>
      <c r="M2700" s="71">
        <v>3986.5</v>
      </c>
      <c r="N2700" s="323">
        <v>0.375</v>
      </c>
      <c r="O2700" s="2"/>
      <c r="P2700" s="2"/>
      <c r="Q2700" s="2"/>
      <c r="R2700" s="2"/>
    </row>
    <row r="2701" spans="1:18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80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  <c r="Q2701" s="2"/>
      <c r="R2701" s="2"/>
    </row>
    <row r="2702" spans="1:18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80"/>
        <v>10,24</v>
      </c>
      <c r="L2702" s="75" t="s">
        <v>265</v>
      </c>
      <c r="M2702" s="75">
        <v>17217</v>
      </c>
      <c r="N2702" s="322">
        <v>0.375</v>
      </c>
      <c r="O2702" s="2"/>
      <c r="P2702" s="2"/>
      <c r="Q2702" s="2"/>
      <c r="R2702" s="2"/>
    </row>
    <row r="2703" spans="1:18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80"/>
        <v>10,24</v>
      </c>
      <c r="L2703" s="40" t="s">
        <v>265</v>
      </c>
      <c r="M2703" s="40">
        <v>13220.6</v>
      </c>
      <c r="N2703" s="317">
        <v>0.375</v>
      </c>
      <c r="O2703" s="2"/>
      <c r="P2703" s="2"/>
      <c r="Q2703" s="2"/>
      <c r="R2703" s="2"/>
    </row>
    <row r="2704" spans="1:18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80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  <c r="Q2704" s="2"/>
      <c r="R2704" s="2"/>
    </row>
    <row r="2705" spans="1:18" ht="19.5" hidden="1" thickBot="1" x14ac:dyDescent="0.3">
      <c r="A2705" s="1022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80"/>
        <v>10,24</v>
      </c>
      <c r="L2705" s="82" t="s">
        <v>265</v>
      </c>
      <c r="M2705" s="82">
        <v>13055.84</v>
      </c>
      <c r="N2705" s="319">
        <v>0.375</v>
      </c>
      <c r="O2705" s="2"/>
      <c r="P2705" s="2"/>
      <c r="Q2705" s="2"/>
      <c r="R2705" s="2"/>
    </row>
    <row r="2706" spans="1:18" ht="19.5" hidden="1" thickBot="1" x14ac:dyDescent="0.3">
      <c r="A2706" s="1022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80"/>
        <v>10,24</v>
      </c>
      <c r="L2706" s="107" t="s">
        <v>265</v>
      </c>
      <c r="M2706" s="107">
        <v>1036.8</v>
      </c>
      <c r="N2706" s="321">
        <v>0.375</v>
      </c>
      <c r="O2706" s="2"/>
      <c r="P2706" s="2"/>
      <c r="Q2706" s="2"/>
      <c r="R2706" s="2"/>
    </row>
    <row r="2707" spans="1:18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80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  <c r="Q2707" s="2"/>
      <c r="R2707" s="2"/>
    </row>
    <row r="2708" spans="1:18" ht="19.5" hidden="1" thickBot="1" x14ac:dyDescent="0.3">
      <c r="A2708" s="990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80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  <c r="Q2708" s="2"/>
      <c r="R2708" s="2"/>
    </row>
    <row r="2709" spans="1:18" ht="19.5" hidden="1" thickBot="1" x14ac:dyDescent="0.3">
      <c r="A2709" s="990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80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  <c r="Q2709" s="2"/>
      <c r="R2709" s="2"/>
    </row>
    <row r="2710" spans="1:18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80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  <c r="Q2710" s="2"/>
      <c r="R2710" s="2"/>
    </row>
    <row r="2711" spans="1:18" ht="19.5" hidden="1" thickBot="1" x14ac:dyDescent="0.3">
      <c r="A2711" s="990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80"/>
        <v>10,24</v>
      </c>
      <c r="L2711" s="82" t="s">
        <v>28</v>
      </c>
      <c r="M2711" s="82">
        <v>8709.52</v>
      </c>
      <c r="N2711" s="319">
        <v>0.5</v>
      </c>
      <c r="O2711" s="2"/>
      <c r="P2711" s="2"/>
      <c r="Q2711" s="2"/>
      <c r="R2711" s="2"/>
    </row>
    <row r="2712" spans="1:18" ht="19.5" hidden="1" thickBot="1" x14ac:dyDescent="0.3">
      <c r="A2712" s="990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80"/>
        <v>10,24</v>
      </c>
      <c r="L2712" s="90" t="s">
        <v>28</v>
      </c>
      <c r="M2712" s="90">
        <v>8950.5</v>
      </c>
      <c r="N2712" s="325">
        <v>0.5</v>
      </c>
      <c r="O2712" s="2"/>
      <c r="P2712" s="2"/>
      <c r="Q2712" s="2"/>
      <c r="R2712" s="2"/>
    </row>
    <row r="2713" spans="1:18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80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  <c r="Q2713" s="2"/>
      <c r="R2713" s="2"/>
    </row>
    <row r="2714" spans="1:18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80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  <c r="Q2714" s="2"/>
      <c r="R2714" s="2"/>
    </row>
    <row r="2715" spans="1:18" ht="19.5" hidden="1" thickBot="1" x14ac:dyDescent="0.3">
      <c r="A2715" s="991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80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  <c r="Q2715" s="2"/>
      <c r="R2715" s="2"/>
    </row>
    <row r="2716" spans="1:18" ht="19.5" hidden="1" thickBot="1" x14ac:dyDescent="0.3">
      <c r="A2716" s="991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80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  <c r="Q2716" s="2"/>
      <c r="R2716" s="2"/>
    </row>
    <row r="2717" spans="1:18" ht="19.5" hidden="1" thickBot="1" x14ac:dyDescent="0.3">
      <c r="A2717" s="990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80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  <c r="Q2717" s="2"/>
      <c r="R2717" s="2"/>
    </row>
    <row r="2718" spans="1:18" ht="19.5" hidden="1" thickBot="1" x14ac:dyDescent="0.3">
      <c r="A2718" s="990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80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  <c r="Q2718" s="2"/>
      <c r="R2718" s="2"/>
    </row>
    <row r="2719" spans="1:18" ht="19.5" hidden="1" thickBot="1" x14ac:dyDescent="0.3">
      <c r="A2719" s="990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80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  <c r="Q2719" s="2"/>
      <c r="R2719" s="2"/>
    </row>
    <row r="2720" spans="1:18" ht="19.5" hidden="1" thickBot="1" x14ac:dyDescent="0.3">
      <c r="A2720" s="990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80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  <c r="Q2720" s="2"/>
      <c r="R2720" s="2"/>
    </row>
    <row r="2721" spans="1:18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80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  <c r="Q2721" s="2"/>
      <c r="R2721" s="2"/>
    </row>
    <row r="2722" spans="1:18" ht="19.5" hidden="1" thickBot="1" x14ac:dyDescent="0.3">
      <c r="A2722" s="990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80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  <c r="Q2722" s="2"/>
      <c r="R2722" s="2"/>
    </row>
    <row r="2723" spans="1:18" ht="19.5" hidden="1" thickBot="1" x14ac:dyDescent="0.3">
      <c r="A2723" s="990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80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  <c r="Q2723" s="2"/>
      <c r="R2723" s="2"/>
    </row>
    <row r="2724" spans="1:18" ht="19.5" hidden="1" thickBot="1" x14ac:dyDescent="0.3">
      <c r="A2724" s="991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80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  <c r="Q2724" s="2"/>
      <c r="R2724" s="2"/>
    </row>
    <row r="2725" spans="1:18" ht="19.5" hidden="1" thickBot="1" x14ac:dyDescent="0.3">
      <c r="A2725" s="991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80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  <c r="Q2725" s="2"/>
      <c r="R2725" s="2"/>
    </row>
    <row r="2726" spans="1:18" ht="19.5" hidden="1" thickBot="1" x14ac:dyDescent="0.3">
      <c r="A2726" s="110">
        <f t="shared" ref="A2726:A2733" si="81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80"/>
        <v>10,24</v>
      </c>
      <c r="L2726" s="40" t="s">
        <v>28</v>
      </c>
      <c r="M2726" s="40">
        <v>15246.78</v>
      </c>
      <c r="N2726" s="317">
        <v>0.5</v>
      </c>
      <c r="O2726" s="2"/>
      <c r="P2726" s="2"/>
      <c r="Q2726" s="2"/>
      <c r="R2726" s="2"/>
    </row>
    <row r="2727" spans="1:18" ht="38.25" hidden="1" thickBot="1" x14ac:dyDescent="0.3">
      <c r="A2727" s="111">
        <f t="shared" si="81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80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  <c r="Q2727" s="2"/>
      <c r="R2727" s="2"/>
    </row>
    <row r="2728" spans="1:18" ht="38.25" hidden="1" thickBot="1" x14ac:dyDescent="0.3">
      <c r="A2728" s="110">
        <f t="shared" si="81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80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  <c r="Q2728" s="2"/>
      <c r="R2728" s="2"/>
    </row>
    <row r="2729" spans="1:18" ht="19.5" hidden="1" thickBot="1" x14ac:dyDescent="0.3">
      <c r="A2729" s="111">
        <f t="shared" si="81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80"/>
        <v>10,24</v>
      </c>
      <c r="L2729" s="75" t="s">
        <v>266</v>
      </c>
      <c r="M2729" s="75">
        <v>16187.23</v>
      </c>
      <c r="N2729" s="322">
        <v>0.5</v>
      </c>
      <c r="O2729" s="2"/>
      <c r="P2729" s="2"/>
      <c r="Q2729" s="2"/>
      <c r="R2729" s="2"/>
    </row>
    <row r="2730" spans="1:18" ht="19.5" hidden="1" thickBot="1" x14ac:dyDescent="0.3">
      <c r="A2730" s="149">
        <f t="shared" si="81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80"/>
        <v>10,24</v>
      </c>
      <c r="L2730" s="122" t="s">
        <v>265</v>
      </c>
      <c r="M2730" s="122">
        <v>5035.5</v>
      </c>
      <c r="N2730" s="365">
        <v>0.375</v>
      </c>
      <c r="O2730" s="2"/>
      <c r="P2730" s="2"/>
      <c r="Q2730" s="2"/>
      <c r="R2730" s="2"/>
    </row>
    <row r="2731" spans="1:18" ht="19.5" hidden="1" thickBot="1" x14ac:dyDescent="0.3">
      <c r="A2731" s="111">
        <f t="shared" si="81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80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  <c r="Q2731" s="2"/>
      <c r="R2731" s="2"/>
    </row>
    <row r="2732" spans="1:18" ht="19.5" hidden="1" thickBot="1" x14ac:dyDescent="0.3">
      <c r="A2732" s="110">
        <f t="shared" si="81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80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  <c r="Q2732" s="2"/>
      <c r="R2732" s="2"/>
    </row>
    <row r="2733" spans="1:18" ht="19.5" hidden="1" thickBot="1" x14ac:dyDescent="0.3">
      <c r="A2733" s="995">
        <f t="shared" si="81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80"/>
        <v>10,24</v>
      </c>
      <c r="L2733" s="48" t="s">
        <v>266</v>
      </c>
      <c r="M2733" s="48">
        <v>2661.6</v>
      </c>
      <c r="N2733" s="315">
        <v>0.5</v>
      </c>
      <c r="O2733" s="2"/>
      <c r="P2733" s="2"/>
      <c r="Q2733" s="2"/>
      <c r="R2733" s="2"/>
    </row>
    <row r="2734" spans="1:18" ht="19.5" hidden="1" thickBot="1" x14ac:dyDescent="0.3">
      <c r="A2734" s="995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80"/>
        <v>10,24</v>
      </c>
      <c r="L2734" s="23" t="s">
        <v>266</v>
      </c>
      <c r="M2734" s="23">
        <v>561.76</v>
      </c>
      <c r="N2734" s="329">
        <v>0.5</v>
      </c>
      <c r="O2734" s="2"/>
      <c r="P2734" s="2"/>
      <c r="Q2734" s="2"/>
      <c r="R2734" s="2"/>
    </row>
    <row r="2735" spans="1:18" ht="19.5" hidden="1" thickBot="1" x14ac:dyDescent="0.3">
      <c r="A2735" s="995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80"/>
        <v>10,24</v>
      </c>
      <c r="L2735" s="23" t="s">
        <v>266</v>
      </c>
      <c r="M2735" s="23">
        <v>3640.58</v>
      </c>
      <c r="N2735" s="329">
        <v>0.5</v>
      </c>
      <c r="O2735" s="2"/>
      <c r="P2735" s="2"/>
      <c r="Q2735" s="2"/>
      <c r="R2735" s="2"/>
    </row>
    <row r="2736" spans="1:18" ht="19.5" hidden="1" thickBot="1" x14ac:dyDescent="0.3">
      <c r="A2736" s="995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80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  <c r="Q2736" s="2"/>
      <c r="R2736" s="2"/>
    </row>
    <row r="2737" spans="1:18" ht="19.5" hidden="1" thickBot="1" x14ac:dyDescent="0.3">
      <c r="A2737" s="995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80"/>
        <v>10,24</v>
      </c>
      <c r="L2737" s="23" t="s">
        <v>266</v>
      </c>
      <c r="M2737" s="23">
        <v>2659.04</v>
      </c>
      <c r="N2737" s="329">
        <v>0.5</v>
      </c>
      <c r="O2737" s="2"/>
      <c r="P2737" s="2"/>
      <c r="Q2737" s="2"/>
      <c r="R2737" s="2"/>
    </row>
    <row r="2738" spans="1:18" ht="19.5" hidden="1" thickBot="1" x14ac:dyDescent="0.3">
      <c r="A2738" s="995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80"/>
        <v>10,24</v>
      </c>
      <c r="L2738" s="293" t="s">
        <v>266</v>
      </c>
      <c r="M2738" s="293">
        <v>2742.22</v>
      </c>
      <c r="N2738" s="389">
        <v>0.5</v>
      </c>
      <c r="O2738" s="2"/>
      <c r="P2738" s="2"/>
      <c r="Q2738" s="2"/>
      <c r="R2738" s="2"/>
    </row>
    <row r="2739" spans="1:18" ht="19.5" hidden="1" thickBot="1" x14ac:dyDescent="0.3">
      <c r="A2739" s="990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80"/>
        <v>10,24</v>
      </c>
      <c r="L2739" s="82" t="s">
        <v>265</v>
      </c>
      <c r="M2739" s="82">
        <v>11742.6</v>
      </c>
      <c r="N2739" s="319">
        <v>0.375</v>
      </c>
      <c r="O2739" s="2"/>
      <c r="P2739" s="2"/>
      <c r="Q2739" s="2"/>
      <c r="R2739" s="2"/>
    </row>
    <row r="2740" spans="1:18" ht="19.5" hidden="1" thickBot="1" x14ac:dyDescent="0.3">
      <c r="A2740" s="990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80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  <c r="Q2740" s="2"/>
      <c r="R2740" s="2"/>
    </row>
    <row r="2741" spans="1:18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80"/>
        <v>10,24</v>
      </c>
      <c r="L2741" s="75" t="s">
        <v>265</v>
      </c>
      <c r="M2741" s="75">
        <v>17493.7</v>
      </c>
      <c r="N2741" s="322">
        <v>0.375</v>
      </c>
      <c r="O2741" s="2"/>
      <c r="P2741" s="2"/>
      <c r="Q2741" s="2"/>
      <c r="R2741" s="2"/>
    </row>
    <row r="2742" spans="1:18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80"/>
        <v>10,24</v>
      </c>
      <c r="L2742" s="40" t="s">
        <v>265</v>
      </c>
      <c r="M2742" s="40">
        <v>13164.08</v>
      </c>
      <c r="N2742" s="317">
        <v>0.375</v>
      </c>
      <c r="O2742" s="2"/>
      <c r="P2742" s="2"/>
      <c r="Q2742" s="2"/>
      <c r="R2742" s="2"/>
    </row>
    <row r="2743" spans="1:18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80"/>
        <v>10,24</v>
      </c>
      <c r="L2743" s="158" t="s">
        <v>266</v>
      </c>
      <c r="M2743" s="158">
        <v>4730.16</v>
      </c>
      <c r="N2743" s="433">
        <v>0.5</v>
      </c>
      <c r="O2743" s="2"/>
      <c r="P2743" s="2"/>
      <c r="Q2743" s="2"/>
      <c r="R2743" s="2"/>
    </row>
    <row r="2744" spans="1:18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80"/>
        <v>10,24</v>
      </c>
      <c r="L2744" s="40" t="s">
        <v>265</v>
      </c>
      <c r="M2744" s="40">
        <v>13276.52</v>
      </c>
      <c r="N2744" s="317">
        <v>0.375</v>
      </c>
      <c r="O2744" s="2"/>
      <c r="P2744" s="2"/>
      <c r="Q2744" s="2"/>
      <c r="R2744" s="2"/>
    </row>
    <row r="2745" spans="1:18" ht="19.5" hidden="1" thickBot="1" x14ac:dyDescent="0.3">
      <c r="A2745" s="991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80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  <c r="Q2745" s="2"/>
      <c r="R2745" s="2"/>
    </row>
    <row r="2746" spans="1:18" ht="19.5" hidden="1" thickBot="1" x14ac:dyDescent="0.3">
      <c r="A2746" s="991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80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  <c r="Q2746" s="2"/>
      <c r="R2746" s="2"/>
    </row>
    <row r="2747" spans="1:18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2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  <c r="Q2747" s="2"/>
      <c r="R2747" s="2"/>
    </row>
    <row r="2748" spans="1:18" ht="19.5" hidden="1" thickBot="1" x14ac:dyDescent="0.3">
      <c r="A2748" s="991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2"/>
        <v>10,24</v>
      </c>
      <c r="L2748" s="48" t="s">
        <v>28</v>
      </c>
      <c r="M2748" s="48">
        <v>4282.68</v>
      </c>
      <c r="N2748" s="315">
        <v>0.5</v>
      </c>
      <c r="O2748" s="2"/>
      <c r="P2748" s="2"/>
      <c r="Q2748" s="2"/>
      <c r="R2748" s="2"/>
    </row>
    <row r="2749" spans="1:18" ht="19.5" hidden="1" thickBot="1" x14ac:dyDescent="0.3">
      <c r="A2749" s="991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2"/>
        <v>10,24</v>
      </c>
      <c r="L2749" s="71" t="s">
        <v>28</v>
      </c>
      <c r="M2749" s="71">
        <v>13108.15</v>
      </c>
      <c r="N2749" s="323">
        <v>0.5</v>
      </c>
      <c r="O2749" s="2"/>
      <c r="P2749" s="2"/>
      <c r="Q2749" s="2"/>
      <c r="R2749" s="2"/>
    </row>
    <row r="2750" spans="1:18" ht="19.5" hidden="1" thickBot="1" x14ac:dyDescent="0.3">
      <c r="A2750" s="996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2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  <c r="Q2750" s="2"/>
      <c r="R2750" s="2"/>
    </row>
    <row r="2751" spans="1:18" ht="19.5" hidden="1" thickBot="1" x14ac:dyDescent="0.3">
      <c r="A2751" s="996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2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  <c r="Q2751" s="2"/>
      <c r="R2751" s="2"/>
    </row>
    <row r="2752" spans="1:18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2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  <c r="Q2752" s="2"/>
      <c r="R2752" s="2"/>
    </row>
    <row r="2753" spans="1:18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2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  <c r="Q2753" s="2"/>
      <c r="R2753" s="2"/>
    </row>
    <row r="2754" spans="1:18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2"/>
        <v>10,24</v>
      </c>
      <c r="L2754" s="75" t="s">
        <v>265</v>
      </c>
      <c r="M2754" s="75">
        <v>17176.18</v>
      </c>
      <c r="N2754" s="322">
        <v>0.375</v>
      </c>
      <c r="O2754" s="2"/>
      <c r="P2754" s="2"/>
      <c r="Q2754" s="2"/>
      <c r="R2754" s="2"/>
    </row>
    <row r="2755" spans="1:18" ht="19.5" hidden="1" thickBot="1" x14ac:dyDescent="0.3">
      <c r="A2755" s="990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2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  <c r="Q2755" s="2"/>
      <c r="R2755" s="2"/>
    </row>
    <row r="2756" spans="1:18" ht="19.5" hidden="1" thickBot="1" x14ac:dyDescent="0.3">
      <c r="A2756" s="990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2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  <c r="Q2756" s="2"/>
      <c r="R2756" s="2"/>
    </row>
    <row r="2757" spans="1:18" ht="19.5" hidden="1" thickBot="1" x14ac:dyDescent="0.3">
      <c r="A2757" s="990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2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  <c r="Q2757" s="2"/>
      <c r="R2757" s="2"/>
    </row>
    <row r="2758" spans="1:18" ht="19.5" hidden="1" thickBot="1" x14ac:dyDescent="0.3">
      <c r="A2758" s="991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2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  <c r="Q2758" s="2"/>
      <c r="R2758" s="2"/>
    </row>
    <row r="2759" spans="1:18" ht="19.5" hidden="1" thickBot="1" x14ac:dyDescent="0.3">
      <c r="A2759" s="991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2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  <c r="Q2759" s="2"/>
      <c r="R2759" s="2"/>
    </row>
    <row r="2760" spans="1:18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2"/>
        <v>10,24</v>
      </c>
      <c r="L2760" s="40" t="s">
        <v>266</v>
      </c>
      <c r="M2760" s="40">
        <v>17773.5</v>
      </c>
      <c r="N2760" s="317">
        <v>0.5</v>
      </c>
      <c r="O2760" s="2"/>
      <c r="P2760" s="2"/>
      <c r="Q2760" s="2"/>
      <c r="R2760" s="2"/>
    </row>
    <row r="2761" spans="1:18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2"/>
        <v>10,24</v>
      </c>
      <c r="L2761" s="75" t="s">
        <v>265</v>
      </c>
      <c r="M2761" s="75">
        <v>17308.62</v>
      </c>
      <c r="N2761" s="322">
        <v>0.375</v>
      </c>
      <c r="O2761" s="2"/>
      <c r="P2761" s="2"/>
      <c r="Q2761" s="2"/>
      <c r="R2761" s="2"/>
    </row>
    <row r="2762" spans="1:18" ht="57" hidden="1" thickBot="1" x14ac:dyDescent="0.3">
      <c r="A2762" s="990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2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  <c r="Q2762" s="2"/>
      <c r="R2762" s="2"/>
    </row>
    <row r="2763" spans="1:18" ht="57" hidden="1" thickBot="1" x14ac:dyDescent="0.3">
      <c r="A2763" s="990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2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  <c r="Q2763" s="2"/>
      <c r="R2763" s="2"/>
    </row>
    <row r="2764" spans="1:18" ht="57" hidden="1" thickBot="1" x14ac:dyDescent="0.3">
      <c r="A2764" s="990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2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  <c r="Q2764" s="2"/>
      <c r="R2764" s="2"/>
    </row>
    <row r="2765" spans="1:18" ht="57" hidden="1" thickBot="1" x14ac:dyDescent="0.3">
      <c r="A2765" s="990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2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  <c r="Q2765" s="2"/>
      <c r="R2765" s="2"/>
    </row>
    <row r="2766" spans="1:18" ht="19.5" hidden="1" thickBot="1" x14ac:dyDescent="0.3">
      <c r="A2766" s="991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2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  <c r="Q2766" s="2"/>
      <c r="R2766" s="2"/>
    </row>
    <row r="2767" spans="1:18" ht="19.5" hidden="1" thickBot="1" x14ac:dyDescent="0.3">
      <c r="A2767" s="991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2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  <c r="Q2767" s="2"/>
      <c r="R2767" s="2"/>
    </row>
    <row r="2768" spans="1:18" ht="19.5" hidden="1" thickBot="1" x14ac:dyDescent="0.3">
      <c r="A2768" s="991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2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  <c r="Q2768" s="2"/>
      <c r="R2768" s="2"/>
    </row>
    <row r="2769" spans="1:18" ht="19.5" hidden="1" thickBot="1" x14ac:dyDescent="0.3">
      <c r="A2769" s="991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2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  <c r="Q2769" s="2"/>
      <c r="R2769" s="2"/>
    </row>
    <row r="2770" spans="1:18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2"/>
        <v>10,24</v>
      </c>
      <c r="L2770" s="122" t="s">
        <v>265</v>
      </c>
      <c r="M2770" s="122">
        <v>3030</v>
      </c>
      <c r="N2770" s="365">
        <v>0.375</v>
      </c>
      <c r="O2770" s="2"/>
      <c r="P2770" s="2"/>
      <c r="Q2770" s="2"/>
      <c r="R2770" s="2"/>
    </row>
    <row r="2771" spans="1:18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2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  <c r="Q2771" s="2"/>
      <c r="R2771" s="2"/>
    </row>
    <row r="2772" spans="1:18" ht="18.75" hidden="1" customHeight="1" thickBot="1" x14ac:dyDescent="0.3">
      <c r="A2772" s="990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992" t="s">
        <v>467</v>
      </c>
      <c r="H2772" s="82" t="s">
        <v>645</v>
      </c>
      <c r="I2772" s="147" t="s">
        <v>646</v>
      </c>
      <c r="J2772" s="86"/>
      <c r="K2772" s="82" t="str">
        <f t="shared" si="82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  <c r="Q2772" s="2"/>
      <c r="R2772" s="2"/>
    </row>
    <row r="2773" spans="1:18" ht="19.5" hidden="1" thickBot="1" x14ac:dyDescent="0.3">
      <c r="A2773" s="990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992"/>
      <c r="H2773" s="98" t="s">
        <v>645</v>
      </c>
      <c r="I2773" s="181" t="s">
        <v>646</v>
      </c>
      <c r="J2773" s="140"/>
      <c r="K2773" s="98" t="str">
        <f t="shared" si="82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  <c r="Q2773" s="2"/>
      <c r="R2773" s="2"/>
    </row>
    <row r="2774" spans="1:18" ht="19.5" hidden="1" thickBot="1" x14ac:dyDescent="0.3">
      <c r="A2774" s="990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992"/>
      <c r="H2774" s="90" t="s">
        <v>645</v>
      </c>
      <c r="I2774" s="172" t="s">
        <v>646</v>
      </c>
      <c r="J2774" s="173"/>
      <c r="K2774" s="90" t="str">
        <f t="shared" si="82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  <c r="Q2774" s="2"/>
      <c r="R2774" s="2"/>
    </row>
    <row r="2775" spans="1:18" ht="19.5" hidden="1" thickBot="1" x14ac:dyDescent="0.3">
      <c r="A2775" s="995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2"/>
        <v>10,24</v>
      </c>
      <c r="L2775" s="48" t="s">
        <v>266</v>
      </c>
      <c r="M2775" s="48">
        <v>4783.5</v>
      </c>
      <c r="N2775" s="315">
        <v>0.5</v>
      </c>
      <c r="O2775" s="2"/>
      <c r="P2775" s="2"/>
      <c r="Q2775" s="2"/>
      <c r="R2775" s="2"/>
    </row>
    <row r="2776" spans="1:18" ht="19.5" hidden="1" thickBot="1" x14ac:dyDescent="0.3">
      <c r="A2776" s="995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2"/>
        <v>10,24</v>
      </c>
      <c r="L2776" s="23" t="s">
        <v>266</v>
      </c>
      <c r="M2776" s="23">
        <v>4628.66</v>
      </c>
      <c r="N2776" s="329">
        <v>0.5</v>
      </c>
      <c r="O2776" s="2"/>
      <c r="P2776" s="2"/>
      <c r="Q2776" s="2"/>
      <c r="R2776" s="2"/>
    </row>
    <row r="2777" spans="1:18" ht="19.5" hidden="1" thickBot="1" x14ac:dyDescent="0.3">
      <c r="A2777" s="995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2"/>
        <v>10,24</v>
      </c>
      <c r="L2777" s="23" t="s">
        <v>266</v>
      </c>
      <c r="M2777" s="23">
        <v>7252.8</v>
      </c>
      <c r="N2777" s="329">
        <v>0.5</v>
      </c>
      <c r="O2777" s="2"/>
      <c r="P2777" s="2"/>
      <c r="Q2777" s="2"/>
      <c r="R2777" s="2"/>
    </row>
    <row r="2778" spans="1:18" ht="19.5" hidden="1" thickBot="1" x14ac:dyDescent="0.3">
      <c r="A2778" s="995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2"/>
        <v>10,24</v>
      </c>
      <c r="L2778" s="293" t="s">
        <v>266</v>
      </c>
      <c r="M2778" s="293">
        <v>1409.5</v>
      </c>
      <c r="N2778" s="389">
        <v>0.5</v>
      </c>
      <c r="O2778" s="2"/>
      <c r="P2778" s="2"/>
      <c r="Q2778" s="2"/>
      <c r="R2778" s="2"/>
    </row>
    <row r="2779" spans="1:18" ht="19.5" hidden="1" thickBot="1" x14ac:dyDescent="0.3">
      <c r="A2779" s="990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2"/>
        <v>10,24</v>
      </c>
      <c r="L2779" s="82" t="s">
        <v>265</v>
      </c>
      <c r="M2779" s="82">
        <v>12825.74</v>
      </c>
      <c r="N2779" s="319">
        <v>0.375</v>
      </c>
      <c r="O2779" s="2"/>
      <c r="P2779" s="2"/>
      <c r="Q2779" s="2"/>
      <c r="R2779" s="2"/>
    </row>
    <row r="2780" spans="1:18" ht="19.5" hidden="1" thickBot="1" x14ac:dyDescent="0.3">
      <c r="A2780" s="990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2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  <c r="Q2780" s="2"/>
      <c r="R2780" s="2"/>
    </row>
    <row r="2781" spans="1:18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2"/>
        <v>10,24</v>
      </c>
      <c r="L2781" s="75" t="s">
        <v>265</v>
      </c>
      <c r="M2781" s="75">
        <v>17150.68</v>
      </c>
      <c r="N2781" s="322">
        <v>0.375</v>
      </c>
      <c r="O2781" s="2"/>
      <c r="P2781" s="2"/>
      <c r="Q2781" s="2"/>
      <c r="R2781" s="2"/>
    </row>
    <row r="2782" spans="1:18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2"/>
        <v>10,24</v>
      </c>
      <c r="L2782" s="40" t="s">
        <v>265</v>
      </c>
      <c r="M2782" s="40">
        <v>13020.32</v>
      </c>
      <c r="N2782" s="317">
        <v>0.75</v>
      </c>
      <c r="O2782" s="2"/>
      <c r="P2782" s="2"/>
      <c r="Q2782" s="2"/>
      <c r="R2782" s="2"/>
    </row>
    <row r="2783" spans="1:18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2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  <c r="Q2783" s="2"/>
      <c r="R2783" s="2"/>
    </row>
    <row r="2784" spans="1:18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2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  <c r="Q2784" s="2"/>
      <c r="R2784" s="2"/>
    </row>
    <row r="2785" spans="1:18" ht="19.5" hidden="1" thickBot="1" x14ac:dyDescent="0.3">
      <c r="A2785" s="991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2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  <c r="Q2785" s="2"/>
      <c r="R2785" s="2"/>
    </row>
    <row r="2786" spans="1:18" ht="19.5" hidden="1" thickBot="1" x14ac:dyDescent="0.3">
      <c r="A2786" s="991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2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  <c r="Q2786" s="2"/>
      <c r="R2786" s="2"/>
    </row>
    <row r="2787" spans="1:18" ht="19.5" hidden="1" thickBot="1" x14ac:dyDescent="0.3">
      <c r="A2787" s="990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2"/>
        <v>10,24</v>
      </c>
      <c r="L2787" s="82" t="s">
        <v>28</v>
      </c>
      <c r="M2787" s="82">
        <v>3451.85</v>
      </c>
      <c r="N2787" s="319">
        <v>0.5</v>
      </c>
      <c r="O2787" s="2"/>
      <c r="P2787" s="2"/>
      <c r="Q2787" s="2"/>
      <c r="R2787" s="2"/>
    </row>
    <row r="2788" spans="1:18" ht="19.5" hidden="1" thickBot="1" x14ac:dyDescent="0.3">
      <c r="A2788" s="990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2"/>
        <v>10,24</v>
      </c>
      <c r="L2788" s="90" t="s">
        <v>28</v>
      </c>
      <c r="M2788" s="90">
        <v>13707.12</v>
      </c>
      <c r="N2788" s="325">
        <v>0.5</v>
      </c>
      <c r="O2788" s="2"/>
      <c r="P2788" s="2"/>
      <c r="Q2788" s="2"/>
      <c r="R2788" s="2"/>
    </row>
    <row r="2789" spans="1:18" ht="19.5" hidden="1" thickBot="1" x14ac:dyDescent="0.3">
      <c r="A2789" s="991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2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  <c r="Q2789" s="2"/>
      <c r="R2789" s="2"/>
    </row>
    <row r="2790" spans="1:18" ht="19.5" hidden="1" thickBot="1" x14ac:dyDescent="0.3">
      <c r="A2790" s="991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2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  <c r="Q2790" s="2"/>
      <c r="R2790" s="2"/>
    </row>
    <row r="2791" spans="1:18" ht="19.5" hidden="1" thickBot="1" x14ac:dyDescent="0.3">
      <c r="A2791" s="991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2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  <c r="Q2791" s="2"/>
      <c r="R2791" s="2"/>
    </row>
    <row r="2792" spans="1:18" ht="19.5" hidden="1" thickBot="1" x14ac:dyDescent="0.3">
      <c r="A2792" s="149">
        <f t="shared" ref="A2792:A2797" si="83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2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  <c r="Q2792" s="2"/>
      <c r="R2792" s="2"/>
    </row>
    <row r="2793" spans="1:18" ht="38.25" hidden="1" thickBot="1" x14ac:dyDescent="0.3">
      <c r="A2793" s="111">
        <f t="shared" si="83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2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  <c r="Q2793" s="2"/>
      <c r="R2793" s="2"/>
    </row>
    <row r="2794" spans="1:18" ht="19.5" hidden="1" thickBot="1" x14ac:dyDescent="0.3">
      <c r="A2794" s="110">
        <f t="shared" si="83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2"/>
        <v>10,24</v>
      </c>
      <c r="L2794" s="40" t="s">
        <v>265</v>
      </c>
      <c r="M2794" s="40">
        <v>17746.18</v>
      </c>
      <c r="N2794" s="317">
        <v>0.375</v>
      </c>
      <c r="O2794" s="2"/>
      <c r="P2794" s="2"/>
      <c r="Q2794" s="2"/>
      <c r="R2794" s="2"/>
    </row>
    <row r="2795" spans="1:18" ht="38.25" hidden="1" thickBot="1" x14ac:dyDescent="0.3">
      <c r="A2795" s="111">
        <f t="shared" si="83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2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  <c r="Q2795" s="2"/>
      <c r="R2795" s="2"/>
    </row>
    <row r="2796" spans="1:18" ht="19.5" hidden="1" thickBot="1" x14ac:dyDescent="0.3">
      <c r="A2796" s="110">
        <f t="shared" si="83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2"/>
        <v>10,24</v>
      </c>
      <c r="L2796" s="40" t="s">
        <v>266</v>
      </c>
      <c r="M2796" s="40">
        <v>15243.32</v>
      </c>
      <c r="N2796" s="317">
        <v>0.5</v>
      </c>
      <c r="O2796" s="2"/>
      <c r="P2796" s="2"/>
      <c r="Q2796" s="2"/>
      <c r="R2796" s="2"/>
    </row>
    <row r="2797" spans="1:18" ht="19.5" hidden="1" thickBot="1" x14ac:dyDescent="0.3">
      <c r="A2797" s="991">
        <f t="shared" si="83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2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  <c r="Q2797" s="2"/>
      <c r="R2797" s="2"/>
    </row>
    <row r="2798" spans="1:18" ht="19.5" hidden="1" thickBot="1" x14ac:dyDescent="0.3">
      <c r="A2798" s="991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2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  <c r="Q2798" s="2"/>
      <c r="R2798" s="2"/>
    </row>
    <row r="2799" spans="1:18" ht="19.5" hidden="1" thickBot="1" x14ac:dyDescent="0.3">
      <c r="A2799" s="990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2"/>
        <v>10,24</v>
      </c>
      <c r="L2799" s="82" t="s">
        <v>28</v>
      </c>
      <c r="M2799" s="82">
        <v>1634.97</v>
      </c>
      <c r="N2799" s="319">
        <v>0.5</v>
      </c>
      <c r="O2799" s="2"/>
      <c r="P2799" s="2"/>
      <c r="Q2799" s="2"/>
      <c r="R2799" s="2"/>
    </row>
    <row r="2800" spans="1:18" ht="19.5" hidden="1" thickBot="1" x14ac:dyDescent="0.3">
      <c r="A2800" s="990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2"/>
        <v>10,24</v>
      </c>
      <c r="L2800" s="98" t="s">
        <v>28</v>
      </c>
      <c r="M2800" s="98">
        <v>12991.46</v>
      </c>
      <c r="N2800" s="364">
        <v>0.5</v>
      </c>
      <c r="O2800" s="2"/>
      <c r="P2800" s="2"/>
      <c r="Q2800" s="2"/>
      <c r="R2800" s="2"/>
    </row>
    <row r="2801" spans="1:18" ht="19.5" hidden="1" thickBot="1" x14ac:dyDescent="0.3">
      <c r="A2801" s="990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2"/>
        <v>10,24</v>
      </c>
      <c r="L2801" s="90" t="s">
        <v>28</v>
      </c>
      <c r="M2801" s="90">
        <v>3000.36</v>
      </c>
      <c r="N2801" s="325">
        <v>0.5</v>
      </c>
      <c r="O2801" s="2"/>
      <c r="P2801" s="2"/>
      <c r="Q2801" s="2"/>
      <c r="R2801" s="2"/>
    </row>
    <row r="2802" spans="1:18" ht="19.5" hidden="1" thickBot="1" x14ac:dyDescent="0.3">
      <c r="A2802" s="991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2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  <c r="Q2802" s="2"/>
      <c r="R2802" s="2"/>
    </row>
    <row r="2803" spans="1:18" ht="19.5" hidden="1" thickBot="1" x14ac:dyDescent="0.3">
      <c r="A2803" s="991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2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  <c r="Q2803" s="2"/>
      <c r="R2803" s="2"/>
    </row>
    <row r="2804" spans="1:18" ht="19.5" hidden="1" thickBot="1" x14ac:dyDescent="0.3">
      <c r="A2804" s="990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2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  <c r="Q2804" s="2"/>
      <c r="R2804" s="2"/>
    </row>
    <row r="2805" spans="1:18" ht="19.5" hidden="1" thickBot="1" x14ac:dyDescent="0.3">
      <c r="A2805" s="990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2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  <c r="Q2805" s="2"/>
      <c r="R2805" s="2"/>
    </row>
    <row r="2806" spans="1:18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2"/>
        <v>10,24</v>
      </c>
      <c r="L2806" s="75" t="s">
        <v>265</v>
      </c>
      <c r="M2806" s="75">
        <v>8071.8</v>
      </c>
      <c r="N2806" s="322">
        <v>0.375</v>
      </c>
      <c r="O2806" s="2"/>
      <c r="P2806" s="2"/>
      <c r="Q2806" s="2"/>
      <c r="R2806" s="2"/>
    </row>
    <row r="2807" spans="1:18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2"/>
        <v>10,24</v>
      </c>
      <c r="L2807" s="122" t="s">
        <v>266</v>
      </c>
      <c r="M2807" s="122">
        <v>15695.27</v>
      </c>
      <c r="N2807" s="365">
        <v>0.5</v>
      </c>
      <c r="O2807" s="2"/>
      <c r="P2807" s="2"/>
      <c r="Q2807" s="2"/>
      <c r="R2807" s="2"/>
    </row>
    <row r="2808" spans="1:18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2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  <c r="Q2808" s="2"/>
      <c r="R2808" s="2"/>
    </row>
    <row r="2809" spans="1:18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2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  <c r="Q2809" s="2"/>
      <c r="R2809" s="2"/>
    </row>
    <row r="2810" spans="1:18" ht="19.5" hidden="1" thickBot="1" x14ac:dyDescent="0.3">
      <c r="A2810" s="995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2"/>
        <v>11,24</v>
      </c>
      <c r="L2810" s="48" t="s">
        <v>266</v>
      </c>
      <c r="M2810" s="48">
        <v>5066.22</v>
      </c>
      <c r="N2810" s="315">
        <v>0.5</v>
      </c>
      <c r="O2810" s="2"/>
      <c r="P2810" s="2"/>
      <c r="Q2810" s="2"/>
      <c r="R2810" s="2"/>
    </row>
    <row r="2811" spans="1:18" ht="19.5" hidden="1" thickBot="1" x14ac:dyDescent="0.3">
      <c r="A2811" s="995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4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  <c r="Q2811" s="2"/>
      <c r="R2811" s="2"/>
    </row>
    <row r="2812" spans="1:18" ht="19.5" hidden="1" thickBot="1" x14ac:dyDescent="0.3">
      <c r="A2812" s="995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4"/>
        <v>11,24</v>
      </c>
      <c r="L2812" s="23" t="s">
        <v>266</v>
      </c>
      <c r="M2812" s="23">
        <v>3904.8</v>
      </c>
      <c r="N2812" s="329">
        <v>0.5</v>
      </c>
      <c r="O2812" s="2"/>
      <c r="P2812" s="2"/>
      <c r="Q2812" s="2"/>
      <c r="R2812" s="2"/>
    </row>
    <row r="2813" spans="1:18" ht="19.5" hidden="1" thickBot="1" x14ac:dyDescent="0.3">
      <c r="A2813" s="995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4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  <c r="Q2813" s="2"/>
      <c r="R2813" s="2"/>
    </row>
    <row r="2814" spans="1:18" ht="19.5" hidden="1" thickBot="1" x14ac:dyDescent="0.3">
      <c r="A2814" s="995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4"/>
        <v>11,24</v>
      </c>
      <c r="L2814" s="293" t="s">
        <v>266</v>
      </c>
      <c r="M2814" s="293">
        <v>3587</v>
      </c>
      <c r="N2814" s="389">
        <v>0.5</v>
      </c>
      <c r="O2814" s="2"/>
      <c r="P2814" s="2"/>
      <c r="Q2814" s="2"/>
      <c r="R2814" s="2"/>
    </row>
    <row r="2815" spans="1:18" ht="19.5" hidden="1" thickBot="1" x14ac:dyDescent="0.3">
      <c r="A2815" s="990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4"/>
        <v>11,24</v>
      </c>
      <c r="L2815" s="82" t="s">
        <v>265</v>
      </c>
      <c r="M2815" s="82">
        <v>10421.86</v>
      </c>
      <c r="N2815" s="319">
        <v>0.375</v>
      </c>
      <c r="O2815" s="2"/>
      <c r="P2815" s="2"/>
      <c r="Q2815" s="2"/>
      <c r="R2815" s="2"/>
    </row>
    <row r="2816" spans="1:18" ht="19.5" hidden="1" thickBot="1" x14ac:dyDescent="0.3">
      <c r="A2816" s="990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4"/>
        <v>11,24</v>
      </c>
      <c r="L2816" s="90" t="s">
        <v>265</v>
      </c>
      <c r="M2816" s="90">
        <v>5830.4</v>
      </c>
      <c r="N2816" s="325">
        <v>0.375</v>
      </c>
      <c r="O2816" s="2"/>
      <c r="P2816" s="2"/>
      <c r="Q2816" s="2"/>
      <c r="R2816" s="2"/>
    </row>
    <row r="2817" spans="1:18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4"/>
        <v>11,24</v>
      </c>
      <c r="L2817" s="75" t="s">
        <v>265</v>
      </c>
      <c r="M2817" s="75">
        <v>17281.34</v>
      </c>
      <c r="N2817" s="322">
        <v>0.375</v>
      </c>
      <c r="O2817" s="2"/>
      <c r="P2817" s="2"/>
      <c r="Q2817" s="2"/>
      <c r="R2817" s="2"/>
    </row>
    <row r="2818" spans="1:18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4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  <c r="Q2818" s="2"/>
      <c r="R2818" s="2"/>
    </row>
    <row r="2819" spans="1:18" ht="19.5" hidden="1" thickBot="1" x14ac:dyDescent="0.3">
      <c r="A2819" s="991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4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  <c r="Q2819" s="2"/>
      <c r="R2819" s="2"/>
    </row>
    <row r="2820" spans="1:18" ht="19.5" hidden="1" thickBot="1" x14ac:dyDescent="0.3">
      <c r="A2820" s="991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4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  <c r="Q2820" s="2"/>
      <c r="R2820" s="2"/>
    </row>
    <row r="2821" spans="1:18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4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  <c r="Q2821" s="2"/>
      <c r="R2821" s="2"/>
    </row>
    <row r="2822" spans="1:18" ht="19.5" hidden="1" thickBot="1" x14ac:dyDescent="0.3">
      <c r="A2822" s="991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4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  <c r="Q2822" s="2"/>
      <c r="R2822" s="2"/>
    </row>
    <row r="2823" spans="1:18" ht="19.5" hidden="1" thickBot="1" x14ac:dyDescent="0.3">
      <c r="A2823" s="991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4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  <c r="Q2823" s="2"/>
      <c r="R2823" s="2"/>
    </row>
    <row r="2824" spans="1:18" ht="19.5" hidden="1" thickBot="1" x14ac:dyDescent="0.3">
      <c r="A2824" s="990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4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  <c r="Q2824" s="2"/>
      <c r="R2824" s="2"/>
    </row>
    <row r="2825" spans="1:18" ht="19.5" hidden="1" thickBot="1" x14ac:dyDescent="0.3">
      <c r="A2825" s="990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4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  <c r="Q2825" s="2"/>
      <c r="R2825" s="2"/>
    </row>
    <row r="2826" spans="1:18" ht="19.5" hidden="1" thickBot="1" x14ac:dyDescent="0.3">
      <c r="A2826" s="995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4"/>
        <v>11,24</v>
      </c>
      <c r="L2826" s="48" t="s">
        <v>28</v>
      </c>
      <c r="M2826" s="48">
        <v>7041.32</v>
      </c>
      <c r="N2826" s="315">
        <v>0.5</v>
      </c>
      <c r="O2826" s="2"/>
      <c r="P2826" s="2"/>
      <c r="Q2826" s="2"/>
      <c r="R2826" s="2"/>
    </row>
    <row r="2827" spans="1:18" ht="19.5" hidden="1" thickBot="1" x14ac:dyDescent="0.3">
      <c r="A2827" s="995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4"/>
        <v>11,24</v>
      </c>
      <c r="L2827" s="293" t="s">
        <v>28</v>
      </c>
      <c r="M2827" s="293">
        <v>9997.68</v>
      </c>
      <c r="N2827" s="389">
        <v>0.5</v>
      </c>
      <c r="O2827" s="2"/>
      <c r="P2827" s="2"/>
      <c r="Q2827" s="2"/>
      <c r="R2827" s="2"/>
    </row>
    <row r="2828" spans="1:18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4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  <c r="Q2828" s="2"/>
      <c r="R2828" s="2"/>
    </row>
    <row r="2829" spans="1:18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4"/>
        <v>11,24</v>
      </c>
      <c r="L2829" s="75" t="s">
        <v>265</v>
      </c>
      <c r="M2829" s="75">
        <v>17689.62</v>
      </c>
      <c r="N2829" s="322">
        <v>0.375</v>
      </c>
      <c r="O2829" s="2"/>
      <c r="P2829" s="2"/>
      <c r="Q2829" s="2"/>
      <c r="R2829" s="2"/>
    </row>
    <row r="2830" spans="1:18" ht="19.5" hidden="1" thickBot="1" x14ac:dyDescent="0.3">
      <c r="A2830" s="990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4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  <c r="Q2830" s="2"/>
      <c r="R2830" s="2"/>
    </row>
    <row r="2831" spans="1:18" ht="19.5" hidden="1" thickBot="1" x14ac:dyDescent="0.3">
      <c r="A2831" s="990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4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  <c r="Q2831" s="2"/>
      <c r="R2831" s="2"/>
    </row>
    <row r="2832" spans="1:18" ht="19.5" hidden="1" thickBot="1" x14ac:dyDescent="0.3">
      <c r="A2832" s="990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4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  <c r="Q2832" s="2"/>
      <c r="R2832" s="2"/>
    </row>
    <row r="2833" spans="1:18" ht="19.5" hidden="1" thickBot="1" x14ac:dyDescent="0.3">
      <c r="A2833" s="990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4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  <c r="Q2833" s="2"/>
      <c r="R2833" s="2"/>
    </row>
    <row r="2834" spans="1:18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4"/>
        <v>11,24</v>
      </c>
      <c r="L2834" s="75" t="s">
        <v>28</v>
      </c>
      <c r="M2834" s="75">
        <v>12926.6</v>
      </c>
      <c r="N2834" s="322">
        <v>0.375</v>
      </c>
      <c r="O2834" s="2"/>
      <c r="P2834" s="2"/>
      <c r="Q2834" s="2"/>
      <c r="R2834" s="2"/>
    </row>
    <row r="2835" spans="1:18" ht="19.5" hidden="1" thickBot="1" x14ac:dyDescent="0.3">
      <c r="A2835" s="996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4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  <c r="Q2835" s="2"/>
      <c r="R2835" s="2"/>
    </row>
    <row r="2836" spans="1:18" ht="19.5" hidden="1" thickBot="1" x14ac:dyDescent="0.3">
      <c r="A2836" s="996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4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  <c r="Q2836" s="2"/>
      <c r="R2836" s="2"/>
    </row>
    <row r="2837" spans="1:18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4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  <c r="Q2837" s="2"/>
      <c r="R2837" s="2"/>
    </row>
    <row r="2838" spans="1:18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4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  <c r="Q2838" s="2"/>
      <c r="R2838" s="2"/>
    </row>
    <row r="2839" spans="1:18" ht="19.5" hidden="1" thickBot="1" x14ac:dyDescent="0.3">
      <c r="A2839" s="991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4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  <c r="Q2839" s="2"/>
      <c r="R2839" s="2"/>
    </row>
    <row r="2840" spans="1:18" ht="19.5" hidden="1" thickBot="1" x14ac:dyDescent="0.3">
      <c r="A2840" s="991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4"/>
        <v>11,24</v>
      </c>
      <c r="L2840" s="23" t="s">
        <v>266</v>
      </c>
      <c r="M2840" s="23">
        <v>714.54</v>
      </c>
      <c r="N2840" s="329">
        <v>0.5</v>
      </c>
      <c r="O2840" s="2"/>
      <c r="P2840" s="2"/>
      <c r="Q2840" s="2"/>
      <c r="R2840" s="2"/>
    </row>
    <row r="2841" spans="1:18" ht="19.5" hidden="1" thickBot="1" x14ac:dyDescent="0.3">
      <c r="A2841" s="991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4"/>
        <v>11,24</v>
      </c>
      <c r="L2841" s="23" t="s">
        <v>266</v>
      </c>
      <c r="M2841" s="23">
        <v>5960.48</v>
      </c>
      <c r="N2841" s="329">
        <v>0.5</v>
      </c>
      <c r="O2841" s="2"/>
      <c r="P2841" s="2"/>
      <c r="Q2841" s="2"/>
      <c r="R2841" s="2"/>
    </row>
    <row r="2842" spans="1:18" ht="19.5" hidden="1" thickBot="1" x14ac:dyDescent="0.3">
      <c r="A2842" s="991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4"/>
        <v>11,24</v>
      </c>
      <c r="L2842" s="23" t="s">
        <v>266</v>
      </c>
      <c r="M2842" s="23">
        <v>1830.85</v>
      </c>
      <c r="N2842" s="329">
        <v>0.5</v>
      </c>
      <c r="O2842" s="2"/>
      <c r="P2842" s="2"/>
      <c r="Q2842" s="2"/>
      <c r="R2842" s="2"/>
    </row>
    <row r="2843" spans="1:18" ht="19.5" hidden="1" thickBot="1" x14ac:dyDescent="0.3">
      <c r="A2843" s="991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4"/>
        <v>11,24</v>
      </c>
      <c r="L2843" s="71" t="s">
        <v>266</v>
      </c>
      <c r="M2843" s="71">
        <v>4873.74</v>
      </c>
      <c r="N2843" s="323">
        <v>0.5</v>
      </c>
      <c r="O2843" s="2"/>
      <c r="P2843" s="2"/>
      <c r="Q2843" s="2"/>
      <c r="R2843" s="2"/>
    </row>
    <row r="2844" spans="1:18" ht="18.75" hidden="1" customHeight="1" thickBot="1" x14ac:dyDescent="0.3">
      <c r="A2844" s="996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1023" t="s">
        <v>467</v>
      </c>
      <c r="H2844" s="82" t="s">
        <v>660</v>
      </c>
      <c r="I2844" s="147" t="s">
        <v>660</v>
      </c>
      <c r="J2844" s="86"/>
      <c r="K2844" s="82" t="str">
        <f t="shared" si="84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  <c r="Q2844" s="2"/>
      <c r="R2844" s="2"/>
    </row>
    <row r="2845" spans="1:18" ht="19.5" hidden="1" thickBot="1" x14ac:dyDescent="0.3">
      <c r="A2845" s="996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1023"/>
      <c r="H2845" s="65" t="s">
        <v>660</v>
      </c>
      <c r="I2845" s="285" t="s">
        <v>660</v>
      </c>
      <c r="J2845" s="68"/>
      <c r="K2845" s="65" t="str">
        <f t="shared" si="84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  <c r="Q2845" s="2"/>
      <c r="R2845" s="2"/>
    </row>
    <row r="2846" spans="1:18" ht="19.5" hidden="1" thickBot="1" x14ac:dyDescent="0.3">
      <c r="A2846" s="991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4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  <c r="Q2846" s="2"/>
      <c r="R2846" s="2"/>
    </row>
    <row r="2847" spans="1:18" ht="19.5" hidden="1" thickBot="1" x14ac:dyDescent="0.3">
      <c r="A2847" s="991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4"/>
        <v>11,24</v>
      </c>
      <c r="L2847" s="71" t="s">
        <v>265</v>
      </c>
      <c r="M2847" s="71">
        <v>6136.6</v>
      </c>
      <c r="N2847" s="323">
        <v>0.375</v>
      </c>
      <c r="O2847" s="2"/>
      <c r="P2847" s="2"/>
      <c r="Q2847" s="2"/>
      <c r="R2847" s="2"/>
    </row>
    <row r="2848" spans="1:18" ht="19.5" hidden="1" thickBot="1" x14ac:dyDescent="0.3">
      <c r="A2848" s="110">
        <f t="shared" ref="A2848:A2853" si="85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4"/>
        <v>11,24</v>
      </c>
      <c r="L2848" s="40" t="s">
        <v>28</v>
      </c>
      <c r="M2848" s="40">
        <v>15376.38</v>
      </c>
      <c r="N2848" s="317">
        <v>0.5</v>
      </c>
      <c r="O2848" s="2"/>
      <c r="P2848" s="2"/>
      <c r="Q2848" s="2"/>
      <c r="R2848" s="2"/>
    </row>
    <row r="2849" spans="1:18" ht="19.5" hidden="1" thickBot="1" x14ac:dyDescent="0.3">
      <c r="A2849" s="111">
        <f t="shared" si="85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4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  <c r="Q2849" s="2"/>
      <c r="R2849" s="2"/>
    </row>
    <row r="2850" spans="1:18" ht="19.5" hidden="1" thickBot="1" x14ac:dyDescent="0.3">
      <c r="A2850" s="110">
        <f t="shared" si="85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4"/>
        <v>11,24</v>
      </c>
      <c r="L2850" s="40" t="s">
        <v>28</v>
      </c>
      <c r="M2850" s="40">
        <v>13927.26</v>
      </c>
      <c r="N2850" s="317">
        <v>0.5</v>
      </c>
      <c r="O2850" s="2"/>
      <c r="P2850" s="2"/>
      <c r="Q2850" s="2"/>
      <c r="R2850" s="2"/>
    </row>
    <row r="2851" spans="1:18" ht="19.5" hidden="1" thickBot="1" x14ac:dyDescent="0.3">
      <c r="A2851" s="111">
        <f t="shared" si="85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4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  <c r="Q2851" s="2"/>
      <c r="R2851" s="2"/>
    </row>
    <row r="2852" spans="1:18" ht="19.5" hidden="1" thickBot="1" x14ac:dyDescent="0.3">
      <c r="A2852" s="149">
        <f t="shared" si="85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4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  <c r="Q2852" s="2"/>
      <c r="R2852" s="2"/>
    </row>
    <row r="2853" spans="1:18" ht="18.75" hidden="1" customHeight="1" thickBot="1" x14ac:dyDescent="0.3">
      <c r="A2853" s="991">
        <f t="shared" si="85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993" t="s">
        <v>72</v>
      </c>
      <c r="H2853" s="48" t="s">
        <v>664</v>
      </c>
      <c r="I2853" s="163" t="s">
        <v>664</v>
      </c>
      <c r="J2853" s="52"/>
      <c r="K2853" s="48" t="str">
        <f t="shared" si="84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  <c r="Q2853" s="2"/>
      <c r="R2853" s="2"/>
    </row>
    <row r="2854" spans="1:18" ht="19.5" hidden="1" thickBot="1" x14ac:dyDescent="0.3">
      <c r="A2854" s="991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993"/>
      <c r="H2854" s="71" t="s">
        <v>664</v>
      </c>
      <c r="I2854" s="167" t="s">
        <v>664</v>
      </c>
      <c r="J2854" s="168" t="s">
        <v>157</v>
      </c>
      <c r="K2854" s="71" t="str">
        <f t="shared" si="84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  <c r="Q2854" s="2"/>
      <c r="R2854" s="2"/>
    </row>
    <row r="2855" spans="1:18" ht="19.5" hidden="1" thickBot="1" x14ac:dyDescent="0.3">
      <c r="A2855" s="990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4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  <c r="Q2855" s="2"/>
      <c r="R2855" s="2"/>
    </row>
    <row r="2856" spans="1:18" ht="19.5" hidden="1" thickBot="1" x14ac:dyDescent="0.3">
      <c r="A2856" s="990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4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  <c r="Q2856" s="2"/>
      <c r="R2856" s="2"/>
    </row>
    <row r="2857" spans="1:18" ht="19.5" hidden="1" thickBot="1" x14ac:dyDescent="0.3">
      <c r="A2857" s="991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4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  <c r="Q2857" s="2"/>
      <c r="R2857" s="2"/>
    </row>
    <row r="2858" spans="1:18" ht="19.5" hidden="1" thickBot="1" x14ac:dyDescent="0.3">
      <c r="A2858" s="991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4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  <c r="Q2858" s="2"/>
      <c r="R2858" s="2"/>
    </row>
    <row r="2859" spans="1:18" ht="19.5" hidden="1" thickBot="1" x14ac:dyDescent="0.3">
      <c r="A2859" s="991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4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  <c r="Q2859" s="2"/>
      <c r="R2859" s="2"/>
    </row>
    <row r="2860" spans="1:18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4"/>
        <v>11,24</v>
      </c>
      <c r="L2860" s="40" t="s">
        <v>28</v>
      </c>
      <c r="M2860" s="40">
        <v>17728.79</v>
      </c>
      <c r="N2860" s="317">
        <v>0.5</v>
      </c>
      <c r="O2860" s="2"/>
      <c r="P2860" s="2"/>
      <c r="Q2860" s="2"/>
      <c r="R2860" s="2"/>
    </row>
    <row r="2861" spans="1:18" ht="19.5" hidden="1" thickBot="1" x14ac:dyDescent="0.3">
      <c r="A2861" s="995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4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  <c r="Q2861" s="2"/>
      <c r="R2861" s="2"/>
    </row>
    <row r="2862" spans="1:18" ht="19.5" hidden="1" thickBot="1" x14ac:dyDescent="0.3">
      <c r="A2862" s="995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4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  <c r="Q2862" s="2"/>
      <c r="R2862" s="2"/>
    </row>
    <row r="2863" spans="1:18" ht="38.25" hidden="1" thickBot="1" x14ac:dyDescent="0.3">
      <c r="A2863" s="110">
        <f t="shared" ref="A2863:A2868" si="86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4"/>
        <v>11,24</v>
      </c>
      <c r="L2863" s="40" t="s">
        <v>266</v>
      </c>
      <c r="M2863" s="40">
        <v>18037.32</v>
      </c>
      <c r="N2863" s="317">
        <v>0.5</v>
      </c>
      <c r="O2863" s="2"/>
      <c r="P2863" s="2"/>
      <c r="Q2863" s="2"/>
      <c r="R2863" s="2"/>
    </row>
    <row r="2864" spans="1:18" ht="19.5" hidden="1" thickBot="1" x14ac:dyDescent="0.3">
      <c r="A2864" s="111">
        <f t="shared" si="86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4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  <c r="Q2864" s="2"/>
      <c r="R2864" s="2"/>
    </row>
    <row r="2865" spans="1:18" ht="19.5" hidden="1" thickBot="1" x14ac:dyDescent="0.3">
      <c r="A2865" s="110">
        <f t="shared" si="86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4"/>
        <v>11,24</v>
      </c>
      <c r="L2865" s="40" t="s">
        <v>265</v>
      </c>
      <c r="M2865" s="40">
        <v>17549.34</v>
      </c>
      <c r="N2865" s="317">
        <v>0.375</v>
      </c>
      <c r="O2865" s="2"/>
      <c r="P2865" s="2"/>
      <c r="Q2865" s="2"/>
      <c r="R2865" s="2"/>
    </row>
    <row r="2866" spans="1:18" ht="57" hidden="1" thickBot="1" x14ac:dyDescent="0.3">
      <c r="A2866" s="111">
        <f t="shared" si="86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4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  <c r="Q2866" s="2"/>
      <c r="R2866" s="2"/>
    </row>
    <row r="2867" spans="1:18" ht="19.5" hidden="1" thickBot="1" x14ac:dyDescent="0.3">
      <c r="A2867" s="110">
        <f t="shared" si="86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4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  <c r="Q2867" s="2"/>
      <c r="R2867" s="2"/>
    </row>
    <row r="2868" spans="1:18" ht="19.5" hidden="1" thickBot="1" x14ac:dyDescent="0.3">
      <c r="A2868" s="991">
        <f t="shared" si="86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4"/>
        <v>11,24</v>
      </c>
      <c r="L2868" s="48" t="s">
        <v>28</v>
      </c>
      <c r="M2868" s="48">
        <v>12513.77</v>
      </c>
      <c r="N2868" s="315">
        <v>0.5</v>
      </c>
      <c r="O2868" s="2"/>
      <c r="P2868" s="2"/>
      <c r="Q2868" s="2"/>
      <c r="R2868" s="2"/>
    </row>
    <row r="2869" spans="1:18" ht="19.5" hidden="1" thickBot="1" x14ac:dyDescent="0.3">
      <c r="A2869" s="991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4"/>
        <v>11,24</v>
      </c>
      <c r="L2869" s="71" t="s">
        <v>28</v>
      </c>
      <c r="M2869" s="71">
        <v>5143.2</v>
      </c>
      <c r="N2869" s="323">
        <v>0.5</v>
      </c>
      <c r="O2869" s="2"/>
      <c r="P2869" s="2"/>
      <c r="Q2869" s="2"/>
      <c r="R2869" s="2"/>
    </row>
    <row r="2870" spans="1:18" ht="19.5" hidden="1" thickBot="1" x14ac:dyDescent="0.3">
      <c r="A2870" s="990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4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  <c r="Q2870" s="2"/>
      <c r="R2870" s="2"/>
    </row>
    <row r="2871" spans="1:18" ht="19.5" hidden="1" thickBot="1" x14ac:dyDescent="0.3">
      <c r="A2871" s="990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4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  <c r="Q2871" s="2"/>
      <c r="R2871" s="2"/>
    </row>
    <row r="2872" spans="1:18" ht="19.5" hidden="1" thickBot="1" x14ac:dyDescent="0.3">
      <c r="A2872" s="990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4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  <c r="Q2872" s="2"/>
      <c r="R2872" s="2"/>
    </row>
    <row r="2873" spans="1:18" ht="19.5" hidden="1" thickBot="1" x14ac:dyDescent="0.3">
      <c r="A2873" s="991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4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  <c r="Q2873" s="2"/>
      <c r="R2873" s="2"/>
    </row>
    <row r="2874" spans="1:18" ht="19.5" hidden="1" thickBot="1" x14ac:dyDescent="0.3">
      <c r="A2874" s="991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4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  <c r="Q2874" s="2"/>
      <c r="R2874" s="2"/>
    </row>
    <row r="2875" spans="1:18" ht="19.5" hidden="1" thickBot="1" x14ac:dyDescent="0.3">
      <c r="A2875" s="991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7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  <c r="Q2875" s="2"/>
      <c r="R2875" s="2"/>
    </row>
    <row r="2876" spans="1:18" ht="19.5" hidden="1" thickBot="1" x14ac:dyDescent="0.3">
      <c r="A2876" s="990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7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  <c r="Q2876" s="2"/>
      <c r="R2876" s="2"/>
    </row>
    <row r="2877" spans="1:18" ht="19.5" hidden="1" thickBot="1" x14ac:dyDescent="0.3">
      <c r="A2877" s="990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7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  <c r="Q2877" s="2"/>
      <c r="R2877" s="2"/>
    </row>
    <row r="2878" spans="1:18" ht="19.5" hidden="1" thickBot="1" x14ac:dyDescent="0.3">
      <c r="A2878" s="990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7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  <c r="Q2878" s="2"/>
      <c r="R2878" s="2"/>
    </row>
    <row r="2879" spans="1:18" ht="19.5" hidden="1" thickBot="1" x14ac:dyDescent="0.3">
      <c r="A2879" s="990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7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  <c r="Q2879" s="2"/>
      <c r="R2879" s="2"/>
    </row>
    <row r="2880" spans="1:18" ht="19.5" hidden="1" thickBot="1" x14ac:dyDescent="0.3">
      <c r="A2880" s="111">
        <f t="shared" ref="A2880:A2885" si="88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7"/>
        <v>11,24</v>
      </c>
      <c r="L2880" s="75" t="s">
        <v>266</v>
      </c>
      <c r="M2880" s="75">
        <v>15150.01</v>
      </c>
      <c r="N2880" s="322">
        <v>0.5</v>
      </c>
      <c r="O2880" s="2"/>
      <c r="P2880" s="2"/>
      <c r="Q2880" s="2"/>
      <c r="R2880" s="2"/>
    </row>
    <row r="2881" spans="1:18" ht="19.5" hidden="1" thickBot="1" x14ac:dyDescent="0.3">
      <c r="A2881" s="149">
        <f t="shared" si="88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7"/>
        <v>11,24</v>
      </c>
      <c r="L2881" s="122" t="s">
        <v>265</v>
      </c>
      <c r="M2881" s="122">
        <v>5415</v>
      </c>
      <c r="N2881" s="365">
        <v>0.375</v>
      </c>
      <c r="O2881" s="2"/>
      <c r="P2881" s="2"/>
      <c r="Q2881" s="2"/>
      <c r="R2881" s="2"/>
    </row>
    <row r="2882" spans="1:18" ht="19.5" hidden="1" thickBot="1" x14ac:dyDescent="0.3">
      <c r="A2882" s="111">
        <f t="shared" si="88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7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  <c r="Q2882" s="2"/>
      <c r="R2882" s="2"/>
    </row>
    <row r="2883" spans="1:18" ht="19.5" hidden="1" thickBot="1" x14ac:dyDescent="0.3">
      <c r="A2883" s="110">
        <f t="shared" si="88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7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  <c r="Q2883" s="2"/>
      <c r="R2883" s="2"/>
    </row>
    <row r="2884" spans="1:18" ht="19.5" hidden="1" thickBot="1" x14ac:dyDescent="0.3">
      <c r="A2884" s="111">
        <f t="shared" si="88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7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  <c r="Q2884" s="2"/>
      <c r="R2884" s="2"/>
    </row>
    <row r="2885" spans="1:18" ht="19.5" hidden="1" thickBot="1" x14ac:dyDescent="0.3">
      <c r="A2885" s="996">
        <f t="shared" si="88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7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  <c r="Q2885" s="2"/>
      <c r="R2885" s="2"/>
    </row>
    <row r="2886" spans="1:18" ht="19.5" hidden="1" thickBot="1" x14ac:dyDescent="0.3">
      <c r="A2886" s="996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7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  <c r="Q2886" s="2"/>
      <c r="R2886" s="2"/>
    </row>
    <row r="2887" spans="1:18" ht="19.5" hidden="1" thickBot="1" x14ac:dyDescent="0.3">
      <c r="A2887" s="996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7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  <c r="Q2887" s="2"/>
      <c r="R2887" s="2"/>
    </row>
    <row r="2888" spans="1:18" ht="19.5" hidden="1" thickBot="1" x14ac:dyDescent="0.3">
      <c r="A2888" s="996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7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  <c r="Q2888" s="2"/>
      <c r="R2888" s="2"/>
    </row>
    <row r="2889" spans="1:18" ht="19.5" hidden="1" thickBot="1" x14ac:dyDescent="0.3">
      <c r="A2889" s="996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7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  <c r="Q2889" s="2"/>
      <c r="R2889" s="2"/>
    </row>
    <row r="2890" spans="1:18" ht="19.5" hidden="1" thickBot="1" x14ac:dyDescent="0.3">
      <c r="A2890" s="991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7"/>
        <v>11,24</v>
      </c>
      <c r="L2890" s="48" t="s">
        <v>265</v>
      </c>
      <c r="M2890" s="48">
        <v>12233.61</v>
      </c>
      <c r="N2890" s="315">
        <v>0.375</v>
      </c>
      <c r="O2890" s="2"/>
      <c r="P2890" s="2"/>
      <c r="Q2890" s="2"/>
      <c r="R2890" s="2"/>
    </row>
    <row r="2891" spans="1:18" ht="19.5" hidden="1" thickBot="1" x14ac:dyDescent="0.3">
      <c r="A2891" s="991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7"/>
        <v>11,24</v>
      </c>
      <c r="L2891" s="71" t="s">
        <v>265</v>
      </c>
      <c r="M2891" s="71">
        <v>4313.2</v>
      </c>
      <c r="N2891" s="323">
        <v>0.375</v>
      </c>
      <c r="O2891" s="2"/>
      <c r="P2891" s="2"/>
      <c r="Q2891" s="2"/>
      <c r="R2891" s="2"/>
    </row>
    <row r="2892" spans="1:18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7"/>
        <v>11,24</v>
      </c>
      <c r="L2892" s="40" t="s">
        <v>265</v>
      </c>
      <c r="M2892" s="40">
        <v>17289.16</v>
      </c>
      <c r="N2892" s="317">
        <v>0.375</v>
      </c>
      <c r="O2892" s="2"/>
      <c r="P2892" s="2"/>
      <c r="Q2892" s="2"/>
      <c r="R2892" s="2"/>
    </row>
    <row r="2893" spans="1:18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7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  <c r="Q2893" s="2"/>
      <c r="R2893" s="2"/>
    </row>
    <row r="2894" spans="1:18" ht="18.75" hidden="1" customHeight="1" thickBot="1" x14ac:dyDescent="0.3">
      <c r="A2894" s="990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992" t="s">
        <v>72</v>
      </c>
      <c r="H2894" s="82" t="s">
        <v>672</v>
      </c>
      <c r="I2894" s="147" t="s">
        <v>672</v>
      </c>
      <c r="J2894" s="86"/>
      <c r="K2894" s="82" t="str">
        <f t="shared" si="87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  <c r="Q2894" s="2"/>
      <c r="R2894" s="2"/>
    </row>
    <row r="2895" spans="1:18" ht="19.5" hidden="1" thickBot="1" x14ac:dyDescent="0.3">
      <c r="A2895" s="990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992"/>
      <c r="H2895" s="90" t="s">
        <v>672</v>
      </c>
      <c r="I2895" s="172" t="s">
        <v>672</v>
      </c>
      <c r="J2895" s="173"/>
      <c r="K2895" s="90" t="str">
        <f t="shared" si="87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  <c r="Q2895" s="2"/>
      <c r="R2895" s="2"/>
    </row>
    <row r="2896" spans="1:18" ht="19.5" hidden="1" thickBot="1" x14ac:dyDescent="0.3">
      <c r="A2896" s="991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7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  <c r="Q2896" s="2"/>
      <c r="R2896" s="2"/>
    </row>
    <row r="2897" spans="1:18" ht="19.5" hidden="1" thickBot="1" x14ac:dyDescent="0.3">
      <c r="A2897" s="991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7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  <c r="Q2897" s="2"/>
      <c r="R2897" s="2"/>
    </row>
    <row r="2898" spans="1:18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7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  <c r="Q2898" s="2"/>
      <c r="R2898" s="2"/>
    </row>
    <row r="2899" spans="1:18" ht="19.5" hidden="1" thickBot="1" x14ac:dyDescent="0.3">
      <c r="A2899" s="991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7"/>
        <v>11,24</v>
      </c>
      <c r="L2899" s="48" t="s">
        <v>28</v>
      </c>
      <c r="M2899" s="48">
        <v>13238.14</v>
      </c>
      <c r="N2899" s="315">
        <v>0.5</v>
      </c>
      <c r="O2899" s="2"/>
      <c r="P2899" s="2"/>
      <c r="Q2899" s="2"/>
      <c r="R2899" s="2"/>
    </row>
    <row r="2900" spans="1:18" ht="19.5" hidden="1" thickBot="1" x14ac:dyDescent="0.3">
      <c r="A2900" s="991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7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  <c r="Q2900" s="2"/>
      <c r="R2900" s="2"/>
    </row>
    <row r="2901" spans="1:18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7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  <c r="Q2901" s="2"/>
      <c r="R2901" s="2"/>
    </row>
    <row r="2902" spans="1:18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7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  <c r="Q2902" s="2"/>
      <c r="R2902" s="2"/>
    </row>
    <row r="2903" spans="1:18" ht="19.5" hidden="1" thickBot="1" x14ac:dyDescent="0.3">
      <c r="A2903" s="990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7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  <c r="Q2903" s="2"/>
      <c r="R2903" s="2"/>
    </row>
    <row r="2904" spans="1:18" ht="19.5" hidden="1" thickBot="1" x14ac:dyDescent="0.3">
      <c r="A2904" s="990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7"/>
        <v>11,24</v>
      </c>
      <c r="L2904" s="90" t="s">
        <v>28</v>
      </c>
      <c r="M2904" s="90">
        <v>7246.2</v>
      </c>
      <c r="N2904" s="325">
        <v>0.625</v>
      </c>
      <c r="O2904" s="2"/>
      <c r="P2904" s="2"/>
      <c r="Q2904" s="2"/>
      <c r="R2904" s="2"/>
    </row>
    <row r="2905" spans="1:18" ht="19.5" hidden="1" thickBot="1" x14ac:dyDescent="0.3">
      <c r="A2905" s="995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7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  <c r="Q2905" s="2"/>
      <c r="R2905" s="2"/>
    </row>
    <row r="2906" spans="1:18" ht="19.5" hidden="1" thickBot="1" x14ac:dyDescent="0.3">
      <c r="A2906" s="995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7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  <c r="Q2906" s="2"/>
      <c r="R2906" s="2"/>
    </row>
    <row r="2907" spans="1:18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7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  <c r="Q2907" s="2"/>
      <c r="R2907" s="2"/>
    </row>
    <row r="2908" spans="1:18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7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  <c r="Q2908" s="2"/>
      <c r="R2908" s="2"/>
    </row>
    <row r="2909" spans="1:18" ht="19.5" hidden="1" thickBot="1" x14ac:dyDescent="0.3">
      <c r="A2909" s="990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7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  <c r="Q2909" s="2"/>
      <c r="R2909" s="2"/>
    </row>
    <row r="2910" spans="1:18" ht="19.5" hidden="1" thickBot="1" x14ac:dyDescent="0.3">
      <c r="A2910" s="990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7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  <c r="Q2910" s="2"/>
      <c r="R2910" s="2"/>
    </row>
    <row r="2911" spans="1:18" ht="19.5" hidden="1" thickBot="1" x14ac:dyDescent="0.3">
      <c r="A2911" s="990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7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  <c r="Q2911" s="2"/>
      <c r="R2911" s="2"/>
    </row>
    <row r="2912" spans="1:18" ht="19.5" hidden="1" thickBot="1" x14ac:dyDescent="0.3">
      <c r="A2912" s="991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7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  <c r="Q2912" s="2"/>
      <c r="R2912" s="2"/>
    </row>
    <row r="2913" spans="1:18" ht="19.5" hidden="1" thickBot="1" x14ac:dyDescent="0.3">
      <c r="A2913" s="991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7"/>
        <v>11,24</v>
      </c>
      <c r="L2913" s="71" t="s">
        <v>28</v>
      </c>
      <c r="M2913" s="71">
        <v>14905.02</v>
      </c>
      <c r="N2913" s="323">
        <v>0.5</v>
      </c>
      <c r="O2913" s="2"/>
      <c r="P2913" s="2"/>
      <c r="Q2913" s="2"/>
      <c r="R2913" s="2"/>
    </row>
    <row r="2914" spans="1:18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7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  <c r="Q2914" s="2"/>
      <c r="R2914" s="2"/>
    </row>
    <row r="2915" spans="1:18" ht="19.5" hidden="1" thickBot="1" x14ac:dyDescent="0.3">
      <c r="A2915" s="991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7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  <c r="Q2915" s="2"/>
      <c r="R2915" s="2"/>
    </row>
    <row r="2916" spans="1:18" ht="19.5" hidden="1" thickBot="1" x14ac:dyDescent="0.3">
      <c r="A2916" s="991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7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  <c r="Q2916" s="2"/>
      <c r="R2916" s="2"/>
    </row>
    <row r="2917" spans="1:18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7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  <c r="Q2917" s="2"/>
      <c r="R2917" s="2"/>
    </row>
    <row r="2918" spans="1:18" ht="19.5" hidden="1" thickBot="1" x14ac:dyDescent="0.3">
      <c r="A2918" s="995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7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  <c r="Q2918" s="2"/>
      <c r="R2918" s="2"/>
    </row>
    <row r="2919" spans="1:18" ht="19.5" hidden="1" thickBot="1" x14ac:dyDescent="0.3">
      <c r="A2919" s="995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7"/>
        <v>11,24</v>
      </c>
      <c r="L2919" s="23" t="s">
        <v>28</v>
      </c>
      <c r="M2919" s="23">
        <v>7284.36</v>
      </c>
      <c r="N2919" s="329">
        <v>0.5</v>
      </c>
      <c r="O2919" s="2"/>
      <c r="P2919" s="2"/>
      <c r="Q2919" s="2"/>
      <c r="R2919" s="2"/>
    </row>
    <row r="2920" spans="1:18" ht="19.5" hidden="1" thickBot="1" x14ac:dyDescent="0.3">
      <c r="A2920" s="995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7"/>
        <v>11,24</v>
      </c>
      <c r="L2920" s="293" t="s">
        <v>28</v>
      </c>
      <c r="M2920" s="293">
        <v>5255.4</v>
      </c>
      <c r="N2920" s="389">
        <v>0.5</v>
      </c>
      <c r="O2920" s="2"/>
      <c r="P2920" s="2"/>
      <c r="Q2920" s="2"/>
      <c r="R2920" s="2"/>
    </row>
    <row r="2921" spans="1:18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7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  <c r="Q2921" s="2"/>
      <c r="R2921" s="2"/>
    </row>
    <row r="2922" spans="1:18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7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  <c r="Q2922" s="2"/>
      <c r="R2922" s="2"/>
    </row>
    <row r="2923" spans="1:18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7"/>
        <v>11,24</v>
      </c>
      <c r="L2923" s="40" t="s">
        <v>266</v>
      </c>
      <c r="M2923" s="40">
        <v>17902.32</v>
      </c>
      <c r="N2923" s="317">
        <v>0.5</v>
      </c>
      <c r="O2923" s="2"/>
      <c r="P2923" s="2"/>
      <c r="Q2923" s="2"/>
      <c r="R2923" s="2"/>
    </row>
    <row r="2924" spans="1:18" ht="18.75" hidden="1" customHeight="1" thickBot="1" x14ac:dyDescent="0.3">
      <c r="A2924" s="991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993" t="s">
        <v>467</v>
      </c>
      <c r="H2924" s="48" t="s">
        <v>675</v>
      </c>
      <c r="I2924" s="163" t="s">
        <v>675</v>
      </c>
      <c r="J2924" s="52"/>
      <c r="K2924" s="48" t="str">
        <f t="shared" si="87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  <c r="Q2924" s="2"/>
      <c r="R2924" s="2"/>
    </row>
    <row r="2925" spans="1:18" ht="19.5" hidden="1" thickBot="1" x14ac:dyDescent="0.3">
      <c r="A2925" s="991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993"/>
      <c r="H2925" s="71" t="s">
        <v>675</v>
      </c>
      <c r="I2925" s="167" t="s">
        <v>675</v>
      </c>
      <c r="J2925" s="168"/>
      <c r="K2925" s="71" t="str">
        <f t="shared" si="87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  <c r="Q2925" s="2"/>
      <c r="R2925" s="2"/>
    </row>
    <row r="2926" spans="1:18" ht="19.5" hidden="1" thickBot="1" x14ac:dyDescent="0.3">
      <c r="A2926" s="996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7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  <c r="Q2926" s="2"/>
      <c r="R2926" s="2"/>
    </row>
    <row r="2927" spans="1:18" ht="19.5" hidden="1" thickBot="1" x14ac:dyDescent="0.3">
      <c r="A2927" s="996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7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  <c r="Q2927" s="2"/>
      <c r="R2927" s="2"/>
    </row>
    <row r="2928" spans="1:18" ht="19.5" hidden="1" thickBot="1" x14ac:dyDescent="0.3">
      <c r="A2928" s="996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7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  <c r="Q2928" s="2"/>
      <c r="R2928" s="2"/>
    </row>
    <row r="2929" spans="1:18" ht="19.5" hidden="1" thickBot="1" x14ac:dyDescent="0.3">
      <c r="A2929" s="996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7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  <c r="Q2929" s="2"/>
      <c r="R2929" s="2"/>
    </row>
    <row r="2930" spans="1:18" ht="19.5" hidden="1" thickBot="1" x14ac:dyDescent="0.3">
      <c r="A2930" s="991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7"/>
        <v>11,24</v>
      </c>
      <c r="L2930" s="48" t="s">
        <v>265</v>
      </c>
      <c r="M2930" s="48">
        <v>11958.97</v>
      </c>
      <c r="N2930" s="315">
        <v>0.375</v>
      </c>
      <c r="O2930" s="2"/>
      <c r="P2930" s="2"/>
      <c r="Q2930" s="2"/>
      <c r="R2930" s="2"/>
    </row>
    <row r="2931" spans="1:18" ht="19.5" hidden="1" thickBot="1" x14ac:dyDescent="0.3">
      <c r="A2931" s="991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7"/>
        <v>11,24</v>
      </c>
      <c r="L2931" s="71" t="s">
        <v>265</v>
      </c>
      <c r="M2931" s="71">
        <v>4703.7</v>
      </c>
      <c r="N2931" s="323">
        <v>0.375</v>
      </c>
      <c r="O2931" s="2"/>
      <c r="P2931" s="2"/>
      <c r="Q2931" s="2"/>
      <c r="R2931" s="2"/>
    </row>
    <row r="2932" spans="1:18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7"/>
        <v>11,24</v>
      </c>
      <c r="L2932" s="40" t="s">
        <v>265</v>
      </c>
      <c r="M2932" s="40">
        <v>17510.98</v>
      </c>
      <c r="N2932" s="317">
        <v>0.375</v>
      </c>
      <c r="O2932" s="2"/>
      <c r="P2932" s="2"/>
      <c r="Q2932" s="2"/>
      <c r="R2932" s="2"/>
    </row>
    <row r="2933" spans="1:18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7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  <c r="Q2933" s="2"/>
      <c r="R2933" s="2"/>
    </row>
    <row r="2934" spans="1:18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7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  <c r="Q2934" s="2"/>
      <c r="R2934" s="2"/>
    </row>
    <row r="2935" spans="1:18" ht="18.75" hidden="1" customHeight="1" thickBot="1" x14ac:dyDescent="0.3">
      <c r="A2935" s="991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993" t="s">
        <v>72</v>
      </c>
      <c r="H2935" s="48" t="s">
        <v>679</v>
      </c>
      <c r="I2935" s="163" t="s">
        <v>679</v>
      </c>
      <c r="J2935" s="52"/>
      <c r="K2935" s="48" t="str">
        <f t="shared" si="87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  <c r="Q2935" s="2"/>
      <c r="R2935" s="2"/>
    </row>
    <row r="2936" spans="1:18" ht="19.5" hidden="1" thickBot="1" x14ac:dyDescent="0.3">
      <c r="A2936" s="991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993"/>
      <c r="H2936" s="71" t="s">
        <v>679</v>
      </c>
      <c r="I2936" s="167" t="s">
        <v>679</v>
      </c>
      <c r="J2936" s="168"/>
      <c r="K2936" s="71" t="str">
        <f t="shared" si="87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  <c r="Q2936" s="2"/>
      <c r="R2936" s="2"/>
    </row>
    <row r="2937" spans="1:18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7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  <c r="Q2937" s="2"/>
      <c r="R2937" s="2"/>
    </row>
    <row r="2938" spans="1:18" ht="19.5" hidden="1" thickBot="1" x14ac:dyDescent="0.3">
      <c r="A2938" s="991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7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  <c r="Q2938" s="2"/>
      <c r="R2938" s="2"/>
    </row>
    <row r="2939" spans="1:18" ht="19.5" hidden="1" thickBot="1" x14ac:dyDescent="0.3">
      <c r="A2939" s="991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9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  <c r="Q2939" s="2"/>
      <c r="R2939" s="2"/>
    </row>
    <row r="2940" spans="1:18" ht="19.5" hidden="1" thickBot="1" x14ac:dyDescent="0.3">
      <c r="A2940" s="990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9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  <c r="Q2940" s="2"/>
      <c r="R2940" s="2"/>
    </row>
    <row r="2941" spans="1:18" ht="19.5" hidden="1" thickBot="1" x14ac:dyDescent="0.3">
      <c r="A2941" s="990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9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  <c r="Q2941" s="2"/>
      <c r="R2941" s="2"/>
    </row>
    <row r="2942" spans="1:18" ht="19.5" hidden="1" thickBot="1" x14ac:dyDescent="0.3">
      <c r="A2942" s="990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9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  <c r="Q2942" s="2"/>
      <c r="R2942" s="2"/>
    </row>
    <row r="2943" spans="1:18" ht="19.5" hidden="1" thickBot="1" x14ac:dyDescent="0.3">
      <c r="A2943" s="995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9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  <c r="Q2943" s="2"/>
      <c r="R2943" s="2"/>
    </row>
    <row r="2944" spans="1:18" ht="19.5" hidden="1" thickBot="1" x14ac:dyDescent="0.3">
      <c r="A2944" s="995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9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  <c r="Q2944" s="2"/>
      <c r="R2944" s="2"/>
    </row>
    <row r="2945" spans="1:18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9"/>
        <v>11,24</v>
      </c>
      <c r="L2945" s="40" t="s">
        <v>266</v>
      </c>
      <c r="M2945" s="40">
        <v>16108.26</v>
      </c>
      <c r="N2945" s="317">
        <v>0.5</v>
      </c>
      <c r="O2945" s="2"/>
      <c r="P2945" s="2"/>
      <c r="Q2945" s="2"/>
      <c r="R2945" s="2"/>
    </row>
    <row r="2946" spans="1:18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9"/>
        <v>11,24</v>
      </c>
      <c r="L2946" s="75" t="s">
        <v>265</v>
      </c>
      <c r="M2946" s="75">
        <v>17265.46</v>
      </c>
      <c r="N2946" s="322">
        <v>0.375</v>
      </c>
      <c r="O2946" s="2"/>
      <c r="P2946" s="2"/>
      <c r="Q2946" s="2"/>
      <c r="R2946" s="2"/>
    </row>
    <row r="2947" spans="1:18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9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  <c r="Q2947" s="2"/>
      <c r="R2947" s="2"/>
    </row>
    <row r="2948" spans="1:18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9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  <c r="Q2948" s="2"/>
      <c r="R2948" s="2"/>
    </row>
    <row r="2949" spans="1:18" ht="19.5" hidden="1" thickBot="1" x14ac:dyDescent="0.3">
      <c r="A2949" s="990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9"/>
        <v>11,24</v>
      </c>
      <c r="L2949" s="82" t="s">
        <v>28</v>
      </c>
      <c r="M2949" s="82">
        <v>3086.53</v>
      </c>
      <c r="N2949" s="319">
        <v>0.5</v>
      </c>
      <c r="O2949" s="2"/>
      <c r="P2949" s="2"/>
      <c r="Q2949" s="2"/>
      <c r="R2949" s="2"/>
    </row>
    <row r="2950" spans="1:18" ht="19.5" hidden="1" thickBot="1" x14ac:dyDescent="0.3">
      <c r="A2950" s="990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9"/>
        <v>11,24</v>
      </c>
      <c r="L2950" s="98" t="s">
        <v>28</v>
      </c>
      <c r="M2950" s="98">
        <v>3156.42</v>
      </c>
      <c r="N2950" s="364">
        <v>0.5</v>
      </c>
      <c r="O2950" s="2"/>
      <c r="P2950" s="2"/>
      <c r="Q2950" s="2"/>
      <c r="R2950" s="2"/>
    </row>
    <row r="2951" spans="1:18" ht="19.5" hidden="1" thickBot="1" x14ac:dyDescent="0.3">
      <c r="A2951" s="990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9"/>
        <v>11,24</v>
      </c>
      <c r="L2951" s="98" t="s">
        <v>28</v>
      </c>
      <c r="M2951" s="98">
        <v>7512.76</v>
      </c>
      <c r="N2951" s="364">
        <v>0.5</v>
      </c>
      <c r="O2951" s="2"/>
      <c r="P2951" s="2"/>
      <c r="Q2951" s="2"/>
      <c r="R2951" s="2"/>
    </row>
    <row r="2952" spans="1:18" ht="19.5" hidden="1" thickBot="1" x14ac:dyDescent="0.3">
      <c r="A2952" s="990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9"/>
        <v>11,24</v>
      </c>
      <c r="L2952" s="90" t="s">
        <v>28</v>
      </c>
      <c r="M2952" s="90">
        <v>4037.86</v>
      </c>
      <c r="N2952" s="325">
        <v>0.5</v>
      </c>
      <c r="O2952" s="2"/>
      <c r="P2952" s="2"/>
      <c r="Q2952" s="2"/>
      <c r="R2952" s="2"/>
    </row>
    <row r="2953" spans="1:18" ht="19.5" hidden="1" thickBot="1" x14ac:dyDescent="0.3">
      <c r="A2953" s="995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9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  <c r="Q2953" s="2"/>
      <c r="R2953" s="2"/>
    </row>
    <row r="2954" spans="1:18" ht="19.5" hidden="1" thickBot="1" x14ac:dyDescent="0.3">
      <c r="A2954" s="995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9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  <c r="Q2954" s="2"/>
      <c r="R2954" s="2"/>
    </row>
    <row r="2955" spans="1:18" ht="19.5" hidden="1" thickBot="1" x14ac:dyDescent="0.3">
      <c r="A2955" s="990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9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  <c r="Q2955" s="2"/>
      <c r="R2955" s="2"/>
    </row>
    <row r="2956" spans="1:18" ht="19.5" hidden="1" thickBot="1" x14ac:dyDescent="0.3">
      <c r="A2956" s="990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9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  <c r="Q2956" s="2"/>
      <c r="R2956" s="2"/>
    </row>
    <row r="2957" spans="1:18" ht="19.5" hidden="1" thickBot="1" x14ac:dyDescent="0.3">
      <c r="A2957" s="111">
        <f t="shared" ref="A2957:A2966" si="90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9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  <c r="Q2957" s="2"/>
      <c r="R2957" s="2"/>
    </row>
    <row r="2958" spans="1:18" ht="19.5" hidden="1" thickBot="1" x14ac:dyDescent="0.3">
      <c r="A2958" s="110">
        <f t="shared" si="90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9"/>
        <v>11,24</v>
      </c>
      <c r="L2958" s="40" t="s">
        <v>28</v>
      </c>
      <c r="M2958" s="40">
        <v>11372.08</v>
      </c>
      <c r="N2958" s="317">
        <v>0.5</v>
      </c>
      <c r="O2958" s="2"/>
      <c r="P2958" s="2"/>
      <c r="Q2958" s="2"/>
      <c r="R2958" s="2"/>
    </row>
    <row r="2959" spans="1:18" ht="19.5" hidden="1" thickBot="1" x14ac:dyDescent="0.3">
      <c r="A2959" s="111">
        <f t="shared" si="90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9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  <c r="Q2959" s="2"/>
      <c r="R2959" s="2"/>
    </row>
    <row r="2960" spans="1:18" ht="19.5" hidden="1" thickBot="1" x14ac:dyDescent="0.3">
      <c r="A2960" s="110">
        <f t="shared" si="90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9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  <c r="Q2960" s="2"/>
      <c r="R2960" s="2"/>
    </row>
    <row r="2961" spans="1:18" ht="19.5" hidden="1" thickBot="1" x14ac:dyDescent="0.3">
      <c r="A2961" s="111">
        <f t="shared" si="90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9"/>
        <v>11,24</v>
      </c>
      <c r="L2961" s="75" t="s">
        <v>266</v>
      </c>
      <c r="M2961" s="75">
        <v>15179.72</v>
      </c>
      <c r="N2961" s="322">
        <v>0.5</v>
      </c>
      <c r="O2961" s="2"/>
      <c r="P2961" s="2"/>
      <c r="Q2961" s="2"/>
      <c r="R2961" s="2"/>
    </row>
    <row r="2962" spans="1:18" ht="19.5" hidden="1" thickBot="1" x14ac:dyDescent="0.3">
      <c r="A2962" s="149">
        <f t="shared" si="90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9"/>
        <v>11,24</v>
      </c>
      <c r="L2962" s="122" t="s">
        <v>265</v>
      </c>
      <c r="M2962" s="122">
        <v>7020</v>
      </c>
      <c r="N2962" s="365">
        <v>0.375</v>
      </c>
      <c r="O2962" s="2"/>
      <c r="P2962" s="2"/>
      <c r="Q2962" s="2"/>
      <c r="R2962" s="2"/>
    </row>
    <row r="2963" spans="1:18" ht="19.5" hidden="1" thickBot="1" x14ac:dyDescent="0.3">
      <c r="A2963" s="111">
        <f t="shared" si="90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9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  <c r="Q2963" s="2"/>
      <c r="R2963" s="2"/>
    </row>
    <row r="2964" spans="1:18" ht="19.5" hidden="1" thickBot="1" x14ac:dyDescent="0.3">
      <c r="A2964" s="110">
        <f t="shared" si="90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9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  <c r="Q2964" s="2"/>
      <c r="R2964" s="2"/>
    </row>
    <row r="2965" spans="1:18" ht="19.5" hidden="1" thickBot="1" x14ac:dyDescent="0.3">
      <c r="A2965" s="111">
        <f t="shared" si="90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9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  <c r="Q2965" s="2"/>
      <c r="R2965" s="2"/>
    </row>
    <row r="2966" spans="1:18" ht="19.5" hidden="1" thickBot="1" x14ac:dyDescent="0.3">
      <c r="A2966" s="996">
        <f t="shared" si="90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9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  <c r="Q2966" s="2"/>
      <c r="R2966" s="2"/>
    </row>
    <row r="2967" spans="1:18" ht="19.5" hidden="1" thickBot="1" x14ac:dyDescent="0.3">
      <c r="A2967" s="996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9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  <c r="Q2967" s="2"/>
      <c r="R2967" s="2"/>
    </row>
    <row r="2968" spans="1:18" ht="19.5" hidden="1" thickBot="1" x14ac:dyDescent="0.3">
      <c r="A2968" s="996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9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  <c r="Q2968" s="2"/>
      <c r="R2968" s="2"/>
    </row>
    <row r="2969" spans="1:18" ht="19.5" hidden="1" thickBot="1" x14ac:dyDescent="0.3">
      <c r="A2969" s="996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9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  <c r="Q2969" s="2"/>
      <c r="R2969" s="2"/>
    </row>
    <row r="2970" spans="1:18" ht="19.5" hidden="1" thickBot="1" x14ac:dyDescent="0.3">
      <c r="A2970" s="996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9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  <c r="Q2970" s="2"/>
      <c r="R2970" s="2"/>
    </row>
    <row r="2971" spans="1:18" ht="19.5" hidden="1" thickBot="1" x14ac:dyDescent="0.3">
      <c r="A2971" s="991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9"/>
        <v>11,24</v>
      </c>
      <c r="L2971" s="48" t="s">
        <v>265</v>
      </c>
      <c r="M2971" s="48">
        <v>10974.88</v>
      </c>
      <c r="N2971" s="315">
        <v>0.375</v>
      </c>
      <c r="O2971" s="2"/>
      <c r="P2971" s="2"/>
      <c r="Q2971" s="2"/>
      <c r="R2971" s="2"/>
    </row>
    <row r="2972" spans="1:18" ht="19.5" hidden="1" thickBot="1" x14ac:dyDescent="0.3">
      <c r="A2972" s="991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9"/>
        <v>11,24</v>
      </c>
      <c r="L2972" s="71" t="s">
        <v>265</v>
      </c>
      <c r="M2972" s="71">
        <v>5421.1</v>
      </c>
      <c r="N2972" s="323">
        <v>0.375</v>
      </c>
      <c r="O2972" s="2"/>
      <c r="P2972" s="2"/>
      <c r="Q2972" s="2"/>
      <c r="R2972" s="2"/>
    </row>
    <row r="2973" spans="1:18" ht="19.5" hidden="1" thickBot="1" x14ac:dyDescent="0.3">
      <c r="A2973" s="110">
        <f t="shared" ref="A2973:A2978" si="91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9"/>
        <v>11,24</v>
      </c>
      <c r="L2973" s="40" t="s">
        <v>265</v>
      </c>
      <c r="M2973" s="40">
        <v>17200.14</v>
      </c>
      <c r="N2973" s="317">
        <v>0.375</v>
      </c>
      <c r="O2973" s="2"/>
      <c r="P2973" s="2"/>
      <c r="Q2973" s="2"/>
      <c r="R2973" s="2"/>
    </row>
    <row r="2974" spans="1:18" ht="19.5" hidden="1" thickBot="1" x14ac:dyDescent="0.3">
      <c r="A2974" s="153">
        <f t="shared" si="91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9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  <c r="Q2974" s="2"/>
      <c r="R2974" s="2"/>
    </row>
    <row r="2975" spans="1:18" ht="19.5" hidden="1" thickBot="1" x14ac:dyDescent="0.3">
      <c r="A2975" s="110">
        <f t="shared" si="91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9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  <c r="Q2975" s="2"/>
      <c r="R2975" s="2"/>
    </row>
    <row r="2976" spans="1:18" ht="38.25" hidden="1" thickBot="1" x14ac:dyDescent="0.3">
      <c r="A2976" s="111">
        <f t="shared" si="91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9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  <c r="Q2976" s="2"/>
      <c r="R2976" s="2"/>
    </row>
    <row r="2977" spans="1:18" ht="19.5" hidden="1" thickBot="1" x14ac:dyDescent="0.3">
      <c r="A2977" s="110">
        <f t="shared" si="91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9"/>
        <v>11,24</v>
      </c>
      <c r="L2977" s="40" t="s">
        <v>28</v>
      </c>
      <c r="M2977" s="40">
        <v>17215.59</v>
      </c>
      <c r="N2977" s="317">
        <v>0.5</v>
      </c>
      <c r="O2977" s="2"/>
      <c r="P2977" s="2"/>
      <c r="Q2977" s="2"/>
      <c r="R2977" s="2"/>
    </row>
    <row r="2978" spans="1:18" ht="19.5" hidden="1" thickBot="1" x14ac:dyDescent="0.3">
      <c r="A2978" s="991">
        <f t="shared" si="91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9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  <c r="Q2978" s="2"/>
      <c r="R2978" s="2"/>
    </row>
    <row r="2979" spans="1:18" ht="19.5" hidden="1" thickBot="1" x14ac:dyDescent="0.3">
      <c r="A2979" s="991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9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  <c r="Q2979" s="2"/>
      <c r="R2979" s="2"/>
    </row>
    <row r="2980" spans="1:18" ht="19.5" hidden="1" thickBot="1" x14ac:dyDescent="0.3">
      <c r="A2980" s="990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9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  <c r="Q2980" s="2"/>
      <c r="R2980" s="2"/>
    </row>
    <row r="2981" spans="1:18" ht="19.5" hidden="1" thickBot="1" x14ac:dyDescent="0.3">
      <c r="A2981" s="990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9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  <c r="Q2981" s="2"/>
      <c r="R2981" s="2"/>
    </row>
    <row r="2982" spans="1:18" ht="19.5" hidden="1" thickBot="1" x14ac:dyDescent="0.3">
      <c r="A2982" s="990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9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  <c r="Q2982" s="2"/>
      <c r="R2982" s="2"/>
    </row>
    <row r="2983" spans="1:18" ht="18.75" hidden="1" customHeight="1" thickBot="1" x14ac:dyDescent="0.3">
      <c r="A2983" s="995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993" t="s">
        <v>72</v>
      </c>
      <c r="H2983" s="48" t="s">
        <v>687</v>
      </c>
      <c r="I2983" s="163" t="s">
        <v>688</v>
      </c>
      <c r="J2983" s="52"/>
      <c r="K2983" s="48" t="str">
        <f t="shared" si="89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  <c r="Q2983" s="2"/>
      <c r="R2983" s="2"/>
    </row>
    <row r="2984" spans="1:18" ht="19.5" hidden="1" thickBot="1" x14ac:dyDescent="0.3">
      <c r="A2984" s="995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993"/>
      <c r="H2984" s="293" t="s">
        <v>687</v>
      </c>
      <c r="I2984" s="388" t="s">
        <v>689</v>
      </c>
      <c r="J2984" s="296"/>
      <c r="K2984" s="293" t="str">
        <f t="shared" si="89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  <c r="Q2984" s="2"/>
      <c r="R2984" s="2"/>
    </row>
    <row r="2985" spans="1:18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9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  <c r="Q2985" s="2"/>
      <c r="R2985" s="2"/>
    </row>
    <row r="2986" spans="1:18" ht="19.5" hidden="1" thickBot="1" x14ac:dyDescent="0.3">
      <c r="A2986" s="991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9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  <c r="Q2986" s="2"/>
      <c r="R2986" s="2"/>
    </row>
    <row r="2987" spans="1:18" ht="19.5" hidden="1" thickBot="1" x14ac:dyDescent="0.3">
      <c r="A2987" s="991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9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  <c r="Q2987" s="2"/>
      <c r="R2987" s="2"/>
    </row>
    <row r="2988" spans="1:18" ht="19.5" hidden="1" thickBot="1" x14ac:dyDescent="0.3">
      <c r="A2988" s="990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9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  <c r="Q2988" s="2"/>
      <c r="R2988" s="2"/>
    </row>
    <row r="2989" spans="1:18" ht="19.5" hidden="1" thickBot="1" x14ac:dyDescent="0.3">
      <c r="A2989" s="990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9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  <c r="Q2989" s="2"/>
      <c r="R2989" s="2"/>
    </row>
    <row r="2990" spans="1:18" ht="19.5" hidden="1" thickBot="1" x14ac:dyDescent="0.3">
      <c r="A2990" s="991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9"/>
        <v>12,24</v>
      </c>
      <c r="L2990" s="48" t="s">
        <v>28</v>
      </c>
      <c r="M2990" s="48">
        <v>1438.72</v>
      </c>
      <c r="N2990" s="315">
        <v>0.5</v>
      </c>
      <c r="O2990" s="2"/>
      <c r="P2990" s="2"/>
      <c r="Q2990" s="2"/>
      <c r="R2990" s="2"/>
    </row>
    <row r="2991" spans="1:18" ht="19.5" hidden="1" thickBot="1" x14ac:dyDescent="0.3">
      <c r="A2991" s="991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9"/>
        <v>12,24</v>
      </c>
      <c r="L2991" s="23" t="s">
        <v>28</v>
      </c>
      <c r="M2991" s="23">
        <v>13234.81</v>
      </c>
      <c r="N2991" s="329">
        <v>0.5</v>
      </c>
      <c r="O2991" s="2"/>
      <c r="P2991" s="2"/>
      <c r="Q2991" s="2"/>
      <c r="R2991" s="2"/>
    </row>
    <row r="2992" spans="1:18" ht="19.5" hidden="1" thickBot="1" x14ac:dyDescent="0.3">
      <c r="A2992" s="991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9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  <c r="Q2992" s="2"/>
      <c r="R2992" s="2"/>
    </row>
    <row r="2993" spans="1:18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9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  <c r="Q2993" s="2"/>
      <c r="R2993" s="2"/>
    </row>
    <row r="2994" spans="1:18" ht="19.5" hidden="1" thickBot="1" x14ac:dyDescent="0.3">
      <c r="A2994" s="995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9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  <c r="Q2994" s="2"/>
      <c r="R2994" s="2"/>
    </row>
    <row r="2995" spans="1:18" ht="19.5" hidden="1" thickBot="1" x14ac:dyDescent="0.3">
      <c r="A2995" s="995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9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  <c r="Q2995" s="2"/>
      <c r="R2995" s="2"/>
    </row>
    <row r="2996" spans="1:18" ht="19.5" hidden="1" thickBot="1" x14ac:dyDescent="0.3">
      <c r="A2996" s="995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9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  <c r="Q2996" s="2"/>
      <c r="R2996" s="2"/>
    </row>
    <row r="2997" spans="1:18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9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  <c r="Q2997" s="2"/>
      <c r="R2997" s="2"/>
    </row>
    <row r="2998" spans="1:18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9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  <c r="Q2998" s="2"/>
      <c r="R2998" s="2"/>
    </row>
    <row r="2999" spans="1:18" ht="19.5" hidden="1" thickBot="1" x14ac:dyDescent="0.3">
      <c r="A2999" s="996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9"/>
        <v>12,24</v>
      </c>
      <c r="L2999" s="82" t="s">
        <v>266</v>
      </c>
      <c r="M2999" s="82">
        <v>896.49</v>
      </c>
      <c r="N2999" s="319">
        <v>0.5</v>
      </c>
      <c r="O2999" s="2"/>
      <c r="P2999" s="2"/>
      <c r="Q2999" s="2"/>
      <c r="R2999" s="2"/>
    </row>
    <row r="3000" spans="1:18" ht="19.5" hidden="1" thickBot="1" x14ac:dyDescent="0.3">
      <c r="A3000" s="996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9"/>
        <v>12,24</v>
      </c>
      <c r="L3000" s="98" t="s">
        <v>266</v>
      </c>
      <c r="M3000" s="98">
        <v>4542.96</v>
      </c>
      <c r="N3000" s="364">
        <v>0.5</v>
      </c>
      <c r="O3000" s="2"/>
      <c r="P3000" s="2"/>
      <c r="Q3000" s="2"/>
      <c r="R3000" s="2"/>
    </row>
    <row r="3001" spans="1:18" ht="19.5" hidden="1" thickBot="1" x14ac:dyDescent="0.3">
      <c r="A3001" s="996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9"/>
        <v>12,24</v>
      </c>
      <c r="L3001" s="98" t="s">
        <v>266</v>
      </c>
      <c r="M3001" s="98">
        <v>665.92</v>
      </c>
      <c r="N3001" s="364">
        <v>0.5</v>
      </c>
      <c r="O3001" s="2"/>
      <c r="P3001" s="2"/>
      <c r="Q3001" s="2"/>
      <c r="R3001" s="2"/>
    </row>
    <row r="3002" spans="1:18" ht="19.5" hidden="1" thickBot="1" x14ac:dyDescent="0.3">
      <c r="A3002" s="996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9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  <c r="Q3002" s="2"/>
      <c r="R3002" s="2"/>
    </row>
    <row r="3003" spans="1:18" ht="19.5" hidden="1" thickBot="1" x14ac:dyDescent="0.3">
      <c r="A3003" s="996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2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  <c r="Q3003" s="2"/>
      <c r="R3003" s="2"/>
    </row>
    <row r="3004" spans="1:18" ht="19.5" hidden="1" thickBot="1" x14ac:dyDescent="0.3">
      <c r="A3004" s="996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2"/>
        <v>12,24</v>
      </c>
      <c r="L3004" s="65" t="s">
        <v>266</v>
      </c>
      <c r="M3004" s="65">
        <v>1006.2</v>
      </c>
      <c r="N3004" s="434">
        <v>0.5</v>
      </c>
      <c r="O3004" s="2"/>
      <c r="P3004" s="2"/>
      <c r="Q3004" s="2"/>
      <c r="R3004" s="2"/>
    </row>
    <row r="3005" spans="1:18" ht="19.5" hidden="1" thickBot="1" x14ac:dyDescent="0.3">
      <c r="A3005" s="991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2"/>
        <v>12,24</v>
      </c>
      <c r="L3005" s="48" t="s">
        <v>265</v>
      </c>
      <c r="M3005" s="48">
        <v>10619.22</v>
      </c>
      <c r="N3005" s="315">
        <v>0.375</v>
      </c>
      <c r="O3005" s="2"/>
      <c r="P3005" s="2"/>
      <c r="Q3005" s="2"/>
      <c r="R3005" s="2"/>
    </row>
    <row r="3006" spans="1:18" ht="19.5" hidden="1" thickBot="1" x14ac:dyDescent="0.3">
      <c r="A3006" s="991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2"/>
        <v>12,24</v>
      </c>
      <c r="L3006" s="71" t="s">
        <v>265</v>
      </c>
      <c r="M3006" s="71">
        <v>6404.8</v>
      </c>
      <c r="N3006" s="323">
        <v>0.375</v>
      </c>
      <c r="O3006" s="2"/>
      <c r="P3006" s="2"/>
      <c r="Q3006" s="2"/>
      <c r="R3006" s="2"/>
    </row>
    <row r="3007" spans="1:18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2"/>
        <v>12,24</v>
      </c>
      <c r="L3007" s="40" t="s">
        <v>265</v>
      </c>
      <c r="M3007" s="40">
        <v>17239.98</v>
      </c>
      <c r="N3007" s="317">
        <v>0.375</v>
      </c>
      <c r="O3007" s="2"/>
      <c r="P3007" s="2"/>
      <c r="Q3007" s="2"/>
      <c r="R3007" s="2"/>
    </row>
    <row r="3008" spans="1:18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2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  <c r="Q3008" s="2"/>
      <c r="R3008" s="2"/>
    </row>
    <row r="3009" spans="1:18" ht="19.5" hidden="1" thickBot="1" x14ac:dyDescent="0.3">
      <c r="A3009" s="990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2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  <c r="Q3009" s="2"/>
      <c r="R3009" s="2"/>
    </row>
    <row r="3010" spans="1:18" ht="19.5" hidden="1" thickBot="1" x14ac:dyDescent="0.3">
      <c r="A3010" s="990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2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  <c r="Q3010" s="2"/>
      <c r="R3010" s="2"/>
    </row>
    <row r="3011" spans="1:18" ht="57" hidden="1" thickBot="1" x14ac:dyDescent="0.3">
      <c r="A3011" s="990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2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  <c r="Q3011" s="2"/>
      <c r="R3011" s="2"/>
    </row>
    <row r="3012" spans="1:18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2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  <c r="Q3012" s="2"/>
      <c r="R3012" s="2"/>
    </row>
    <row r="3013" spans="1:18" ht="19.5" hidden="1" thickBot="1" x14ac:dyDescent="0.3">
      <c r="A3013" s="990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2"/>
        <v>12,24</v>
      </c>
      <c r="L3013" s="82" t="s">
        <v>28</v>
      </c>
      <c r="M3013" s="82">
        <v>3750</v>
      </c>
      <c r="N3013" s="319">
        <v>0.5</v>
      </c>
      <c r="O3013" s="2"/>
      <c r="P3013" s="2"/>
      <c r="Q3013" s="2"/>
      <c r="R3013" s="2"/>
    </row>
    <row r="3014" spans="1:18" ht="19.5" hidden="1" thickBot="1" x14ac:dyDescent="0.3">
      <c r="A3014" s="990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2"/>
        <v>12,24</v>
      </c>
      <c r="L3014" s="90" t="s">
        <v>28</v>
      </c>
      <c r="M3014" s="90">
        <v>13490.91</v>
      </c>
      <c r="N3014" s="325">
        <v>0.5</v>
      </c>
      <c r="O3014" s="2"/>
      <c r="P3014" s="2"/>
      <c r="Q3014" s="2"/>
      <c r="R3014" s="2"/>
    </row>
    <row r="3015" spans="1:18" ht="19.5" hidden="1" thickBot="1" x14ac:dyDescent="0.3">
      <c r="A3015" s="991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2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  <c r="Q3015" s="2"/>
      <c r="R3015" s="2"/>
    </row>
    <row r="3016" spans="1:18" ht="19.5" hidden="1" thickBot="1" x14ac:dyDescent="0.3">
      <c r="A3016" s="991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2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  <c r="Q3016" s="2"/>
      <c r="R3016" s="2"/>
    </row>
    <row r="3017" spans="1:18" ht="19.5" hidden="1" thickBot="1" x14ac:dyDescent="0.3">
      <c r="A3017" s="991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2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  <c r="Q3017" s="2"/>
      <c r="R3017" s="2"/>
    </row>
    <row r="3018" spans="1:18" ht="18.75" hidden="1" customHeight="1" thickBot="1" x14ac:dyDescent="0.3">
      <c r="A3018" s="996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992" t="s">
        <v>72</v>
      </c>
      <c r="H3018" s="122" t="s">
        <v>693</v>
      </c>
      <c r="I3018" s="147" t="s">
        <v>695</v>
      </c>
      <c r="J3018" s="86"/>
      <c r="K3018" s="122" t="str">
        <f t="shared" si="92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  <c r="Q3018" s="2"/>
      <c r="R3018" s="2"/>
    </row>
    <row r="3019" spans="1:18" ht="19.5" hidden="1" thickBot="1" x14ac:dyDescent="0.3">
      <c r="A3019" s="996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992"/>
      <c r="H3019" s="109" t="s">
        <v>693</v>
      </c>
      <c r="I3019" s="174" t="s">
        <v>695</v>
      </c>
      <c r="J3019" s="102" t="s">
        <v>76</v>
      </c>
      <c r="K3019" s="109" t="str">
        <f t="shared" si="92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  <c r="Q3019" s="2"/>
      <c r="R3019" s="2"/>
    </row>
    <row r="3020" spans="1:18" ht="19.5" hidden="1" thickBot="1" x14ac:dyDescent="0.3">
      <c r="A3020" s="996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992"/>
      <c r="H3020" s="129" t="s">
        <v>693</v>
      </c>
      <c r="I3020" s="456" t="s">
        <v>695</v>
      </c>
      <c r="J3020" s="132"/>
      <c r="K3020" s="129" t="str">
        <f t="shared" si="92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  <c r="Q3020" s="2"/>
      <c r="R3020" s="2"/>
    </row>
    <row r="3021" spans="1:18" ht="19.5" hidden="1" thickBot="1" x14ac:dyDescent="0.3">
      <c r="A3021" s="111">
        <f t="shared" ref="A3021:A3027" si="93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2"/>
        <v>12,24</v>
      </c>
      <c r="L3021" s="75" t="s">
        <v>265</v>
      </c>
      <c r="M3021" s="75">
        <v>17200.5</v>
      </c>
      <c r="N3021" s="322">
        <v>0.375</v>
      </c>
      <c r="O3021" s="2"/>
      <c r="P3021" s="2"/>
      <c r="Q3021" s="2"/>
      <c r="R3021" s="2"/>
    </row>
    <row r="3022" spans="1:18" ht="38.25" hidden="1" thickBot="1" x14ac:dyDescent="0.3">
      <c r="A3022" s="110">
        <f t="shared" si="93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2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  <c r="Q3022" s="2"/>
      <c r="R3022" s="2"/>
    </row>
    <row r="3023" spans="1:18" ht="19.5" hidden="1" thickBot="1" x14ac:dyDescent="0.3">
      <c r="A3023" s="111">
        <f t="shared" si="93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2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  <c r="Q3023" s="2"/>
      <c r="R3023" s="2"/>
    </row>
    <row r="3024" spans="1:18" ht="57" hidden="1" thickBot="1" x14ac:dyDescent="0.3">
      <c r="A3024" s="110">
        <f t="shared" si="93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2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  <c r="Q3024" s="2"/>
      <c r="R3024" s="2"/>
    </row>
    <row r="3025" spans="1:18" ht="19.5" hidden="1" thickBot="1" x14ac:dyDescent="0.3">
      <c r="A3025" s="111">
        <f t="shared" si="93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2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  <c r="Q3025" s="2"/>
      <c r="R3025" s="2"/>
    </row>
    <row r="3026" spans="1:18" ht="19.5" hidden="1" thickBot="1" x14ac:dyDescent="0.3">
      <c r="A3026" s="110">
        <f t="shared" si="93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2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  <c r="Q3026" s="2"/>
      <c r="R3026" s="2"/>
    </row>
    <row r="3027" spans="1:18" ht="19.5" hidden="1" thickBot="1" x14ac:dyDescent="0.3">
      <c r="A3027" s="991">
        <f t="shared" si="93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2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  <c r="Q3027" s="2"/>
      <c r="R3027" s="2"/>
    </row>
    <row r="3028" spans="1:18" ht="19.5" hidden="1" thickBot="1" x14ac:dyDescent="0.3">
      <c r="A3028" s="991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2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  <c r="Q3028" s="2"/>
      <c r="R3028" s="2"/>
    </row>
    <row r="3029" spans="1:18" ht="19.5" hidden="1" thickBot="1" x14ac:dyDescent="0.3">
      <c r="A3029" s="990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2"/>
        <v>12,24</v>
      </c>
      <c r="L3029" s="82" t="s">
        <v>28</v>
      </c>
      <c r="M3029" s="82">
        <v>1737.6</v>
      </c>
      <c r="N3029" s="319">
        <v>0.625</v>
      </c>
      <c r="O3029" s="2"/>
      <c r="P3029" s="2"/>
      <c r="Q3029" s="2"/>
      <c r="R3029" s="2"/>
    </row>
    <row r="3030" spans="1:18" ht="19.5" hidden="1" thickBot="1" x14ac:dyDescent="0.3">
      <c r="A3030" s="990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2"/>
        <v>12,24</v>
      </c>
      <c r="L3030" s="90" t="s">
        <v>28</v>
      </c>
      <c r="M3030" s="90">
        <v>15485.46</v>
      </c>
      <c r="N3030" s="325">
        <v>0.625</v>
      </c>
      <c r="O3030" s="2"/>
      <c r="P3030" s="2"/>
      <c r="Q3030" s="2"/>
      <c r="R3030" s="2"/>
    </row>
    <row r="3031" spans="1:18" ht="19.5" hidden="1" thickBot="1" x14ac:dyDescent="0.3">
      <c r="A3031" s="991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2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  <c r="Q3031" s="2"/>
      <c r="R3031" s="2"/>
    </row>
    <row r="3032" spans="1:18" ht="19.5" hidden="1" thickBot="1" x14ac:dyDescent="0.3">
      <c r="A3032" s="991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2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  <c r="Q3032" s="2"/>
      <c r="R3032" s="2"/>
    </row>
    <row r="3033" spans="1:18" ht="19.5" hidden="1" thickBot="1" x14ac:dyDescent="0.3">
      <c r="A3033" s="991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2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  <c r="Q3033" s="2"/>
      <c r="R3033" s="2"/>
    </row>
    <row r="3034" spans="1:18" ht="19.5" hidden="1" thickBot="1" x14ac:dyDescent="0.3">
      <c r="A3034" s="990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2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  <c r="Q3034" s="2"/>
      <c r="R3034" s="2"/>
    </row>
    <row r="3035" spans="1:18" ht="19.5" hidden="1" thickBot="1" x14ac:dyDescent="0.3">
      <c r="A3035" s="990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2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  <c r="Q3035" s="2"/>
      <c r="R3035" s="2"/>
    </row>
    <row r="3036" spans="1:18" ht="19.5" hidden="1" thickBot="1" x14ac:dyDescent="0.3">
      <c r="A3036" s="991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2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  <c r="Q3036" s="2"/>
      <c r="R3036" s="2"/>
    </row>
    <row r="3037" spans="1:18" ht="19.5" hidden="1" thickBot="1" x14ac:dyDescent="0.3">
      <c r="A3037" s="991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2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  <c r="Q3037" s="2"/>
      <c r="R3037" s="2"/>
    </row>
    <row r="3038" spans="1:18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2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  <c r="Q3038" s="2"/>
      <c r="R3038" s="2"/>
    </row>
    <row r="3039" spans="1:18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2"/>
        <v>12,24</v>
      </c>
      <c r="L3039" s="75" t="s">
        <v>28</v>
      </c>
      <c r="M3039" s="75">
        <v>15711</v>
      </c>
      <c r="N3039" s="322">
        <v>0.75</v>
      </c>
      <c r="O3039" s="2"/>
      <c r="P3039" s="2"/>
      <c r="Q3039" s="2"/>
      <c r="R3039" s="2"/>
    </row>
    <row r="3040" spans="1:18" ht="19.5" hidden="1" thickBot="1" x14ac:dyDescent="0.3">
      <c r="A3040" s="996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2"/>
        <v>12,24</v>
      </c>
      <c r="L3040" s="82" t="s">
        <v>266</v>
      </c>
      <c r="M3040" s="82">
        <v>10700.19</v>
      </c>
      <c r="N3040" s="319">
        <v>0.5</v>
      </c>
      <c r="O3040" s="2"/>
      <c r="P3040" s="2"/>
      <c r="Q3040" s="2"/>
      <c r="R3040" s="2"/>
    </row>
    <row r="3041" spans="1:18" ht="19.5" hidden="1" thickBot="1" x14ac:dyDescent="0.3">
      <c r="A3041" s="996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2"/>
        <v>12,24</v>
      </c>
      <c r="L3041" s="65" t="s">
        <v>28</v>
      </c>
      <c r="M3041" s="65">
        <v>3448.44</v>
      </c>
      <c r="N3041" s="434">
        <v>0.5</v>
      </c>
      <c r="O3041" s="2"/>
      <c r="P3041" s="2"/>
      <c r="Q3041" s="2"/>
      <c r="R3041" s="2"/>
    </row>
    <row r="3042" spans="1:18" ht="19.5" hidden="1" thickBot="1" x14ac:dyDescent="0.3">
      <c r="A3042" s="991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2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  <c r="Q3042" s="2"/>
      <c r="R3042" s="2"/>
    </row>
    <row r="3043" spans="1:18" ht="19.5" hidden="1" thickBot="1" x14ac:dyDescent="0.3">
      <c r="A3043" s="991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2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  <c r="Q3043" s="2"/>
      <c r="R3043" s="2"/>
    </row>
    <row r="3044" spans="1:18" ht="19.5" hidden="1" thickBot="1" x14ac:dyDescent="0.3">
      <c r="A3044" s="990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2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  <c r="Q3044" s="2"/>
      <c r="R3044" s="2"/>
    </row>
    <row r="3045" spans="1:18" ht="19.5" hidden="1" thickBot="1" x14ac:dyDescent="0.3">
      <c r="A3045" s="990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2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  <c r="Q3045" s="2"/>
      <c r="R3045" s="2"/>
    </row>
    <row r="3046" spans="1:18" ht="19.5" hidden="1" thickBot="1" x14ac:dyDescent="0.3">
      <c r="A3046" s="991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2"/>
        <v>12,24</v>
      </c>
      <c r="L3046" s="48" t="s">
        <v>28</v>
      </c>
      <c r="M3046" s="48">
        <v>2985</v>
      </c>
      <c r="N3046" s="315">
        <v>0.5</v>
      </c>
      <c r="O3046" s="2"/>
      <c r="P3046" s="2"/>
      <c r="Q3046" s="2"/>
      <c r="R3046" s="2"/>
    </row>
    <row r="3047" spans="1:18" ht="19.5" hidden="1" thickBot="1" x14ac:dyDescent="0.3">
      <c r="A3047" s="991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2"/>
        <v>12,24</v>
      </c>
      <c r="L3047" s="71" t="s">
        <v>266</v>
      </c>
      <c r="M3047" s="71">
        <v>15066.6</v>
      </c>
      <c r="N3047" s="323">
        <v>0.5</v>
      </c>
      <c r="O3047" s="2"/>
      <c r="P3047" s="2"/>
      <c r="Q3047" s="2"/>
      <c r="R3047" s="2"/>
    </row>
    <row r="3048" spans="1:18" ht="18.75" hidden="1" customHeight="1" thickBot="1" x14ac:dyDescent="0.3">
      <c r="A3048" s="990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992" t="s">
        <v>467</v>
      </c>
      <c r="H3048" s="82" t="s">
        <v>698</v>
      </c>
      <c r="I3048" s="147" t="s">
        <v>698</v>
      </c>
      <c r="J3048" s="86"/>
      <c r="K3048" s="82" t="str">
        <f t="shared" si="92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  <c r="Q3048" s="2"/>
      <c r="R3048" s="2"/>
    </row>
    <row r="3049" spans="1:18" ht="19.5" hidden="1" thickBot="1" x14ac:dyDescent="0.3">
      <c r="A3049" s="990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992"/>
      <c r="H3049" s="98" t="s">
        <v>698</v>
      </c>
      <c r="I3049" s="181" t="s">
        <v>698</v>
      </c>
      <c r="J3049" s="102"/>
      <c r="K3049" s="98" t="str">
        <f t="shared" si="92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  <c r="Q3049" s="2"/>
      <c r="R3049" s="2"/>
    </row>
    <row r="3050" spans="1:18" ht="19.5" hidden="1" thickBot="1" x14ac:dyDescent="0.3">
      <c r="A3050" s="990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992"/>
      <c r="H3050" s="98" t="s">
        <v>698</v>
      </c>
      <c r="I3050" s="181" t="s">
        <v>698</v>
      </c>
      <c r="J3050" s="102" t="s">
        <v>28</v>
      </c>
      <c r="K3050" s="98" t="str">
        <f t="shared" si="92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  <c r="Q3050" s="2"/>
      <c r="R3050" s="2"/>
    </row>
    <row r="3051" spans="1:18" ht="19.5" hidden="1" thickBot="1" x14ac:dyDescent="0.3">
      <c r="A3051" s="990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992"/>
      <c r="H3051" s="90" t="s">
        <v>698</v>
      </c>
      <c r="I3051" s="172" t="s">
        <v>698</v>
      </c>
      <c r="J3051" s="94" t="s">
        <v>266</v>
      </c>
      <c r="K3051" s="90" t="str">
        <f t="shared" si="92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  <c r="Q3051" s="2"/>
      <c r="R3051" s="2"/>
    </row>
    <row r="3052" spans="1:18" ht="19.5" hidden="1" thickBot="1" x14ac:dyDescent="0.3">
      <c r="A3052" s="995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2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  <c r="Q3052" s="2"/>
      <c r="R3052" s="2"/>
    </row>
    <row r="3053" spans="1:18" ht="19.5" hidden="1" thickBot="1" x14ac:dyDescent="0.3">
      <c r="A3053" s="995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2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  <c r="Q3053" s="2"/>
      <c r="R3053" s="2"/>
    </row>
    <row r="3054" spans="1:18" ht="19.5" hidden="1" thickBot="1" x14ac:dyDescent="0.3">
      <c r="A3054" s="995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2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  <c r="Q3054" s="2"/>
      <c r="R3054" s="2"/>
    </row>
    <row r="3055" spans="1:18" ht="19.5" hidden="1" thickBot="1" x14ac:dyDescent="0.3">
      <c r="A3055" s="995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2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  <c r="Q3055" s="2"/>
      <c r="R3055" s="2"/>
    </row>
    <row r="3056" spans="1:18" ht="19.5" hidden="1" thickBot="1" x14ac:dyDescent="0.3">
      <c r="A3056" s="995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2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  <c r="Q3056" s="2"/>
      <c r="R3056" s="2"/>
    </row>
    <row r="3057" spans="1:18" ht="19.5" hidden="1" thickBot="1" x14ac:dyDescent="0.3">
      <c r="A3057" s="990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2"/>
        <v>12,24</v>
      </c>
      <c r="L3057" s="82" t="s">
        <v>265</v>
      </c>
      <c r="M3057" s="82">
        <v>12898.12</v>
      </c>
      <c r="N3057" s="319">
        <v>0.375</v>
      </c>
      <c r="O3057" s="2"/>
      <c r="P3057" s="2"/>
      <c r="Q3057" s="2"/>
      <c r="R3057" s="2"/>
    </row>
    <row r="3058" spans="1:18" ht="19.5" hidden="1" thickBot="1" x14ac:dyDescent="0.3">
      <c r="A3058" s="990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2"/>
        <v>12,24</v>
      </c>
      <c r="L3058" s="90" t="s">
        <v>265</v>
      </c>
      <c r="M3058" s="90">
        <v>4040.2</v>
      </c>
      <c r="N3058" s="325">
        <v>0.375</v>
      </c>
      <c r="O3058" s="2"/>
      <c r="P3058" s="2"/>
      <c r="Q3058" s="2"/>
      <c r="R3058" s="2"/>
    </row>
    <row r="3059" spans="1:18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2"/>
        <v>12,24</v>
      </c>
      <c r="L3059" s="75" t="s">
        <v>265</v>
      </c>
      <c r="M3059" s="75">
        <v>17382.2</v>
      </c>
      <c r="N3059" s="322">
        <v>0.375</v>
      </c>
      <c r="O3059" s="2"/>
      <c r="P3059" s="2"/>
      <c r="Q3059" s="2"/>
      <c r="R3059" s="2"/>
    </row>
    <row r="3060" spans="1:18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2"/>
        <v>12,24</v>
      </c>
      <c r="L3060" s="40" t="s">
        <v>265</v>
      </c>
      <c r="M3060" s="40">
        <v>11307.52</v>
      </c>
      <c r="N3060" s="317">
        <v>0.375</v>
      </c>
      <c r="O3060" s="2"/>
      <c r="P3060" s="2"/>
      <c r="Q3060" s="2"/>
      <c r="R3060" s="2"/>
    </row>
    <row r="3061" spans="1:18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2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  <c r="Q3061" s="2"/>
      <c r="R3061" s="2"/>
    </row>
    <row r="3062" spans="1:18" ht="18.75" hidden="1" customHeight="1" thickBot="1" x14ac:dyDescent="0.3">
      <c r="A3062" s="990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992" t="s">
        <v>72</v>
      </c>
      <c r="H3062" s="122" t="s">
        <v>701</v>
      </c>
      <c r="I3062" s="147" t="s">
        <v>701</v>
      </c>
      <c r="J3062" s="86"/>
      <c r="K3062" s="122" t="str">
        <f t="shared" si="92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  <c r="Q3062" s="2"/>
      <c r="R3062" s="2"/>
    </row>
    <row r="3063" spans="1:18" ht="19.5" hidden="1" thickBot="1" x14ac:dyDescent="0.3">
      <c r="A3063" s="990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992"/>
      <c r="H3063" s="109" t="s">
        <v>701</v>
      </c>
      <c r="I3063" s="174" t="s">
        <v>701</v>
      </c>
      <c r="J3063" s="102" t="s">
        <v>76</v>
      </c>
      <c r="K3063" s="109" t="str">
        <f t="shared" si="92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  <c r="Q3063" s="2"/>
      <c r="R3063" s="2"/>
    </row>
    <row r="3064" spans="1:18" ht="19.5" hidden="1" thickBot="1" x14ac:dyDescent="0.3">
      <c r="A3064" s="990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992"/>
      <c r="H3064" s="90" t="s">
        <v>701</v>
      </c>
      <c r="I3064" s="172" t="s">
        <v>701</v>
      </c>
      <c r="J3064" s="173"/>
      <c r="K3064" s="90" t="str">
        <f t="shared" si="92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  <c r="Q3064" s="2"/>
      <c r="R3064" s="2"/>
    </row>
    <row r="3065" spans="1:18" ht="19.5" hidden="1" thickBot="1" x14ac:dyDescent="0.3">
      <c r="A3065" s="991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2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  <c r="Q3065" s="2"/>
      <c r="R3065" s="2"/>
    </row>
    <row r="3066" spans="1:18" ht="19.5" hidden="1" thickBot="1" x14ac:dyDescent="0.3">
      <c r="A3066" s="991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2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  <c r="Q3066" s="2"/>
      <c r="R3066" s="2"/>
    </row>
    <row r="3067" spans="1:18" ht="19.5" hidden="1" thickBot="1" x14ac:dyDescent="0.3">
      <c r="A3067" s="996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4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  <c r="Q3067" s="2"/>
      <c r="R3067" s="2"/>
    </row>
    <row r="3068" spans="1:18" ht="19.5" hidden="1" thickBot="1" x14ac:dyDescent="0.3">
      <c r="A3068" s="996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4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  <c r="Q3068" s="2"/>
      <c r="R3068" s="2"/>
    </row>
    <row r="3069" spans="1:18" ht="19.5" hidden="1" thickBot="1" x14ac:dyDescent="0.3">
      <c r="A3069" s="996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4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  <c r="Q3069" s="2"/>
      <c r="R3069" s="2"/>
    </row>
    <row r="3070" spans="1:18" ht="19.5" hidden="1" thickBot="1" x14ac:dyDescent="0.3">
      <c r="A3070" s="991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4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  <c r="Q3070" s="2"/>
      <c r="R3070" s="2"/>
    </row>
    <row r="3071" spans="1:18" ht="19.5" hidden="1" thickBot="1" x14ac:dyDescent="0.3">
      <c r="A3071" s="991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4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  <c r="Q3071" s="2"/>
      <c r="R3071" s="2"/>
    </row>
    <row r="3072" spans="1:18" ht="38.25" hidden="1" thickBot="1" x14ac:dyDescent="0.3">
      <c r="A3072" s="990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4"/>
        <v>12,24</v>
      </c>
      <c r="L3072" s="82" t="s">
        <v>266</v>
      </c>
      <c r="M3072" s="82">
        <v>8518.56</v>
      </c>
      <c r="N3072" s="319">
        <v>0.5</v>
      </c>
      <c r="O3072" s="2"/>
      <c r="P3072" s="2"/>
      <c r="Q3072" s="2"/>
      <c r="R3072" s="2"/>
    </row>
    <row r="3073" spans="1:18" ht="38.25" hidden="1" thickBot="1" x14ac:dyDescent="0.3">
      <c r="A3073" s="990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4"/>
        <v>12,24</v>
      </c>
      <c r="L3073" s="90" t="s">
        <v>28</v>
      </c>
      <c r="M3073" s="90">
        <v>8009.76</v>
      </c>
      <c r="N3073" s="325">
        <v>0.5</v>
      </c>
      <c r="O3073" s="2"/>
      <c r="P3073" s="2"/>
      <c r="Q3073" s="2"/>
      <c r="R3073" s="2"/>
    </row>
    <row r="3074" spans="1:18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4"/>
        <v>12,24</v>
      </c>
      <c r="L3074" s="75" t="s">
        <v>265</v>
      </c>
      <c r="M3074" s="75">
        <v>17214.18</v>
      </c>
      <c r="N3074" s="322">
        <v>0.375</v>
      </c>
      <c r="O3074" s="2"/>
      <c r="P3074" s="2"/>
      <c r="Q3074" s="2"/>
      <c r="R3074" s="2"/>
    </row>
    <row r="3075" spans="1:18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4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  <c r="Q3075" s="2"/>
      <c r="R3075" s="2"/>
    </row>
    <row r="3076" spans="1:18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4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  <c r="Q3076" s="2"/>
      <c r="R3076" s="2"/>
    </row>
    <row r="3077" spans="1:18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4"/>
        <v>12,24</v>
      </c>
      <c r="L3077" s="40" t="s">
        <v>28</v>
      </c>
      <c r="M3077" s="40">
        <v>17099.23</v>
      </c>
      <c r="N3077" s="317">
        <v>0.5</v>
      </c>
      <c r="O3077" s="2"/>
      <c r="P3077" s="2"/>
      <c r="Q3077" s="2"/>
      <c r="R3077" s="2"/>
    </row>
    <row r="3078" spans="1:18" ht="19.5" hidden="1" thickBot="1" x14ac:dyDescent="0.3">
      <c r="A3078" s="991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4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  <c r="Q3078" s="2"/>
      <c r="R3078" s="2"/>
    </row>
    <row r="3079" spans="1:18" ht="19.5" hidden="1" thickBot="1" x14ac:dyDescent="0.3">
      <c r="A3079" s="991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4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  <c r="Q3079" s="2"/>
      <c r="R3079" s="2"/>
    </row>
    <row r="3080" spans="1:18" ht="19.5" hidden="1" thickBot="1" x14ac:dyDescent="0.3">
      <c r="A3080" s="990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4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  <c r="Q3080" s="2"/>
      <c r="R3080" s="2"/>
    </row>
    <row r="3081" spans="1:18" ht="19.5" hidden="1" thickBot="1" x14ac:dyDescent="0.3">
      <c r="A3081" s="990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4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  <c r="Q3081" s="2"/>
      <c r="R3081" s="2"/>
    </row>
    <row r="3082" spans="1:18" ht="19.5" hidden="1" thickBot="1" x14ac:dyDescent="0.3">
      <c r="A3082" s="990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4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  <c r="Q3082" s="2"/>
      <c r="R3082" s="2"/>
    </row>
    <row r="3083" spans="1:18" ht="19.5" hidden="1" thickBot="1" x14ac:dyDescent="0.3">
      <c r="A3083" s="991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4"/>
        <v>12,24</v>
      </c>
      <c r="L3083" s="48" t="s">
        <v>266</v>
      </c>
      <c r="M3083" s="48">
        <v>707.4</v>
      </c>
      <c r="N3083" s="315">
        <v>0.625</v>
      </c>
      <c r="O3083" s="2"/>
      <c r="P3083" s="2"/>
      <c r="Q3083" s="2"/>
      <c r="R3083" s="2"/>
    </row>
    <row r="3084" spans="1:18" ht="19.5" hidden="1" thickBot="1" x14ac:dyDescent="0.3">
      <c r="A3084" s="991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4"/>
        <v>12,24</v>
      </c>
      <c r="L3084" s="23" t="s">
        <v>28</v>
      </c>
      <c r="M3084" s="23">
        <v>5819.22</v>
      </c>
      <c r="N3084" s="329">
        <v>0.625</v>
      </c>
      <c r="O3084" s="2"/>
      <c r="P3084" s="2"/>
      <c r="Q3084" s="2"/>
      <c r="R3084" s="2"/>
    </row>
    <row r="3085" spans="1:18" ht="19.5" hidden="1" thickBot="1" x14ac:dyDescent="0.3">
      <c r="A3085" s="991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4"/>
        <v>12,24</v>
      </c>
      <c r="L3085" s="23" t="s">
        <v>28</v>
      </c>
      <c r="M3085" s="23">
        <v>3807.5</v>
      </c>
      <c r="N3085" s="329">
        <v>0.625</v>
      </c>
      <c r="O3085" s="2"/>
      <c r="P3085" s="2"/>
      <c r="Q3085" s="2"/>
      <c r="R3085" s="2"/>
    </row>
    <row r="3086" spans="1:18" ht="19.5" hidden="1" thickBot="1" x14ac:dyDescent="0.3">
      <c r="A3086" s="991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4"/>
        <v>12,24</v>
      </c>
      <c r="L3086" s="23" t="s">
        <v>28</v>
      </c>
      <c r="M3086" s="23">
        <v>3624</v>
      </c>
      <c r="N3086" s="329">
        <v>0.625</v>
      </c>
      <c r="O3086" s="2"/>
      <c r="P3086" s="2"/>
      <c r="Q3086" s="2"/>
      <c r="R3086" s="2"/>
    </row>
    <row r="3087" spans="1:18" ht="19.5" hidden="1" thickBot="1" x14ac:dyDescent="0.3">
      <c r="A3087" s="991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4"/>
        <v>12,24</v>
      </c>
      <c r="L3087" s="71" t="s">
        <v>28</v>
      </c>
      <c r="M3087" s="71">
        <v>3158.5</v>
      </c>
      <c r="N3087" s="323">
        <v>0.625</v>
      </c>
      <c r="O3087" s="2"/>
      <c r="P3087" s="2"/>
      <c r="Q3087" s="2"/>
      <c r="R3087" s="2"/>
    </row>
    <row r="3088" spans="1:18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4"/>
        <v>12,24</v>
      </c>
      <c r="L3088" s="40" t="s">
        <v>265</v>
      </c>
      <c r="M3088" s="40">
        <v>17256.52</v>
      </c>
      <c r="N3088" s="317">
        <v>0.375</v>
      </c>
      <c r="O3088" s="2"/>
      <c r="P3088" s="2"/>
      <c r="Q3088" s="2"/>
      <c r="R3088" s="2"/>
    </row>
    <row r="3089" spans="1:18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4"/>
        <v>12,24</v>
      </c>
      <c r="L3089" s="75" t="s">
        <v>28</v>
      </c>
      <c r="M3089" s="75">
        <v>12018</v>
      </c>
      <c r="N3089" s="322">
        <v>0.375</v>
      </c>
      <c r="O3089" s="2"/>
      <c r="P3089" s="2"/>
      <c r="Q3089" s="2"/>
      <c r="R3089" s="2"/>
    </row>
    <row r="3090" spans="1:18" ht="57" hidden="1" customHeight="1" thickBot="1" x14ac:dyDescent="0.3">
      <c r="A3090" s="990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992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4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  <c r="Q3090" s="2"/>
      <c r="R3090" s="2"/>
    </row>
    <row r="3091" spans="1:18" ht="49.5" hidden="1" customHeight="1" thickBot="1" x14ac:dyDescent="0.3">
      <c r="A3091" s="990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992"/>
      <c r="H3091" s="90" t="s">
        <v>702</v>
      </c>
      <c r="I3091" s="172" t="s">
        <v>702</v>
      </c>
      <c r="J3091" s="173"/>
      <c r="K3091" s="90" t="str">
        <f t="shared" si="94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  <c r="Q3091" s="2"/>
      <c r="R3091" s="2"/>
    </row>
    <row r="3092" spans="1:18" ht="19.5" hidden="1" thickBot="1" x14ac:dyDescent="0.3">
      <c r="A3092" s="995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4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  <c r="Q3092" s="2"/>
      <c r="R3092" s="2"/>
    </row>
    <row r="3093" spans="1:18" ht="19.5" hidden="1" thickBot="1" x14ac:dyDescent="0.3">
      <c r="A3093" s="995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4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  <c r="Q3093" s="2"/>
      <c r="R3093" s="2"/>
    </row>
    <row r="3094" spans="1:18" ht="19.5" hidden="1" thickBot="1" x14ac:dyDescent="0.3">
      <c r="A3094" s="990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4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  <c r="Q3094" s="2"/>
      <c r="R3094" s="2"/>
    </row>
    <row r="3095" spans="1:18" ht="19.5" hidden="1" thickBot="1" x14ac:dyDescent="0.3">
      <c r="A3095" s="990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4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  <c r="Q3095" s="2"/>
      <c r="R3095" s="2"/>
    </row>
    <row r="3096" spans="1:18" ht="19.5" hidden="1" thickBot="1" x14ac:dyDescent="0.3">
      <c r="A3096" s="991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4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  <c r="Q3096" s="2"/>
      <c r="R3096" s="2"/>
    </row>
    <row r="3097" spans="1:18" ht="19.5" hidden="1" thickBot="1" x14ac:dyDescent="0.3">
      <c r="A3097" s="991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4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  <c r="Q3097" s="2"/>
      <c r="R3097" s="2"/>
    </row>
    <row r="3098" spans="1:18" ht="19.5" hidden="1" thickBot="1" x14ac:dyDescent="0.3">
      <c r="A3098" s="990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4"/>
        <v>12,24</v>
      </c>
      <c r="L3098" s="82" t="s">
        <v>266</v>
      </c>
      <c r="M3098" s="82">
        <v>13065</v>
      </c>
      <c r="N3098" s="319">
        <v>0.5</v>
      </c>
      <c r="O3098" s="2"/>
      <c r="P3098" s="2"/>
      <c r="Q3098" s="2"/>
      <c r="R3098" s="2"/>
    </row>
    <row r="3099" spans="1:18" ht="19.5" hidden="1" thickBot="1" x14ac:dyDescent="0.3">
      <c r="A3099" s="990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4"/>
        <v>12,24</v>
      </c>
      <c r="L3099" s="90" t="s">
        <v>28</v>
      </c>
      <c r="M3099" s="90">
        <v>5040</v>
      </c>
      <c r="N3099" s="325">
        <v>0.5</v>
      </c>
      <c r="O3099" s="2"/>
      <c r="P3099" s="2"/>
      <c r="Q3099" s="2"/>
      <c r="R3099" s="2"/>
    </row>
    <row r="3100" spans="1:18" ht="19.5" hidden="1" thickBot="1" x14ac:dyDescent="0.3">
      <c r="A3100" s="991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4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  <c r="Q3100" s="2"/>
      <c r="R3100" s="2"/>
    </row>
    <row r="3101" spans="1:18" ht="19.5" hidden="1" thickBot="1" x14ac:dyDescent="0.3">
      <c r="A3101" s="991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4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  <c r="Q3101" s="2"/>
      <c r="R3101" s="2"/>
    </row>
    <row r="3102" spans="1:18" ht="19.5" hidden="1" thickBot="1" x14ac:dyDescent="0.3">
      <c r="A3102" s="996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4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  <c r="Q3102" s="2"/>
      <c r="R3102" s="2"/>
    </row>
    <row r="3103" spans="1:18" ht="19.5" hidden="1" thickBot="1" x14ac:dyDescent="0.3">
      <c r="A3103" s="996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4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  <c r="Q3103" s="2"/>
      <c r="R3103" s="2"/>
    </row>
    <row r="3104" spans="1:18" ht="19.5" hidden="1" thickBot="1" x14ac:dyDescent="0.3">
      <c r="A3104" s="996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4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  <c r="Q3104" s="2"/>
      <c r="R3104" s="2"/>
    </row>
    <row r="3105" spans="1:18" ht="19.5" hidden="1" thickBot="1" x14ac:dyDescent="0.3">
      <c r="A3105" s="996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4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  <c r="Q3105" s="2"/>
      <c r="R3105" s="2"/>
    </row>
    <row r="3106" spans="1:18" ht="19.5" hidden="1" thickBot="1" x14ac:dyDescent="0.3">
      <c r="A3106" s="996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4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  <c r="Q3106" s="2"/>
      <c r="R3106" s="2"/>
    </row>
    <row r="3107" spans="1:18" ht="19.5" hidden="1" thickBot="1" x14ac:dyDescent="0.3">
      <c r="A3107" s="996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4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  <c r="Q3107" s="2"/>
      <c r="R3107" s="2"/>
    </row>
    <row r="3108" spans="1:18" ht="19.5" hidden="1" thickBot="1" x14ac:dyDescent="0.3">
      <c r="A3108" s="996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4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  <c r="Q3108" s="2"/>
      <c r="R3108" s="2"/>
    </row>
    <row r="3109" spans="1:18" ht="19.5" hidden="1" thickBot="1" x14ac:dyDescent="0.3">
      <c r="A3109" s="996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4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  <c r="Q3109" s="2"/>
      <c r="R3109" s="2"/>
    </row>
    <row r="3110" spans="1:18" ht="19.5" hidden="1" thickBot="1" x14ac:dyDescent="0.3">
      <c r="A3110" s="991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4"/>
        <v>12,24</v>
      </c>
      <c r="L3110" s="48" t="s">
        <v>265</v>
      </c>
      <c r="M3110" s="48">
        <v>6421.36</v>
      </c>
      <c r="N3110" s="315">
        <v>0.375</v>
      </c>
      <c r="O3110" s="2"/>
      <c r="P3110" s="2"/>
      <c r="Q3110" s="2"/>
      <c r="R3110" s="2"/>
    </row>
    <row r="3111" spans="1:18" ht="19.5" hidden="1" thickBot="1" x14ac:dyDescent="0.3">
      <c r="A3111" s="991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4"/>
        <v>12,24</v>
      </c>
      <c r="L3111" s="71" t="s">
        <v>265</v>
      </c>
      <c r="M3111" s="71">
        <v>10769.6</v>
      </c>
      <c r="N3111" s="323">
        <v>0.375</v>
      </c>
      <c r="O3111" s="2"/>
      <c r="P3111" s="2"/>
      <c r="Q3111" s="2"/>
      <c r="R3111" s="2"/>
    </row>
    <row r="3112" spans="1:18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4"/>
        <v>12,24</v>
      </c>
      <c r="L3112" s="40" t="s">
        <v>265</v>
      </c>
      <c r="M3112" s="40">
        <v>17190.16</v>
      </c>
      <c r="N3112" s="317">
        <v>0.375</v>
      </c>
      <c r="O3112" s="2"/>
      <c r="P3112" s="2"/>
      <c r="Q3112" s="2"/>
      <c r="R3112" s="2"/>
    </row>
    <row r="3113" spans="1:18" ht="19.5" hidden="1" thickBot="1" x14ac:dyDescent="0.3">
      <c r="A3113" s="991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4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  <c r="Q3113" s="2"/>
      <c r="R3113" s="2"/>
    </row>
    <row r="3114" spans="1:18" ht="19.5" hidden="1" thickBot="1" x14ac:dyDescent="0.3">
      <c r="A3114" s="991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4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  <c r="Q3114" s="2"/>
      <c r="R3114" s="2"/>
    </row>
    <row r="3115" spans="1:18" ht="19.5" hidden="1" thickBot="1" x14ac:dyDescent="0.3">
      <c r="A3115" s="990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4"/>
        <v>12,24</v>
      </c>
      <c r="L3115" s="82" t="s">
        <v>265</v>
      </c>
      <c r="M3115" s="82">
        <v>12272.6</v>
      </c>
      <c r="N3115" s="319">
        <v>0.375</v>
      </c>
      <c r="O3115" s="2"/>
      <c r="P3115" s="2"/>
      <c r="Q3115" s="2"/>
      <c r="R3115" s="2"/>
    </row>
    <row r="3116" spans="1:18" ht="19.5" hidden="1" thickBot="1" x14ac:dyDescent="0.3">
      <c r="A3116" s="990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4"/>
        <v>12,24</v>
      </c>
      <c r="L3116" s="90" t="s">
        <v>265</v>
      </c>
      <c r="M3116" s="90">
        <v>30</v>
      </c>
      <c r="N3116" s="325">
        <v>0.375</v>
      </c>
      <c r="O3116" s="2"/>
      <c r="P3116" s="2"/>
      <c r="Q3116" s="2"/>
      <c r="R3116" s="2"/>
    </row>
    <row r="3117" spans="1:18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4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  <c r="Q3117" s="2"/>
      <c r="R3117" s="2"/>
    </row>
    <row r="3118" spans="1:18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4"/>
        <v>12,24</v>
      </c>
      <c r="L3118" s="40" t="s">
        <v>265</v>
      </c>
      <c r="M3118" s="40">
        <v>17220.59</v>
      </c>
      <c r="N3118" s="317">
        <v>0.375</v>
      </c>
      <c r="O3118" s="2"/>
      <c r="P3118" s="2"/>
      <c r="Q3118" s="2"/>
      <c r="R3118" s="2"/>
    </row>
    <row r="3119" spans="1:18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4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  <c r="Q3119" s="2"/>
      <c r="R3119" s="2"/>
    </row>
    <row r="3120" spans="1:18" ht="19.5" hidden="1" thickBot="1" x14ac:dyDescent="0.3">
      <c r="A3120" s="990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4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  <c r="Q3120" s="2"/>
      <c r="R3120" s="2"/>
    </row>
    <row r="3121" spans="1:18" ht="19.5" hidden="1" thickBot="1" x14ac:dyDescent="0.3">
      <c r="A3121" s="990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4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  <c r="Q3121" s="2"/>
      <c r="R3121" s="2"/>
    </row>
    <row r="3122" spans="1:18" ht="19.5" hidden="1" thickBot="1" x14ac:dyDescent="0.3">
      <c r="A3122" s="990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4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  <c r="Q3122" s="2"/>
      <c r="R3122" s="2"/>
    </row>
    <row r="3123" spans="1:18" ht="19.5" hidden="1" thickBot="1" x14ac:dyDescent="0.3">
      <c r="A3123" s="991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4"/>
        <v>12,24</v>
      </c>
      <c r="L3123" s="48" t="s">
        <v>28</v>
      </c>
      <c r="M3123" s="48">
        <v>12117.24</v>
      </c>
      <c r="N3123" s="315">
        <v>0.5</v>
      </c>
      <c r="O3123" s="2"/>
      <c r="P3123" s="2"/>
      <c r="Q3123" s="2"/>
      <c r="R3123" s="2"/>
    </row>
    <row r="3124" spans="1:18" ht="57" hidden="1" thickBot="1" x14ac:dyDescent="0.3">
      <c r="A3124" s="991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4"/>
        <v>12,24</v>
      </c>
      <c r="L3124" s="23" t="s">
        <v>28</v>
      </c>
      <c r="M3124" s="23">
        <v>1346.2</v>
      </c>
      <c r="N3124" s="329">
        <v>0.5</v>
      </c>
      <c r="O3124" s="2"/>
      <c r="P3124" s="2"/>
      <c r="Q3124" s="2"/>
      <c r="R3124" s="2"/>
    </row>
    <row r="3125" spans="1:18" ht="19.5" hidden="1" thickBot="1" x14ac:dyDescent="0.3">
      <c r="A3125" s="991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4"/>
        <v>12,24</v>
      </c>
      <c r="L3125" s="71" t="s">
        <v>28</v>
      </c>
      <c r="M3125" s="71">
        <v>2827.92</v>
      </c>
      <c r="N3125" s="323">
        <v>0.5</v>
      </c>
      <c r="O3125" s="2"/>
      <c r="P3125" s="2"/>
      <c r="Q3125" s="2"/>
      <c r="R3125" s="2"/>
    </row>
    <row r="3126" spans="1:18" ht="19.5" hidden="1" thickBot="1" x14ac:dyDescent="0.3">
      <c r="A3126" s="996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4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  <c r="Q3126" s="2"/>
      <c r="R3126" s="2"/>
    </row>
    <row r="3127" spans="1:18" ht="19.5" hidden="1" thickBot="1" x14ac:dyDescent="0.3">
      <c r="A3127" s="996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4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  <c r="Q3127" s="2"/>
      <c r="R3127" s="2"/>
    </row>
    <row r="3128" spans="1:18" ht="19.5" hidden="1" thickBot="1" x14ac:dyDescent="0.3">
      <c r="A3128" s="991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4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  <c r="Q3128" s="2"/>
      <c r="R3128" s="2"/>
    </row>
    <row r="3129" spans="1:18" ht="19.5" hidden="1" thickBot="1" x14ac:dyDescent="0.3">
      <c r="A3129" s="991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4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  <c r="Q3129" s="2"/>
      <c r="R3129" s="2"/>
    </row>
    <row r="3130" spans="1:18" ht="38.25" hidden="1" thickBot="1" x14ac:dyDescent="0.3">
      <c r="A3130" s="990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4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  <c r="Q3130" s="2"/>
      <c r="R3130" s="2"/>
    </row>
    <row r="3131" spans="1:18" ht="38.25" hidden="1" thickBot="1" x14ac:dyDescent="0.3">
      <c r="A3131" s="990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5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  <c r="Q3131" s="2"/>
      <c r="R3131" s="2"/>
    </row>
    <row r="3132" spans="1:18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5"/>
        <v>12,24</v>
      </c>
      <c r="L3132" s="75" t="s">
        <v>265</v>
      </c>
      <c r="M3132" s="75">
        <v>17120.12</v>
      </c>
      <c r="N3132" s="322">
        <v>0.375</v>
      </c>
      <c r="O3132" s="2"/>
      <c r="P3132" s="2"/>
      <c r="Q3132" s="2"/>
      <c r="R3132" s="2"/>
    </row>
    <row r="3133" spans="1:18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5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  <c r="Q3133" s="2"/>
      <c r="R3133" s="2"/>
    </row>
    <row r="3134" spans="1:18" ht="19.5" hidden="1" thickBot="1" x14ac:dyDescent="0.3">
      <c r="A3134" s="991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5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  <c r="Q3134" s="2"/>
      <c r="R3134" s="2"/>
    </row>
    <row r="3135" spans="1:18" ht="19.5" hidden="1" thickBot="1" x14ac:dyDescent="0.3">
      <c r="A3135" s="991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5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  <c r="Q3135" s="2"/>
      <c r="R3135" s="2"/>
    </row>
    <row r="3136" spans="1:18" ht="19.5" hidden="1" thickBot="1" x14ac:dyDescent="0.3">
      <c r="A3136" s="991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5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  <c r="Q3136" s="2"/>
      <c r="R3136" s="2"/>
    </row>
    <row r="3137" spans="1:18" ht="19.5" hidden="1" thickBot="1" x14ac:dyDescent="0.3">
      <c r="A3137" s="991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5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  <c r="Q3137" s="2"/>
      <c r="R3137" s="2"/>
    </row>
    <row r="3138" spans="1:18" ht="19.5" hidden="1" thickBot="1" x14ac:dyDescent="0.3">
      <c r="A3138" s="990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5"/>
        <v>12,24</v>
      </c>
      <c r="L3138" s="82" t="s">
        <v>266</v>
      </c>
      <c r="M3138" s="82">
        <v>1830</v>
      </c>
      <c r="N3138" s="319">
        <v>0.5</v>
      </c>
      <c r="O3138" s="2"/>
      <c r="P3138" s="2"/>
      <c r="Q3138" s="2"/>
      <c r="R3138" s="2"/>
    </row>
    <row r="3139" spans="1:18" ht="19.5" hidden="1" thickBot="1" x14ac:dyDescent="0.3">
      <c r="A3139" s="990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5"/>
        <v>12,24</v>
      </c>
      <c r="L3139" s="98" t="s">
        <v>266</v>
      </c>
      <c r="M3139" s="98">
        <v>511.2</v>
      </c>
      <c r="N3139" s="364">
        <v>0.5</v>
      </c>
      <c r="O3139" s="2"/>
      <c r="P3139" s="2"/>
      <c r="Q3139" s="2"/>
      <c r="R3139" s="2"/>
    </row>
    <row r="3140" spans="1:18" ht="19.5" hidden="1" thickBot="1" x14ac:dyDescent="0.3">
      <c r="A3140" s="990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5"/>
        <v>12,24</v>
      </c>
      <c r="L3140" s="98" t="s">
        <v>28</v>
      </c>
      <c r="M3140" s="98">
        <v>7005</v>
      </c>
      <c r="N3140" s="364">
        <v>0.5</v>
      </c>
      <c r="O3140" s="2"/>
      <c r="P3140" s="2"/>
      <c r="Q3140" s="2"/>
      <c r="R3140" s="2"/>
    </row>
    <row r="3141" spans="1:18" ht="19.5" hidden="1" thickBot="1" x14ac:dyDescent="0.3">
      <c r="A3141" s="990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5"/>
        <v>12,24</v>
      </c>
      <c r="L3141" s="90" t="s">
        <v>28</v>
      </c>
      <c r="M3141" s="90">
        <v>7493.76</v>
      </c>
      <c r="N3141" s="325">
        <v>0.5</v>
      </c>
      <c r="O3141" s="2"/>
      <c r="P3141" s="2"/>
      <c r="Q3141" s="2"/>
      <c r="R3141" s="2"/>
    </row>
    <row r="3142" spans="1:18" ht="19.5" hidden="1" thickBot="1" x14ac:dyDescent="0.3">
      <c r="A3142" s="991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5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  <c r="Q3142" s="2"/>
      <c r="R3142" s="2"/>
    </row>
    <row r="3143" spans="1:18" ht="19.5" hidden="1" thickBot="1" x14ac:dyDescent="0.3">
      <c r="A3143" s="991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5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  <c r="Q3143" s="2"/>
      <c r="R3143" s="2"/>
    </row>
    <row r="3144" spans="1:18" ht="19.5" hidden="1" thickBot="1" x14ac:dyDescent="0.3">
      <c r="A3144" s="991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5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  <c r="Q3144" s="2"/>
      <c r="R3144" s="2"/>
    </row>
    <row r="3145" spans="1:18" ht="19.5" hidden="1" thickBot="1" x14ac:dyDescent="0.3">
      <c r="A3145" s="991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5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  <c r="Q3145" s="2"/>
      <c r="R3145" s="2"/>
    </row>
    <row r="3146" spans="1:18" ht="19.5" hidden="1" thickBot="1" x14ac:dyDescent="0.3">
      <c r="A3146" s="990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5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  <c r="Q3146" s="2"/>
      <c r="R3146" s="2"/>
    </row>
    <row r="3147" spans="1:18" ht="19.5" hidden="1" thickBot="1" x14ac:dyDescent="0.3">
      <c r="A3147" s="990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5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  <c r="Q3147" s="2"/>
      <c r="R3147" s="2"/>
    </row>
    <row r="3148" spans="1:18" ht="19.5" hidden="1" thickBot="1" x14ac:dyDescent="0.3">
      <c r="A3148" s="990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5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  <c r="Q3148" s="2"/>
      <c r="R3148" s="2"/>
    </row>
    <row r="3149" spans="1:18" ht="19.5" hidden="1" thickBot="1" x14ac:dyDescent="0.3">
      <c r="A3149" s="990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5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  <c r="Q3149" s="2"/>
      <c r="R3149" s="2"/>
    </row>
    <row r="3150" spans="1:18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5"/>
        <v>12,24</v>
      </c>
      <c r="L3150" s="75" t="s">
        <v>265</v>
      </c>
      <c r="M3150" s="75">
        <v>17221.57</v>
      </c>
      <c r="N3150" s="322">
        <v>0.375</v>
      </c>
      <c r="O3150" s="2"/>
      <c r="P3150" s="2"/>
      <c r="Q3150" s="2"/>
      <c r="R3150" s="2"/>
    </row>
    <row r="3151" spans="1:18" ht="19.5" hidden="1" thickBot="1" x14ac:dyDescent="0.3">
      <c r="A3151" s="996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5"/>
        <v>12,24</v>
      </c>
      <c r="L3151" s="82" t="s">
        <v>266</v>
      </c>
      <c r="M3151" s="82">
        <v>5632.16</v>
      </c>
      <c r="N3151" s="319">
        <v>0.5</v>
      </c>
      <c r="O3151" s="2"/>
      <c r="P3151" s="2"/>
      <c r="Q3151" s="2"/>
      <c r="R3151" s="2"/>
    </row>
    <row r="3152" spans="1:18" ht="19.5" hidden="1" thickBot="1" x14ac:dyDescent="0.3">
      <c r="A3152" s="996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5"/>
        <v>12,24</v>
      </c>
      <c r="L3152" s="98" t="s">
        <v>266</v>
      </c>
      <c r="M3152" s="98">
        <v>8147.97</v>
      </c>
      <c r="N3152" s="364">
        <v>0.5</v>
      </c>
      <c r="O3152" s="2"/>
      <c r="P3152" s="2"/>
      <c r="Q3152" s="2"/>
      <c r="R3152" s="2"/>
    </row>
    <row r="3153" spans="1:18" ht="19.5" hidden="1" thickBot="1" x14ac:dyDescent="0.3">
      <c r="A3153" s="996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5"/>
        <v>12,24</v>
      </c>
      <c r="L3153" s="65" t="s">
        <v>28</v>
      </c>
      <c r="M3153" s="65">
        <v>2883</v>
      </c>
      <c r="N3153" s="434">
        <v>0.5</v>
      </c>
      <c r="O3153" s="2"/>
      <c r="P3153" s="2"/>
      <c r="Q3153" s="2"/>
      <c r="R3153" s="2"/>
    </row>
    <row r="3154" spans="1:18" ht="19.5" hidden="1" thickBot="1" x14ac:dyDescent="0.3">
      <c r="A3154" s="991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5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  <c r="Q3154" s="2"/>
      <c r="R3154" s="2"/>
    </row>
    <row r="3155" spans="1:18" ht="19.5" hidden="1" thickBot="1" x14ac:dyDescent="0.3">
      <c r="A3155" s="991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5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  <c r="Q3155" s="2"/>
      <c r="R3155" s="2"/>
    </row>
    <row r="3156" spans="1:18" ht="19.5" hidden="1" thickBot="1" x14ac:dyDescent="0.3">
      <c r="A3156" s="990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5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  <c r="Q3156" s="2"/>
      <c r="R3156" s="2"/>
    </row>
    <row r="3157" spans="1:18" ht="19.5" hidden="1" thickBot="1" x14ac:dyDescent="0.3">
      <c r="A3157" s="990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5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  <c r="Q3157" s="2"/>
      <c r="R3157" s="2"/>
    </row>
    <row r="3158" spans="1:18" ht="18.75" hidden="1" customHeight="1" thickBot="1" x14ac:dyDescent="0.3">
      <c r="A3158" s="991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993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5"/>
        <v>12,24</v>
      </c>
      <c r="L3158" s="48" t="s">
        <v>266</v>
      </c>
      <c r="M3158" s="48">
        <v>2743.8</v>
      </c>
      <c r="N3158" s="315">
        <v>0.5</v>
      </c>
      <c r="O3158" s="2"/>
      <c r="P3158" s="2"/>
      <c r="Q3158" s="2"/>
      <c r="R3158" s="2"/>
    </row>
    <row r="3159" spans="1:18" ht="19.5" hidden="1" thickBot="1" x14ac:dyDescent="0.3">
      <c r="A3159" s="991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993"/>
      <c r="H3159" s="23" t="s">
        <v>716</v>
      </c>
      <c r="I3159" s="180" t="s">
        <v>716</v>
      </c>
      <c r="J3159" s="27"/>
      <c r="K3159" s="23" t="str">
        <f t="shared" si="95"/>
        <v>12,24</v>
      </c>
      <c r="L3159" s="23" t="s">
        <v>266</v>
      </c>
      <c r="M3159" s="23">
        <v>2041.06</v>
      </c>
      <c r="N3159" s="329">
        <v>0.5</v>
      </c>
      <c r="O3159" s="2"/>
      <c r="P3159" s="2"/>
      <c r="Q3159" s="2"/>
      <c r="R3159" s="2"/>
    </row>
    <row r="3160" spans="1:18" ht="19.5" hidden="1" thickBot="1" x14ac:dyDescent="0.3">
      <c r="A3160" s="991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993"/>
      <c r="H3160" s="23" t="s">
        <v>716</v>
      </c>
      <c r="I3160" s="180" t="s">
        <v>716</v>
      </c>
      <c r="J3160" s="27" t="s">
        <v>266</v>
      </c>
      <c r="K3160" s="23" t="str">
        <f t="shared" si="95"/>
        <v>12,24</v>
      </c>
      <c r="L3160" s="23" t="s">
        <v>266</v>
      </c>
      <c r="M3160" s="23">
        <v>1801.8</v>
      </c>
      <c r="N3160" s="329">
        <v>0.5</v>
      </c>
      <c r="O3160" s="2"/>
      <c r="P3160" s="2"/>
      <c r="Q3160" s="2"/>
      <c r="R3160" s="2"/>
    </row>
    <row r="3161" spans="1:18" ht="19.5" hidden="1" thickBot="1" x14ac:dyDescent="0.3">
      <c r="A3161" s="991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993"/>
      <c r="H3161" s="71" t="s">
        <v>716</v>
      </c>
      <c r="I3161" s="167" t="s">
        <v>716</v>
      </c>
      <c r="J3161" s="168" t="s">
        <v>28</v>
      </c>
      <c r="K3161" s="71" t="str">
        <f t="shared" si="95"/>
        <v>12,24</v>
      </c>
      <c r="L3161" s="71" t="s">
        <v>28</v>
      </c>
      <c r="M3161" s="71">
        <v>1200</v>
      </c>
      <c r="N3161" s="323">
        <v>0.5</v>
      </c>
      <c r="O3161" s="2"/>
      <c r="P3161" s="2"/>
      <c r="Q3161" s="2"/>
      <c r="R3161" s="2"/>
    </row>
    <row r="3162" spans="1:18" ht="19.5" hidden="1" thickBot="1" x14ac:dyDescent="0.3">
      <c r="A3162" s="990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5"/>
        <v>12,24</v>
      </c>
      <c r="L3162" s="82" t="s">
        <v>265</v>
      </c>
      <c r="M3162" s="82">
        <v>14089.72</v>
      </c>
      <c r="N3162" s="319">
        <v>0.375</v>
      </c>
      <c r="O3162" s="2"/>
      <c r="P3162" s="2"/>
      <c r="Q3162" s="2"/>
      <c r="R3162" s="2"/>
    </row>
    <row r="3163" spans="1:18" ht="19.5" hidden="1" thickBot="1" x14ac:dyDescent="0.3">
      <c r="A3163" s="990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5"/>
        <v>12,24</v>
      </c>
      <c r="L3163" s="90" t="s">
        <v>265</v>
      </c>
      <c r="M3163" s="90">
        <v>3542.4</v>
      </c>
      <c r="N3163" s="325">
        <v>0.375</v>
      </c>
      <c r="O3163" s="2"/>
      <c r="P3163" s="2"/>
      <c r="Q3163" s="2"/>
      <c r="R3163" s="2"/>
    </row>
    <row r="3164" spans="1:18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5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  <c r="Q3164" s="2"/>
      <c r="R3164" s="2"/>
    </row>
    <row r="3165" spans="1:18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5"/>
        <v>12,24</v>
      </c>
      <c r="L3165" s="40" t="s">
        <v>265</v>
      </c>
      <c r="M3165" s="40">
        <v>17838.78</v>
      </c>
      <c r="N3165" s="317">
        <v>0.375</v>
      </c>
      <c r="O3165" s="2"/>
      <c r="P3165" s="2"/>
      <c r="Q3165" s="2"/>
      <c r="R3165" s="2"/>
    </row>
    <row r="3166" spans="1:18" ht="19.5" hidden="1" thickBot="1" x14ac:dyDescent="0.3">
      <c r="A3166" s="991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5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  <c r="Q3166" s="2"/>
      <c r="R3166" s="2"/>
    </row>
    <row r="3167" spans="1:18" ht="19.5" hidden="1" thickBot="1" x14ac:dyDescent="0.3">
      <c r="A3167" s="991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5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  <c r="Q3167" s="2"/>
      <c r="R3167" s="2"/>
    </row>
    <row r="3168" spans="1:18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5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  <c r="Q3168" s="2"/>
      <c r="R3168" s="2"/>
    </row>
    <row r="3169" spans="1:18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5"/>
        <v>12,24</v>
      </c>
      <c r="L3169" s="75" t="s">
        <v>28</v>
      </c>
      <c r="M3169" s="75">
        <v>17476.41</v>
      </c>
      <c r="N3169" s="322">
        <v>0.5</v>
      </c>
      <c r="O3169" s="2"/>
      <c r="P3169" s="2"/>
      <c r="Q3169" s="2"/>
      <c r="R3169" s="2"/>
    </row>
    <row r="3170" spans="1:18" ht="19.5" hidden="1" thickBot="1" x14ac:dyDescent="0.3">
      <c r="A3170" s="990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5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  <c r="Q3170" s="2"/>
      <c r="R3170" s="2"/>
    </row>
    <row r="3171" spans="1:18" ht="19.5" hidden="1" thickBot="1" x14ac:dyDescent="0.3">
      <c r="A3171" s="990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5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  <c r="Q3171" s="2"/>
      <c r="R3171" s="2"/>
    </row>
    <row r="3172" spans="1:18" ht="19.5" hidden="1" thickBot="1" x14ac:dyDescent="0.3">
      <c r="A3172" s="990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5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  <c r="Q3172" s="2"/>
      <c r="R3172" s="2"/>
    </row>
    <row r="3173" spans="1:18" ht="19.5" hidden="1" thickBot="1" x14ac:dyDescent="0.3">
      <c r="A3173" s="991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5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  <c r="Q3173" s="2"/>
      <c r="R3173" s="2"/>
    </row>
    <row r="3174" spans="1:18" ht="19.5" hidden="1" thickBot="1" x14ac:dyDescent="0.3">
      <c r="A3174" s="991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5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  <c r="Q3174" s="2"/>
      <c r="R3174" s="2"/>
    </row>
    <row r="3175" spans="1:18" ht="19.5" hidden="1" thickBot="1" x14ac:dyDescent="0.3">
      <c r="A3175" s="991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5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  <c r="Q3175" s="2"/>
      <c r="R3175" s="2"/>
    </row>
    <row r="3176" spans="1:18" ht="19.5" hidden="1" thickBot="1" x14ac:dyDescent="0.3">
      <c r="A3176" s="990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5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  <c r="Q3176" s="2"/>
      <c r="R3176" s="2"/>
    </row>
    <row r="3177" spans="1:18" ht="19.5" hidden="1" thickBot="1" x14ac:dyDescent="0.3">
      <c r="A3177" s="990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5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  <c r="Q3177" s="2"/>
      <c r="R3177" s="2"/>
    </row>
    <row r="3178" spans="1:18" ht="19.5" hidden="1" thickBot="1" x14ac:dyDescent="0.3">
      <c r="A3178" s="991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5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  <c r="Q3178" s="2"/>
      <c r="R3178" s="2"/>
    </row>
    <row r="3179" spans="1:18" ht="19.5" hidden="1" thickBot="1" x14ac:dyDescent="0.3">
      <c r="A3179" s="991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5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  <c r="Q3179" s="2"/>
      <c r="R3179" s="2"/>
    </row>
    <row r="3180" spans="1:18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5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  <c r="Q3180" s="2"/>
      <c r="R3180" s="2"/>
    </row>
    <row r="3181" spans="1:18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5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  <c r="Q3181" s="2"/>
      <c r="R3181" s="2"/>
    </row>
    <row r="3182" spans="1:18" ht="19.5" hidden="1" thickBot="1" x14ac:dyDescent="0.3">
      <c r="A3182" s="990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5"/>
        <v>01,25</v>
      </c>
      <c r="L3182" s="82" t="s">
        <v>28</v>
      </c>
      <c r="M3182" s="82">
        <v>1155</v>
      </c>
      <c r="N3182" s="319">
        <v>0.5</v>
      </c>
      <c r="O3182" s="2"/>
      <c r="P3182" s="2"/>
      <c r="Q3182" s="2"/>
      <c r="R3182" s="2"/>
    </row>
    <row r="3183" spans="1:18" ht="19.5" hidden="1" thickBot="1" x14ac:dyDescent="0.3">
      <c r="A3183" s="990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5"/>
        <v>01,25</v>
      </c>
      <c r="L3183" s="98" t="s">
        <v>28</v>
      </c>
      <c r="M3183" s="98">
        <v>7388.4</v>
      </c>
      <c r="N3183" s="364">
        <v>0.5</v>
      </c>
      <c r="O3183" s="2"/>
      <c r="P3183" s="2"/>
      <c r="Q3183" s="2"/>
      <c r="R3183" s="2"/>
    </row>
    <row r="3184" spans="1:18" ht="19.5" hidden="1" thickBot="1" x14ac:dyDescent="0.3">
      <c r="A3184" s="990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5"/>
        <v>01,25</v>
      </c>
      <c r="L3184" s="98" t="s">
        <v>28</v>
      </c>
      <c r="M3184" s="98">
        <v>4181.92</v>
      </c>
      <c r="N3184" s="364">
        <v>0.5</v>
      </c>
      <c r="O3184" s="2"/>
      <c r="P3184" s="2"/>
      <c r="Q3184" s="2"/>
      <c r="R3184" s="2"/>
    </row>
    <row r="3185" spans="1:18" ht="19.5" hidden="1" thickBot="1" x14ac:dyDescent="0.3">
      <c r="A3185" s="990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5"/>
        <v>01,25</v>
      </c>
      <c r="L3185" s="90" t="s">
        <v>28</v>
      </c>
      <c r="M3185" s="90">
        <v>4755</v>
      </c>
      <c r="N3185" s="325">
        <v>0.5</v>
      </c>
      <c r="O3185" s="2"/>
      <c r="P3185" s="2"/>
      <c r="Q3185" s="2"/>
      <c r="R3185" s="2"/>
    </row>
    <row r="3186" spans="1:18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5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  <c r="Q3186" s="2"/>
      <c r="R3186" s="2"/>
    </row>
    <row r="3187" spans="1:18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5"/>
        <v>01,25</v>
      </c>
      <c r="L3187" s="75" t="s">
        <v>265</v>
      </c>
      <c r="M3187" s="75">
        <v>17269.7</v>
      </c>
      <c r="N3187" s="322">
        <v>0.375</v>
      </c>
      <c r="O3187" s="2"/>
      <c r="P3187" s="2"/>
      <c r="Q3187" s="2"/>
      <c r="R3187" s="2"/>
    </row>
    <row r="3188" spans="1:18" ht="19.5" hidden="1" thickBot="1" x14ac:dyDescent="0.3">
      <c r="A3188" s="996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5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  <c r="Q3188" s="2"/>
      <c r="R3188" s="2"/>
    </row>
    <row r="3189" spans="1:18" ht="19.5" hidden="1" thickBot="1" x14ac:dyDescent="0.3">
      <c r="A3189" s="996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5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  <c r="Q3189" s="2"/>
      <c r="R3189" s="2"/>
    </row>
    <row r="3190" spans="1:18" ht="19.5" hidden="1" thickBot="1" x14ac:dyDescent="0.3">
      <c r="A3190" s="996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5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  <c r="Q3190" s="2"/>
      <c r="R3190" s="2"/>
    </row>
    <row r="3191" spans="1:18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5"/>
        <v>01,25</v>
      </c>
      <c r="L3191" s="75" t="s">
        <v>265</v>
      </c>
      <c r="M3191" s="75">
        <v>17304.5</v>
      </c>
      <c r="N3191" s="322">
        <v>0.375</v>
      </c>
      <c r="O3191" s="2"/>
      <c r="P3191" s="2"/>
      <c r="Q3191" s="2"/>
      <c r="R3191" s="2"/>
    </row>
    <row r="3192" spans="1:18" ht="57" hidden="1" thickBot="1" x14ac:dyDescent="0.3">
      <c r="A3192" s="990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5"/>
        <v>01,25</v>
      </c>
      <c r="L3192" s="82" t="s">
        <v>28</v>
      </c>
      <c r="M3192" s="82">
        <v>1280.8</v>
      </c>
      <c r="N3192" s="319">
        <v>0.5</v>
      </c>
      <c r="O3192" s="2"/>
      <c r="P3192" s="2"/>
      <c r="Q3192" s="2"/>
      <c r="R3192" s="2"/>
    </row>
    <row r="3193" spans="1:18" ht="19.5" hidden="1" thickBot="1" x14ac:dyDescent="0.3">
      <c r="A3193" s="990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5"/>
        <v>01,25</v>
      </c>
      <c r="L3193" s="98" t="s">
        <v>28</v>
      </c>
      <c r="M3193" s="98">
        <v>13985.12</v>
      </c>
      <c r="N3193" s="364">
        <v>0.5</v>
      </c>
      <c r="O3193" s="2"/>
      <c r="P3193" s="2"/>
      <c r="Q3193" s="2"/>
      <c r="R3193" s="2"/>
    </row>
    <row r="3194" spans="1:18" ht="19.5" hidden="1" thickBot="1" x14ac:dyDescent="0.3">
      <c r="A3194" s="990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5"/>
        <v>01,25</v>
      </c>
      <c r="L3194" s="90" t="s">
        <v>28</v>
      </c>
      <c r="M3194" s="90">
        <v>1521</v>
      </c>
      <c r="N3194" s="325">
        <v>0.5</v>
      </c>
      <c r="O3194" s="2"/>
      <c r="P3194" s="2"/>
      <c r="Q3194" s="2"/>
      <c r="R3194" s="2"/>
    </row>
    <row r="3195" spans="1:18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6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  <c r="Q3195" s="2"/>
      <c r="R3195" s="2"/>
    </row>
    <row r="3196" spans="1:18" ht="19.5" hidden="1" thickBot="1" x14ac:dyDescent="0.3">
      <c r="A3196" s="990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6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  <c r="Q3196" s="2"/>
      <c r="R3196" s="2"/>
    </row>
    <row r="3197" spans="1:18" ht="19.5" hidden="1" thickBot="1" x14ac:dyDescent="0.3">
      <c r="A3197" s="990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6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  <c r="Q3197" s="2"/>
      <c r="R3197" s="2"/>
    </row>
    <row r="3198" spans="1:18" ht="19.5" hidden="1" thickBot="1" x14ac:dyDescent="0.3">
      <c r="A3198" s="991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6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  <c r="Q3198" s="2"/>
      <c r="R3198" s="2"/>
    </row>
    <row r="3199" spans="1:18" ht="19.5" hidden="1" thickBot="1" x14ac:dyDescent="0.3">
      <c r="A3199" s="991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6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  <c r="Q3199" s="2"/>
      <c r="R3199" s="2"/>
    </row>
    <row r="3200" spans="1:18" ht="19.5" hidden="1" thickBot="1" x14ac:dyDescent="0.3">
      <c r="A3200" s="991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6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  <c r="Q3200" s="2"/>
      <c r="R3200" s="2"/>
    </row>
    <row r="3201" spans="1:18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6"/>
        <v>01,25</v>
      </c>
      <c r="L3201" s="40" t="s">
        <v>265</v>
      </c>
      <c r="M3201" s="40">
        <v>12187.04</v>
      </c>
      <c r="N3201" s="317">
        <v>0.375</v>
      </c>
      <c r="O3201" s="2"/>
      <c r="P3201" s="2"/>
      <c r="Q3201" s="2"/>
      <c r="R3201" s="2"/>
    </row>
    <row r="3202" spans="1:18" ht="19.5" hidden="1" thickBot="1" x14ac:dyDescent="0.3">
      <c r="A3202" s="991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6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  <c r="Q3202" s="2"/>
      <c r="R3202" s="2"/>
    </row>
    <row r="3203" spans="1:18" ht="19.5" hidden="1" thickBot="1" x14ac:dyDescent="0.3">
      <c r="A3203" s="991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6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  <c r="Q3203" s="2"/>
      <c r="R3203" s="2"/>
    </row>
    <row r="3204" spans="1:18" ht="19.5" hidden="1" thickBot="1" x14ac:dyDescent="0.3">
      <c r="A3204" s="990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6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  <c r="Q3204" s="2"/>
      <c r="R3204" s="2"/>
    </row>
    <row r="3205" spans="1:18" ht="19.5" hidden="1" thickBot="1" x14ac:dyDescent="0.3">
      <c r="A3205" s="990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6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  <c r="Q3205" s="2"/>
      <c r="R3205" s="2"/>
    </row>
    <row r="3206" spans="1:18" ht="38.25" hidden="1" thickBot="1" x14ac:dyDescent="0.3">
      <c r="A3206" s="995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6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  <c r="Q3206" s="2"/>
      <c r="R3206" s="2"/>
    </row>
    <row r="3207" spans="1:18" ht="38.25" hidden="1" thickBot="1" x14ac:dyDescent="0.3">
      <c r="A3207" s="995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6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  <c r="Q3207" s="2"/>
      <c r="R3207" s="2"/>
    </row>
    <row r="3208" spans="1:18" ht="19.5" hidden="1" thickBot="1" x14ac:dyDescent="0.3">
      <c r="A3208" s="990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6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  <c r="Q3208" s="2"/>
      <c r="R3208" s="2"/>
    </row>
    <row r="3209" spans="1:18" ht="19.5" hidden="1" thickBot="1" x14ac:dyDescent="0.3">
      <c r="A3209" s="990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6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  <c r="Q3209" s="2"/>
      <c r="R3209" s="2"/>
    </row>
    <row r="3210" spans="1:18" ht="19.5" hidden="1" thickBot="1" x14ac:dyDescent="0.3">
      <c r="A3210" s="991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6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  <c r="Q3210" s="2"/>
      <c r="R3210" s="2"/>
    </row>
    <row r="3211" spans="1:18" ht="19.5" hidden="1" thickBot="1" x14ac:dyDescent="0.3">
      <c r="A3211" s="991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6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  <c r="Q3211" s="2"/>
      <c r="R3211" s="2"/>
    </row>
    <row r="3212" spans="1:18" ht="19.5" hidden="1" thickBot="1" x14ac:dyDescent="0.3">
      <c r="A3212" s="990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6"/>
        <v>01,25</v>
      </c>
      <c r="L3212" s="82" t="s">
        <v>266</v>
      </c>
      <c r="M3212" s="82">
        <v>14527.2</v>
      </c>
      <c r="N3212" s="319">
        <v>0.5</v>
      </c>
      <c r="O3212" s="2"/>
      <c r="P3212" s="2"/>
      <c r="Q3212" s="2"/>
      <c r="R3212" s="2"/>
    </row>
    <row r="3213" spans="1:18" ht="19.5" hidden="1" thickBot="1" x14ac:dyDescent="0.3">
      <c r="A3213" s="990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6"/>
        <v>01,25</v>
      </c>
      <c r="L3213" s="90" t="s">
        <v>28</v>
      </c>
      <c r="M3213" s="90">
        <v>3510</v>
      </c>
      <c r="N3213" s="325">
        <v>0.5</v>
      </c>
      <c r="O3213" s="2"/>
      <c r="P3213" s="2"/>
      <c r="Q3213" s="2"/>
      <c r="R3213" s="2"/>
    </row>
    <row r="3214" spans="1:18" ht="17.850000000000001" hidden="1" customHeight="1" thickBot="1" x14ac:dyDescent="0.3">
      <c r="A3214" s="995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1021" t="s">
        <v>467</v>
      </c>
      <c r="H3214" s="48" t="s">
        <v>727</v>
      </c>
      <c r="I3214" s="163" t="s">
        <v>728</v>
      </c>
      <c r="J3214" s="52"/>
      <c r="K3214" s="48" t="str">
        <f t="shared" si="96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  <c r="Q3214" s="2"/>
      <c r="R3214" s="2"/>
    </row>
    <row r="3215" spans="1:18" ht="19.5" hidden="1" thickBot="1" x14ac:dyDescent="0.3">
      <c r="A3215" s="995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1021"/>
      <c r="H3215" s="23" t="s">
        <v>727</v>
      </c>
      <c r="I3215" s="180" t="s">
        <v>728</v>
      </c>
      <c r="J3215" s="27"/>
      <c r="K3215" s="23" t="str">
        <f t="shared" si="96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  <c r="Q3215" s="2"/>
      <c r="R3215" s="2"/>
    </row>
    <row r="3216" spans="1:18" ht="19.5" hidden="1" thickBot="1" x14ac:dyDescent="0.3">
      <c r="A3216" s="995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1021"/>
      <c r="H3216" s="23" t="s">
        <v>727</v>
      </c>
      <c r="I3216" s="180" t="s">
        <v>728</v>
      </c>
      <c r="J3216" s="27" t="s">
        <v>266</v>
      </c>
      <c r="K3216" s="23" t="str">
        <f t="shared" si="96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  <c r="Q3216" s="2"/>
      <c r="R3216" s="2"/>
    </row>
    <row r="3217" spans="1:18" ht="19.5" hidden="1" thickBot="1" x14ac:dyDescent="0.3">
      <c r="A3217" s="995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1021"/>
      <c r="H3217" s="23" t="s">
        <v>727</v>
      </c>
      <c r="I3217" s="180" t="s">
        <v>728</v>
      </c>
      <c r="J3217" s="27" t="s">
        <v>266</v>
      </c>
      <c r="K3217" s="23" t="str">
        <f t="shared" si="96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  <c r="Q3217" s="2"/>
      <c r="R3217" s="2"/>
    </row>
    <row r="3218" spans="1:18" ht="19.5" hidden="1" thickBot="1" x14ac:dyDescent="0.3">
      <c r="A3218" s="995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1021"/>
      <c r="H3218" s="23" t="s">
        <v>727</v>
      </c>
      <c r="I3218" s="180" t="s">
        <v>728</v>
      </c>
      <c r="J3218" s="27" t="s">
        <v>266</v>
      </c>
      <c r="K3218" s="23" t="str">
        <f t="shared" si="96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  <c r="Q3218" s="2"/>
      <c r="R3218" s="2"/>
    </row>
    <row r="3219" spans="1:18" ht="19.5" hidden="1" thickBot="1" x14ac:dyDescent="0.3">
      <c r="A3219" s="995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1021"/>
      <c r="H3219" s="293" t="s">
        <v>727</v>
      </c>
      <c r="I3219" s="388" t="s">
        <v>728</v>
      </c>
      <c r="J3219" s="296" t="s">
        <v>28</v>
      </c>
      <c r="K3219" s="293" t="str">
        <f t="shared" si="96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  <c r="Q3219" s="2"/>
      <c r="R3219" s="2"/>
    </row>
    <row r="3220" spans="1:18" ht="19.5" hidden="1" thickBot="1" x14ac:dyDescent="0.3">
      <c r="A3220" s="990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6"/>
        <v>01,25</v>
      </c>
      <c r="L3220" s="82" t="s">
        <v>265</v>
      </c>
      <c r="M3220" s="82">
        <v>12631.22</v>
      </c>
      <c r="N3220" s="319">
        <v>0.375</v>
      </c>
      <c r="O3220" s="2"/>
      <c r="P3220" s="2"/>
      <c r="Q3220" s="2"/>
      <c r="R3220" s="2"/>
    </row>
    <row r="3221" spans="1:18" ht="19.5" hidden="1" thickBot="1" x14ac:dyDescent="0.3">
      <c r="A3221" s="990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6"/>
        <v>01,25</v>
      </c>
      <c r="L3221" s="90" t="s">
        <v>265</v>
      </c>
      <c r="M3221" s="90">
        <v>3976.4</v>
      </c>
      <c r="N3221" s="325">
        <v>0.375</v>
      </c>
      <c r="O3221" s="2"/>
      <c r="P3221" s="2"/>
      <c r="Q3221" s="2"/>
      <c r="R3221" s="2"/>
    </row>
    <row r="3222" spans="1:18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6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  <c r="Q3222" s="2"/>
      <c r="R3222" s="2"/>
    </row>
    <row r="3223" spans="1:18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6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  <c r="Q3223" s="2"/>
      <c r="R3223" s="2"/>
    </row>
    <row r="3224" spans="1:18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6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  <c r="Q3224" s="2"/>
      <c r="R3224" s="2"/>
    </row>
    <row r="3225" spans="1:18" ht="57" hidden="1" thickBot="1" x14ac:dyDescent="0.3">
      <c r="A3225" s="990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6"/>
        <v>01,25</v>
      </c>
      <c r="L3225" s="82" t="s">
        <v>266</v>
      </c>
      <c r="M3225" s="82">
        <v>16245.3</v>
      </c>
      <c r="N3225" s="319">
        <v>0.5</v>
      </c>
      <c r="O3225" s="2"/>
      <c r="P3225" s="2"/>
      <c r="Q3225" s="2"/>
      <c r="R3225" s="2"/>
    </row>
    <row r="3226" spans="1:18" ht="57" hidden="1" thickBot="1" x14ac:dyDescent="0.3">
      <c r="A3226" s="990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6"/>
        <v>01,25</v>
      </c>
      <c r="L3226" s="90" t="s">
        <v>28</v>
      </c>
      <c r="M3226" s="90">
        <v>1515</v>
      </c>
      <c r="N3226" s="325">
        <v>0.5</v>
      </c>
      <c r="O3226" s="2"/>
      <c r="P3226" s="2"/>
      <c r="Q3226" s="2"/>
      <c r="R3226" s="2"/>
    </row>
    <row r="3227" spans="1:18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6"/>
        <v>01,25</v>
      </c>
      <c r="L3227" s="75" t="s">
        <v>265</v>
      </c>
      <c r="M3227" s="75">
        <v>12214.68</v>
      </c>
      <c r="N3227" s="322">
        <v>0.375</v>
      </c>
      <c r="O3227" s="2"/>
      <c r="P3227" s="2"/>
      <c r="Q3227" s="2"/>
      <c r="R3227" s="2"/>
    </row>
    <row r="3228" spans="1:18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6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  <c r="Q3228" s="2"/>
      <c r="R3228" s="2"/>
    </row>
    <row r="3229" spans="1:18" ht="19.5" hidden="1" thickBot="1" x14ac:dyDescent="0.3">
      <c r="A3229" s="991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6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  <c r="Q3229" s="2"/>
      <c r="R3229" s="2"/>
    </row>
    <row r="3230" spans="1:18" ht="19.5" hidden="1" thickBot="1" x14ac:dyDescent="0.3">
      <c r="A3230" s="991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6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  <c r="Q3230" s="2"/>
      <c r="R3230" s="2"/>
    </row>
    <row r="3231" spans="1:18" ht="19.5" hidden="1" thickBot="1" x14ac:dyDescent="0.3">
      <c r="A3231" s="990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6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  <c r="Q3231" s="2"/>
      <c r="R3231" s="2"/>
    </row>
    <row r="3232" spans="1:18" ht="19.5" hidden="1" thickBot="1" x14ac:dyDescent="0.3">
      <c r="A3232" s="990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6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  <c r="Q3232" s="2"/>
      <c r="R3232" s="2"/>
    </row>
    <row r="3233" spans="1:18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6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  <c r="Q3233" s="2"/>
      <c r="R3233" s="2"/>
    </row>
    <row r="3234" spans="1:18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6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  <c r="Q3234" s="2"/>
      <c r="R3234" s="2"/>
    </row>
    <row r="3235" spans="1:18" ht="19.5" hidden="1" thickBot="1" x14ac:dyDescent="0.3">
      <c r="A3235" s="995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6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  <c r="Q3235" s="2"/>
      <c r="R3235" s="2"/>
    </row>
    <row r="3236" spans="1:18" ht="19.5" hidden="1" thickBot="1" x14ac:dyDescent="0.3">
      <c r="A3236" s="995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6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  <c r="Q3236" s="2"/>
      <c r="R3236" s="2"/>
    </row>
    <row r="3237" spans="1:18" ht="19.5" hidden="1" thickBot="1" x14ac:dyDescent="0.3">
      <c r="A3237" s="995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6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  <c r="Q3237" s="2"/>
      <c r="R3237" s="2"/>
    </row>
    <row r="3238" spans="1:18" ht="19.5" hidden="1" thickBot="1" x14ac:dyDescent="0.3">
      <c r="A3238" s="995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6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  <c r="Q3238" s="2"/>
      <c r="R3238" s="2"/>
    </row>
    <row r="3239" spans="1:18" ht="19.5" hidden="1" thickBot="1" x14ac:dyDescent="0.3">
      <c r="A3239" s="110">
        <f t="shared" ref="A3239:A3245" si="97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6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  <c r="Q3239" s="2"/>
      <c r="R3239" s="2"/>
    </row>
    <row r="3240" spans="1:18" ht="19.5" hidden="1" thickBot="1" x14ac:dyDescent="0.3">
      <c r="A3240" s="111">
        <f t="shared" si="97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6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  <c r="Q3240" s="2"/>
      <c r="R3240" s="2"/>
    </row>
    <row r="3241" spans="1:18" ht="75.75" hidden="1" thickBot="1" x14ac:dyDescent="0.3">
      <c r="A3241" s="110">
        <f t="shared" si="97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6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  <c r="Q3241" s="2"/>
      <c r="R3241" s="2"/>
    </row>
    <row r="3242" spans="1:18" ht="19.5" hidden="1" thickBot="1" x14ac:dyDescent="0.3">
      <c r="A3242" s="111">
        <f t="shared" si="97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6"/>
        <v>01,25</v>
      </c>
      <c r="L3242" s="75" t="s">
        <v>265</v>
      </c>
      <c r="M3242" s="75">
        <v>17366.5</v>
      </c>
      <c r="N3242" s="322">
        <v>0.375</v>
      </c>
      <c r="O3242" s="2"/>
      <c r="P3242" s="2"/>
      <c r="Q3242" s="2"/>
      <c r="R3242" s="2"/>
    </row>
    <row r="3243" spans="1:18" ht="19.5" hidden="1" thickBot="1" x14ac:dyDescent="0.3">
      <c r="A3243" s="110">
        <f t="shared" si="97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6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  <c r="Q3243" s="2"/>
      <c r="R3243" s="2"/>
    </row>
    <row r="3244" spans="1:18" ht="19.5" hidden="1" thickBot="1" x14ac:dyDescent="0.3">
      <c r="A3244" s="111">
        <f t="shared" si="97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6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  <c r="Q3244" s="2"/>
      <c r="R3244" s="2"/>
    </row>
    <row r="3245" spans="1:18" ht="19.5" hidden="1" thickBot="1" x14ac:dyDescent="0.3">
      <c r="A3245" s="990">
        <f t="shared" si="97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6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  <c r="Q3245" s="2"/>
      <c r="R3245" s="2"/>
    </row>
    <row r="3246" spans="1:18" ht="19.5" hidden="1" thickBot="1" x14ac:dyDescent="0.3">
      <c r="A3246" s="990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6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  <c r="Q3246" s="2"/>
      <c r="R3246" s="2"/>
    </row>
    <row r="3247" spans="1:18" ht="19.5" hidden="1" thickBot="1" x14ac:dyDescent="0.3">
      <c r="A3247" s="990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6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  <c r="Q3247" s="2"/>
      <c r="R3247" s="2"/>
    </row>
    <row r="3248" spans="1:18" ht="19.5" hidden="1" thickBot="1" x14ac:dyDescent="0.3">
      <c r="A3248" s="991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6"/>
        <v>01,25</v>
      </c>
      <c r="L3248" s="48" t="s">
        <v>28</v>
      </c>
      <c r="M3248" s="48">
        <v>5018.92</v>
      </c>
      <c r="N3248" s="315">
        <v>0.5</v>
      </c>
      <c r="O3248" s="2"/>
      <c r="P3248" s="2"/>
      <c r="Q3248" s="2"/>
      <c r="R3248" s="2"/>
    </row>
    <row r="3249" spans="1:18" ht="19.5" hidden="1" thickBot="1" x14ac:dyDescent="0.3">
      <c r="A3249" s="991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6"/>
        <v>01,25</v>
      </c>
      <c r="L3249" s="23" t="s">
        <v>28</v>
      </c>
      <c r="M3249" s="23">
        <v>2198.52</v>
      </c>
      <c r="N3249" s="329">
        <v>0.5</v>
      </c>
      <c r="O3249" s="2"/>
      <c r="P3249" s="2"/>
      <c r="Q3249" s="2"/>
      <c r="R3249" s="2"/>
    </row>
    <row r="3250" spans="1:18" ht="19.5" hidden="1" thickBot="1" x14ac:dyDescent="0.3">
      <c r="A3250" s="991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6"/>
        <v>01,25</v>
      </c>
      <c r="L3250" s="71" t="s">
        <v>28</v>
      </c>
      <c r="M3250" s="71">
        <v>10605.6</v>
      </c>
      <c r="N3250" s="323">
        <v>0.5</v>
      </c>
      <c r="O3250" s="2"/>
      <c r="P3250" s="2"/>
      <c r="Q3250" s="2"/>
      <c r="R3250" s="2"/>
    </row>
    <row r="3251" spans="1:18" ht="19.5" hidden="1" thickBot="1" x14ac:dyDescent="0.3">
      <c r="A3251" s="990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6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  <c r="Q3251" s="2"/>
      <c r="R3251" s="2"/>
    </row>
    <row r="3252" spans="1:18" ht="19.5" hidden="1" thickBot="1" x14ac:dyDescent="0.3">
      <c r="A3252" s="990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6"/>
        <v>01,25</v>
      </c>
      <c r="L3252" s="90" t="s">
        <v>28</v>
      </c>
      <c r="M3252" s="90">
        <v>7660.4</v>
      </c>
      <c r="N3252" s="325">
        <v>0.375</v>
      </c>
      <c r="O3252" s="2"/>
      <c r="P3252" s="2"/>
      <c r="Q3252" s="2"/>
      <c r="R3252" s="2"/>
    </row>
    <row r="3253" spans="1:18" ht="19.5" hidden="1" thickBot="1" x14ac:dyDescent="0.3">
      <c r="A3253" s="991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6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  <c r="Q3253" s="2"/>
      <c r="R3253" s="2"/>
    </row>
    <row r="3254" spans="1:18" ht="19.5" hidden="1" thickBot="1" x14ac:dyDescent="0.3">
      <c r="A3254" s="991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6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  <c r="Q3254" s="2"/>
      <c r="R3254" s="2"/>
    </row>
    <row r="3255" spans="1:18" ht="38.25" hidden="1" thickBot="1" x14ac:dyDescent="0.3">
      <c r="A3255" s="990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6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  <c r="Q3255" s="2"/>
      <c r="R3255" s="2"/>
    </row>
    <row r="3256" spans="1:18" ht="38.25" hidden="1" thickBot="1" x14ac:dyDescent="0.3">
      <c r="A3256" s="990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6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  <c r="Q3256" s="2"/>
      <c r="R3256" s="2"/>
    </row>
    <row r="3257" spans="1:18" ht="19.5" hidden="1" thickBot="1" x14ac:dyDescent="0.3">
      <c r="A3257" s="995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6"/>
        <v>01,25</v>
      </c>
      <c r="L3257" s="48" t="s">
        <v>266</v>
      </c>
      <c r="M3257" s="48">
        <v>12555.62</v>
      </c>
      <c r="N3257" s="315">
        <v>0.5</v>
      </c>
      <c r="O3257" s="2"/>
      <c r="P3257" s="2"/>
      <c r="Q3257" s="2"/>
      <c r="R3257" s="2"/>
    </row>
    <row r="3258" spans="1:18" ht="19.5" hidden="1" thickBot="1" x14ac:dyDescent="0.3">
      <c r="A3258" s="995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6"/>
        <v>01,25</v>
      </c>
      <c r="L3258" s="23" t="s">
        <v>28</v>
      </c>
      <c r="M3258" s="23">
        <v>525</v>
      </c>
      <c r="N3258" s="329">
        <v>0.5</v>
      </c>
      <c r="O3258" s="2"/>
      <c r="P3258" s="2"/>
      <c r="Q3258" s="2"/>
      <c r="R3258" s="2"/>
    </row>
    <row r="3259" spans="1:18" ht="19.5" hidden="1" thickBot="1" x14ac:dyDescent="0.3">
      <c r="A3259" s="995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8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  <c r="Q3259" s="2"/>
      <c r="R3259" s="2"/>
    </row>
    <row r="3260" spans="1:18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8"/>
        <v>01,25</v>
      </c>
      <c r="L3260" s="40" t="s">
        <v>28</v>
      </c>
      <c r="M3260" s="40">
        <v>3035.4</v>
      </c>
      <c r="N3260" s="317">
        <v>0.375</v>
      </c>
      <c r="O3260" s="2"/>
      <c r="P3260" s="2"/>
      <c r="Q3260" s="2"/>
      <c r="R3260" s="2"/>
    </row>
    <row r="3261" spans="1:18" ht="19.5" hidden="1" thickBot="1" x14ac:dyDescent="0.3">
      <c r="A3261" s="991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8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  <c r="Q3261" s="2"/>
      <c r="R3261" s="2"/>
    </row>
    <row r="3262" spans="1:18" ht="19.5" hidden="1" thickBot="1" x14ac:dyDescent="0.3">
      <c r="A3262" s="991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8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  <c r="Q3262" s="2"/>
      <c r="R3262" s="2"/>
    </row>
    <row r="3263" spans="1:18" ht="19.5" hidden="1" thickBot="1" x14ac:dyDescent="0.3">
      <c r="A3263" s="990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8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  <c r="Q3263" s="2"/>
      <c r="R3263" s="2"/>
    </row>
    <row r="3264" spans="1:18" ht="19.5" hidden="1" thickBot="1" x14ac:dyDescent="0.3">
      <c r="A3264" s="990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8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  <c r="Q3264" s="2"/>
      <c r="R3264" s="2"/>
    </row>
    <row r="3265" spans="1:18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8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  <c r="Q3265" s="2"/>
      <c r="R3265" s="2"/>
    </row>
    <row r="3266" spans="1:18" ht="19.5" hidden="1" thickBot="1" x14ac:dyDescent="0.3">
      <c r="A3266" s="996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8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  <c r="Q3266" s="2"/>
      <c r="R3266" s="2"/>
    </row>
    <row r="3267" spans="1:18" ht="19.5" hidden="1" thickBot="1" x14ac:dyDescent="0.3">
      <c r="A3267" s="996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8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  <c r="Q3267" s="2"/>
      <c r="R3267" s="2"/>
    </row>
    <row r="3268" spans="1:18" ht="19.5" hidden="1" thickBot="1" x14ac:dyDescent="0.3">
      <c r="A3268" s="996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8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  <c r="Q3268" s="2"/>
      <c r="R3268" s="2"/>
    </row>
    <row r="3269" spans="1:18" ht="19.5" hidden="1" thickBot="1" x14ac:dyDescent="0.3">
      <c r="A3269" s="996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8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  <c r="Q3269" s="2"/>
      <c r="R3269" s="2"/>
    </row>
    <row r="3270" spans="1:18" ht="19.5" hidden="1" thickBot="1" x14ac:dyDescent="0.3">
      <c r="A3270" s="996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8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  <c r="Q3270" s="2"/>
      <c r="R3270" s="2"/>
    </row>
    <row r="3271" spans="1:18" ht="19.5" hidden="1" thickBot="1" x14ac:dyDescent="0.3">
      <c r="A3271" s="996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8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  <c r="Q3271" s="2"/>
      <c r="R3271" s="2"/>
    </row>
    <row r="3272" spans="1:18" ht="19.5" hidden="1" thickBot="1" x14ac:dyDescent="0.3">
      <c r="A3272" s="996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8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  <c r="Q3272" s="2"/>
      <c r="R3272" s="2"/>
    </row>
    <row r="3273" spans="1:18" ht="19.5" hidden="1" thickBot="1" x14ac:dyDescent="0.3">
      <c r="A3273" s="996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8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  <c r="Q3273" s="2"/>
      <c r="R3273" s="2"/>
    </row>
    <row r="3274" spans="1:18" ht="19.5" hidden="1" thickBot="1" x14ac:dyDescent="0.3">
      <c r="A3274" s="991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8"/>
        <v>01,25</v>
      </c>
      <c r="L3274" s="48" t="s">
        <v>265</v>
      </c>
      <c r="M3274" s="48">
        <v>12123.94</v>
      </c>
      <c r="N3274" s="315">
        <v>0.375</v>
      </c>
      <c r="O3274" s="2"/>
      <c r="P3274" s="2"/>
      <c r="Q3274" s="2"/>
      <c r="R3274" s="2"/>
    </row>
    <row r="3275" spans="1:18" ht="19.5" hidden="1" thickBot="1" x14ac:dyDescent="0.3">
      <c r="A3275" s="991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8"/>
        <v>01,25</v>
      </c>
      <c r="L3275" s="71" t="s">
        <v>265</v>
      </c>
      <c r="M3275" s="71">
        <v>4421.2</v>
      </c>
      <c r="N3275" s="323">
        <v>0.375</v>
      </c>
      <c r="O3275" s="2"/>
      <c r="P3275" s="2"/>
      <c r="Q3275" s="2"/>
      <c r="R3275" s="2"/>
    </row>
    <row r="3276" spans="1:18" ht="19.5" hidden="1" thickBot="1" x14ac:dyDescent="0.3">
      <c r="A3276" s="990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8"/>
        <v>01,25</v>
      </c>
      <c r="L3276" s="82" t="s">
        <v>265</v>
      </c>
      <c r="M3276" s="82">
        <v>15206.19</v>
      </c>
      <c r="N3276" s="319">
        <v>0.375</v>
      </c>
      <c r="O3276" s="2"/>
      <c r="P3276" s="2"/>
      <c r="Q3276" s="2"/>
      <c r="R3276" s="2"/>
    </row>
    <row r="3277" spans="1:18" ht="38.25" hidden="1" thickBot="1" x14ac:dyDescent="0.3">
      <c r="A3277" s="990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8"/>
        <v>01,25</v>
      </c>
      <c r="L3277" s="90" t="s">
        <v>265</v>
      </c>
      <c r="M3277" s="90">
        <v>2010</v>
      </c>
      <c r="N3277" s="325">
        <v>0.375</v>
      </c>
      <c r="O3277" s="2"/>
      <c r="P3277" s="2"/>
      <c r="Q3277" s="2"/>
      <c r="R3277" s="2"/>
    </row>
    <row r="3278" spans="1:18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8"/>
        <v>01,25</v>
      </c>
      <c r="L3278" s="75" t="s">
        <v>265</v>
      </c>
      <c r="M3278" s="75">
        <v>11779.2</v>
      </c>
      <c r="N3278" s="322">
        <v>0.375</v>
      </c>
      <c r="O3278" s="2"/>
      <c r="P3278" s="2"/>
      <c r="Q3278" s="2"/>
      <c r="R3278" s="2"/>
    </row>
    <row r="3279" spans="1:18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8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  <c r="Q3279" s="2"/>
      <c r="R3279" s="2"/>
    </row>
    <row r="3280" spans="1:18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8"/>
        <v>01,25</v>
      </c>
      <c r="L3280" s="75" t="s">
        <v>265</v>
      </c>
      <c r="M3280" s="75">
        <v>11289.12</v>
      </c>
      <c r="N3280" s="322">
        <v>0.375</v>
      </c>
      <c r="O3280" s="2"/>
      <c r="P3280" s="2"/>
      <c r="Q3280" s="2"/>
      <c r="R3280" s="2"/>
    </row>
    <row r="3281" spans="1:18" ht="19.5" hidden="1" thickBot="1" x14ac:dyDescent="0.3">
      <c r="A3281" s="990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8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  <c r="Q3281" s="2"/>
      <c r="R3281" s="2"/>
    </row>
    <row r="3282" spans="1:18" ht="38.25" hidden="1" thickBot="1" x14ac:dyDescent="0.3">
      <c r="A3282" s="990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8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  <c r="Q3282" s="2"/>
      <c r="R3282" s="2"/>
    </row>
    <row r="3283" spans="1:18" ht="19.5" hidden="1" thickBot="1" x14ac:dyDescent="0.3">
      <c r="A3283" s="995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8"/>
        <v>01,25</v>
      </c>
      <c r="L3283" s="48" t="s">
        <v>28</v>
      </c>
      <c r="M3283" s="48">
        <v>12302.17</v>
      </c>
      <c r="N3283" s="315">
        <v>0.5</v>
      </c>
      <c r="O3283" s="2"/>
      <c r="P3283" s="2"/>
      <c r="Q3283" s="2"/>
      <c r="R3283" s="2"/>
    </row>
    <row r="3284" spans="1:18" ht="38.25" hidden="1" thickBot="1" x14ac:dyDescent="0.3">
      <c r="A3284" s="995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8"/>
        <v>01,25</v>
      </c>
      <c r="L3284" s="23" t="s">
        <v>28</v>
      </c>
      <c r="M3284" s="23">
        <v>405</v>
      </c>
      <c r="N3284" s="329">
        <v>0.5</v>
      </c>
      <c r="O3284" s="2"/>
      <c r="P3284" s="2"/>
      <c r="Q3284" s="2"/>
      <c r="R3284" s="2"/>
    </row>
    <row r="3285" spans="1:18" ht="19.5" hidden="1" thickBot="1" x14ac:dyDescent="0.3">
      <c r="A3285" s="995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8"/>
        <v>01,25</v>
      </c>
      <c r="L3285" s="293" t="s">
        <v>28</v>
      </c>
      <c r="M3285" s="293">
        <v>4572.72</v>
      </c>
      <c r="N3285" s="389">
        <v>0.5</v>
      </c>
      <c r="O3285" s="2"/>
      <c r="P3285" s="2"/>
      <c r="Q3285" s="2"/>
      <c r="R3285" s="2"/>
    </row>
    <row r="3286" spans="1:18" ht="19.5" hidden="1" thickBot="1" x14ac:dyDescent="0.3">
      <c r="A3286" s="990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8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  <c r="Q3286" s="2"/>
      <c r="R3286" s="2"/>
    </row>
    <row r="3287" spans="1:18" ht="38.25" hidden="1" thickBot="1" x14ac:dyDescent="0.3">
      <c r="A3287" s="990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8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  <c r="Q3287" s="2"/>
      <c r="R3287" s="2"/>
    </row>
    <row r="3288" spans="1:18" ht="19.5" hidden="1" thickBot="1" x14ac:dyDescent="0.3">
      <c r="A3288" s="990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8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  <c r="Q3288" s="2"/>
      <c r="R3288" s="2"/>
    </row>
    <row r="3289" spans="1:18" ht="19.5" hidden="1" thickBot="1" x14ac:dyDescent="0.3">
      <c r="A3289" s="990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8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  <c r="Q3289" s="2"/>
      <c r="R3289" s="2"/>
    </row>
    <row r="3290" spans="1:18" ht="38.25" hidden="1" thickBot="1" x14ac:dyDescent="0.3">
      <c r="A3290" s="990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8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  <c r="Q3290" s="2"/>
      <c r="R3290" s="2"/>
    </row>
    <row r="3291" spans="1:18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8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  <c r="Q3291" s="2"/>
      <c r="R3291" s="2"/>
    </row>
    <row r="3292" spans="1:18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8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  <c r="Q3292" s="2"/>
      <c r="R3292" s="2"/>
    </row>
    <row r="3293" spans="1:18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8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  <c r="Q3293" s="2"/>
      <c r="R3293" s="2"/>
    </row>
    <row r="3294" spans="1:18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8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  <c r="Q3294" s="2"/>
      <c r="R3294" s="2"/>
    </row>
    <row r="3295" spans="1:18" ht="19.5" hidden="1" thickBot="1" x14ac:dyDescent="0.3">
      <c r="A3295" s="991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8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  <c r="Q3295" s="2"/>
      <c r="R3295" s="2"/>
    </row>
    <row r="3296" spans="1:18" ht="19.5" hidden="1" thickBot="1" x14ac:dyDescent="0.3">
      <c r="A3296" s="991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8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  <c r="Q3296" s="2"/>
      <c r="R3296" s="2"/>
    </row>
    <row r="3297" spans="1:18" ht="19.5" hidden="1" thickBot="1" x14ac:dyDescent="0.3">
      <c r="A3297" s="990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8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  <c r="Q3297" s="2"/>
      <c r="R3297" s="2"/>
    </row>
    <row r="3298" spans="1:18" ht="19.5" hidden="1" thickBot="1" x14ac:dyDescent="0.3">
      <c r="A3298" s="990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8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  <c r="Q3298" s="2"/>
      <c r="R3298" s="2"/>
    </row>
    <row r="3299" spans="1:18" ht="19.5" hidden="1" thickBot="1" x14ac:dyDescent="0.3">
      <c r="A3299" s="991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8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  <c r="Q3299" s="2"/>
      <c r="R3299" s="2"/>
    </row>
    <row r="3300" spans="1:18" ht="19.5" hidden="1" thickBot="1" x14ac:dyDescent="0.3">
      <c r="A3300" s="991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8"/>
        <v>01,25</v>
      </c>
      <c r="L3300" s="23" t="s">
        <v>28</v>
      </c>
      <c r="M3300" s="23">
        <v>404.4</v>
      </c>
      <c r="N3300" s="329">
        <v>0.5</v>
      </c>
      <c r="O3300" s="2"/>
      <c r="P3300" s="2"/>
      <c r="Q3300" s="2"/>
      <c r="R3300" s="2"/>
    </row>
    <row r="3301" spans="1:18" ht="19.5" hidden="1" thickBot="1" x14ac:dyDescent="0.3">
      <c r="A3301" s="991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8"/>
        <v>01,25</v>
      </c>
      <c r="L3301" s="23" t="s">
        <v>28</v>
      </c>
      <c r="M3301" s="23">
        <v>3195</v>
      </c>
      <c r="N3301" s="329">
        <v>0.5</v>
      </c>
      <c r="O3301" s="2"/>
      <c r="P3301" s="2"/>
      <c r="Q3301" s="2"/>
      <c r="R3301" s="2"/>
    </row>
    <row r="3302" spans="1:18" ht="19.5" hidden="1" thickBot="1" x14ac:dyDescent="0.3">
      <c r="A3302" s="991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8"/>
        <v>01,25</v>
      </c>
      <c r="L3302" s="71" t="s">
        <v>28</v>
      </c>
      <c r="M3302" s="71">
        <v>11320.86</v>
      </c>
      <c r="N3302" s="323">
        <v>0.5</v>
      </c>
      <c r="O3302" s="2"/>
      <c r="P3302" s="2"/>
      <c r="Q3302" s="2"/>
      <c r="R3302" s="2"/>
    </row>
    <row r="3303" spans="1:18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8"/>
        <v>01,25</v>
      </c>
      <c r="L3303" s="40" t="s">
        <v>265</v>
      </c>
      <c r="M3303" s="40">
        <v>17300.77</v>
      </c>
      <c r="N3303" s="317">
        <v>0.375</v>
      </c>
      <c r="O3303" s="2"/>
      <c r="P3303" s="2"/>
      <c r="Q3303" s="2"/>
      <c r="R3303" s="2"/>
    </row>
    <row r="3304" spans="1:18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8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  <c r="Q3304" s="2"/>
      <c r="R3304" s="2"/>
    </row>
    <row r="3305" spans="1:18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8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  <c r="Q3305" s="2"/>
      <c r="R3305" s="2"/>
    </row>
    <row r="3306" spans="1:18" ht="19.5" hidden="1" thickBot="1" x14ac:dyDescent="0.3">
      <c r="A3306" s="995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8"/>
        <v>01,25</v>
      </c>
      <c r="L3306" s="48" t="s">
        <v>28</v>
      </c>
      <c r="M3306" s="48">
        <v>7253.52</v>
      </c>
      <c r="N3306" s="315">
        <v>0.5</v>
      </c>
      <c r="O3306" s="2"/>
      <c r="P3306" s="2"/>
      <c r="Q3306" s="2"/>
      <c r="R3306" s="2"/>
    </row>
    <row r="3307" spans="1:18" ht="19.5" hidden="1" thickBot="1" x14ac:dyDescent="0.3">
      <c r="A3307" s="995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8"/>
        <v>01,25</v>
      </c>
      <c r="L3307" s="293" t="s">
        <v>28</v>
      </c>
      <c r="M3307" s="293">
        <v>5308.92</v>
      </c>
      <c r="N3307" s="389">
        <v>0.5</v>
      </c>
      <c r="O3307" s="2"/>
      <c r="P3307" s="2"/>
      <c r="Q3307" s="2"/>
      <c r="R3307" s="2"/>
    </row>
    <row r="3308" spans="1:18" ht="19.5" hidden="1" thickBot="1" x14ac:dyDescent="0.3">
      <c r="A3308" s="990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8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  <c r="Q3308" s="2"/>
      <c r="R3308" s="2"/>
    </row>
    <row r="3309" spans="1:18" ht="19.5" hidden="1" thickBot="1" x14ac:dyDescent="0.3">
      <c r="A3309" s="990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8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  <c r="Q3309" s="2"/>
      <c r="R3309" s="2"/>
    </row>
    <row r="3310" spans="1:18" ht="19.5" hidden="1" thickBot="1" x14ac:dyDescent="0.3">
      <c r="A3310" s="991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8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  <c r="Q3310" s="2"/>
      <c r="R3310" s="2"/>
    </row>
    <row r="3311" spans="1:18" ht="19.5" hidden="1" thickBot="1" x14ac:dyDescent="0.3">
      <c r="A3311" s="991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8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  <c r="Q3311" s="2"/>
      <c r="R3311" s="2"/>
    </row>
    <row r="3312" spans="1:18" ht="19.5" hidden="1" thickBot="1" x14ac:dyDescent="0.3">
      <c r="A3312" s="996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8"/>
        <v>01,25</v>
      </c>
      <c r="L3312" s="82" t="s">
        <v>266</v>
      </c>
      <c r="M3312" s="82">
        <v>510</v>
      </c>
      <c r="N3312" s="319">
        <v>0.5</v>
      </c>
      <c r="O3312" s="2"/>
      <c r="P3312" s="2"/>
      <c r="Q3312" s="2"/>
      <c r="R3312" s="2"/>
    </row>
    <row r="3313" spans="1:18" ht="19.5" hidden="1" thickBot="1" x14ac:dyDescent="0.3">
      <c r="A3313" s="996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8"/>
        <v>01,25</v>
      </c>
      <c r="L3313" s="98" t="s">
        <v>28</v>
      </c>
      <c r="M3313" s="98">
        <v>600</v>
      </c>
      <c r="N3313" s="364">
        <v>0.5</v>
      </c>
      <c r="O3313" s="2"/>
      <c r="P3313" s="2"/>
      <c r="Q3313" s="2"/>
      <c r="R3313" s="2"/>
    </row>
    <row r="3314" spans="1:18" ht="19.5" hidden="1" thickBot="1" x14ac:dyDescent="0.3">
      <c r="A3314" s="996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8"/>
        <v>01,25</v>
      </c>
      <c r="L3314" s="98" t="s">
        <v>266</v>
      </c>
      <c r="M3314" s="98">
        <v>3528.68</v>
      </c>
      <c r="N3314" s="364">
        <v>0.5</v>
      </c>
      <c r="O3314" s="2"/>
      <c r="P3314" s="2"/>
      <c r="Q3314" s="2"/>
      <c r="R3314" s="2"/>
    </row>
    <row r="3315" spans="1:18" ht="19.5" hidden="1" thickBot="1" x14ac:dyDescent="0.3">
      <c r="A3315" s="996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8"/>
        <v>01,25</v>
      </c>
      <c r="L3315" s="98" t="s">
        <v>28</v>
      </c>
      <c r="M3315" s="98">
        <v>270</v>
      </c>
      <c r="N3315" s="364">
        <v>0.5</v>
      </c>
      <c r="O3315" s="2"/>
      <c r="P3315" s="2"/>
      <c r="Q3315" s="2"/>
      <c r="R3315" s="2"/>
    </row>
    <row r="3316" spans="1:18" ht="19.5" hidden="1" thickBot="1" x14ac:dyDescent="0.3">
      <c r="A3316" s="996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8"/>
        <v>01,25</v>
      </c>
      <c r="L3316" s="98" t="s">
        <v>266</v>
      </c>
      <c r="M3316" s="98">
        <v>588.5</v>
      </c>
      <c r="N3316" s="364">
        <v>0.5</v>
      </c>
      <c r="O3316" s="2"/>
      <c r="P3316" s="2"/>
      <c r="Q3316" s="2"/>
      <c r="R3316" s="2"/>
    </row>
    <row r="3317" spans="1:18" ht="19.5" hidden="1" thickBot="1" x14ac:dyDescent="0.3">
      <c r="A3317" s="996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8"/>
        <v>01,25</v>
      </c>
      <c r="L3317" s="98" t="s">
        <v>266</v>
      </c>
      <c r="M3317" s="98">
        <v>4880.22</v>
      </c>
      <c r="N3317" s="364">
        <v>0.5</v>
      </c>
      <c r="O3317" s="2"/>
      <c r="P3317" s="2"/>
      <c r="Q3317" s="2"/>
      <c r="R3317" s="2"/>
    </row>
    <row r="3318" spans="1:18" ht="19.5" hidden="1" thickBot="1" x14ac:dyDescent="0.3">
      <c r="A3318" s="996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8"/>
        <v>01,25</v>
      </c>
      <c r="L3318" s="98" t="s">
        <v>266</v>
      </c>
      <c r="M3318" s="98">
        <v>2725.04</v>
      </c>
      <c r="N3318" s="364">
        <v>0.5</v>
      </c>
      <c r="O3318" s="2"/>
      <c r="P3318" s="2"/>
      <c r="Q3318" s="2"/>
      <c r="R3318" s="2"/>
    </row>
    <row r="3319" spans="1:18" ht="19.5" hidden="1" thickBot="1" x14ac:dyDescent="0.3">
      <c r="A3319" s="996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8"/>
        <v>01,25</v>
      </c>
      <c r="L3319" s="98" t="s">
        <v>266</v>
      </c>
      <c r="M3319" s="98">
        <v>3592.62</v>
      </c>
      <c r="N3319" s="364">
        <v>0.5</v>
      </c>
      <c r="O3319" s="2"/>
      <c r="P3319" s="2"/>
      <c r="Q3319" s="2"/>
      <c r="R3319" s="2"/>
    </row>
    <row r="3320" spans="1:18" ht="19.5" hidden="1" thickBot="1" x14ac:dyDescent="0.3">
      <c r="A3320" s="996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8"/>
        <v>01,25</v>
      </c>
      <c r="L3320" s="65" t="s">
        <v>28</v>
      </c>
      <c r="M3320" s="65">
        <v>1230</v>
      </c>
      <c r="N3320" s="434">
        <v>0.5</v>
      </c>
      <c r="O3320" s="2"/>
      <c r="P3320" s="2"/>
      <c r="Q3320" s="2"/>
      <c r="R3320" s="2"/>
    </row>
    <row r="3321" spans="1:18" ht="19.5" hidden="1" thickBot="1" x14ac:dyDescent="0.3">
      <c r="A3321" s="991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8"/>
        <v>01,25</v>
      </c>
      <c r="L3321" s="48" t="s">
        <v>265</v>
      </c>
      <c r="M3321" s="48">
        <v>11211.28</v>
      </c>
      <c r="N3321" s="315">
        <v>0.375</v>
      </c>
      <c r="O3321" s="2"/>
      <c r="P3321" s="2"/>
      <c r="Q3321" s="2"/>
      <c r="R3321" s="2"/>
    </row>
    <row r="3322" spans="1:18" ht="19.5" hidden="1" thickBot="1" x14ac:dyDescent="0.3">
      <c r="A3322" s="991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8"/>
        <v>01,25</v>
      </c>
      <c r="L3322" s="71" t="s">
        <v>265</v>
      </c>
      <c r="M3322" s="71">
        <v>5531.4</v>
      </c>
      <c r="N3322" s="323">
        <v>0.375</v>
      </c>
      <c r="O3322" s="2"/>
      <c r="P3322" s="2"/>
      <c r="Q3322" s="2"/>
      <c r="R3322" s="2"/>
    </row>
    <row r="3323" spans="1:18" ht="38.25" hidden="1" thickBot="1" x14ac:dyDescent="0.3">
      <c r="A3323" s="110">
        <f t="shared" ref="A3323:A3328" si="99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100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  <c r="Q3323" s="2"/>
      <c r="R3323" s="2"/>
    </row>
    <row r="3324" spans="1:18" ht="19.5" hidden="1" thickBot="1" x14ac:dyDescent="0.3">
      <c r="A3324" s="111">
        <f t="shared" si="99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100"/>
        <v>01,25</v>
      </c>
      <c r="L3324" s="75" t="s">
        <v>265</v>
      </c>
      <c r="M3324" s="75">
        <v>17291.8</v>
      </c>
      <c r="N3324" s="322">
        <v>0.375</v>
      </c>
      <c r="O3324" s="2"/>
      <c r="P3324" s="2"/>
      <c r="Q3324" s="2"/>
      <c r="R3324" s="2"/>
    </row>
    <row r="3325" spans="1:18" ht="19.5" hidden="1" thickBot="1" x14ac:dyDescent="0.3">
      <c r="A3325" s="149">
        <f t="shared" si="99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100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  <c r="Q3325" s="2"/>
      <c r="R3325" s="2"/>
    </row>
    <row r="3326" spans="1:18" ht="19.5" hidden="1" thickBot="1" x14ac:dyDescent="0.3">
      <c r="A3326" s="111">
        <f t="shared" si="99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100"/>
        <v>01,25</v>
      </c>
      <c r="L3326" s="75" t="s">
        <v>265</v>
      </c>
      <c r="M3326" s="75">
        <v>14444.28</v>
      </c>
      <c r="N3326" s="322">
        <v>0.375</v>
      </c>
      <c r="O3326" s="2"/>
      <c r="P3326" s="2"/>
      <c r="Q3326" s="2"/>
      <c r="R3326" s="2"/>
    </row>
    <row r="3327" spans="1:18" ht="113.25" hidden="1" thickBot="1" x14ac:dyDescent="0.3">
      <c r="A3327" s="110">
        <f t="shared" si="99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100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  <c r="Q3327" s="2"/>
      <c r="R3327" s="2"/>
    </row>
    <row r="3328" spans="1:18" ht="19.5" hidden="1" thickBot="1" x14ac:dyDescent="0.3">
      <c r="A3328" s="995">
        <f t="shared" si="99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100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  <c r="Q3328" s="2"/>
      <c r="R3328" s="2"/>
    </row>
    <row r="3329" spans="1:18" ht="19.5" hidden="1" thickBot="1" x14ac:dyDescent="0.3">
      <c r="A3329" s="995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100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  <c r="Q3329" s="2"/>
      <c r="R3329" s="2"/>
    </row>
    <row r="3330" spans="1:18" ht="19.5" hidden="1" thickBot="1" x14ac:dyDescent="0.3">
      <c r="A3330" s="995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100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  <c r="Q3330" s="2"/>
      <c r="R3330" s="2"/>
    </row>
    <row r="3331" spans="1:18" ht="19.5" hidden="1" thickBot="1" x14ac:dyDescent="0.3">
      <c r="A3331" s="149">
        <f t="shared" ref="A3331:A3336" si="101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100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  <c r="Q3331" s="2"/>
      <c r="R3331" s="2"/>
    </row>
    <row r="3332" spans="1:18" ht="150.75" hidden="1" thickBot="1" x14ac:dyDescent="0.3">
      <c r="A3332" s="111">
        <f t="shared" si="101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100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  <c r="Q3332" s="2"/>
      <c r="R3332" s="2"/>
    </row>
    <row r="3333" spans="1:18" ht="19.5" hidden="1" thickBot="1" x14ac:dyDescent="0.3">
      <c r="A3333" s="149">
        <f t="shared" si="101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100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  <c r="Q3333" s="2"/>
      <c r="R3333" s="2"/>
    </row>
    <row r="3334" spans="1:18" ht="19.5" hidden="1" thickBot="1" x14ac:dyDescent="0.3">
      <c r="A3334" s="111">
        <f t="shared" si="101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100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  <c r="Q3334" s="2"/>
      <c r="R3334" s="2"/>
    </row>
    <row r="3335" spans="1:18" ht="19.5" hidden="1" thickBot="1" x14ac:dyDescent="0.3">
      <c r="A3335" s="149">
        <f t="shared" si="101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100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  <c r="Q3335" s="2"/>
      <c r="R3335" s="2"/>
    </row>
    <row r="3336" spans="1:18" ht="19.5" hidden="1" thickBot="1" x14ac:dyDescent="0.3">
      <c r="A3336" s="991">
        <f t="shared" si="101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100"/>
        <v>01,25</v>
      </c>
      <c r="L3336" s="48" t="s">
        <v>28</v>
      </c>
      <c r="M3336" s="48">
        <v>2829.99</v>
      </c>
      <c r="N3336" s="315">
        <v>0.5</v>
      </c>
      <c r="O3336" s="2"/>
      <c r="P3336" s="2"/>
      <c r="Q3336" s="2"/>
      <c r="R3336" s="2"/>
    </row>
    <row r="3337" spans="1:18" ht="19.5" hidden="1" thickBot="1" x14ac:dyDescent="0.3">
      <c r="A3337" s="991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100"/>
        <v>01,25</v>
      </c>
      <c r="L3337" s="23" t="s">
        <v>28</v>
      </c>
      <c r="M3337" s="23">
        <v>3137.64</v>
      </c>
      <c r="N3337" s="329">
        <v>0.5</v>
      </c>
      <c r="O3337" s="2"/>
      <c r="P3337" s="2"/>
      <c r="Q3337" s="2"/>
      <c r="R3337" s="2"/>
    </row>
    <row r="3338" spans="1:18" ht="19.5" hidden="1" thickBot="1" x14ac:dyDescent="0.3">
      <c r="A3338" s="991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100"/>
        <v>01,25</v>
      </c>
      <c r="L3338" s="71" t="s">
        <v>28</v>
      </c>
      <c r="M3338" s="71">
        <v>11637.66</v>
      </c>
      <c r="N3338" s="323">
        <v>0.5</v>
      </c>
      <c r="O3338" s="2"/>
      <c r="P3338" s="2"/>
      <c r="Q3338" s="2"/>
      <c r="R3338" s="2"/>
    </row>
    <row r="3339" spans="1:18" ht="19.5" hidden="1" thickBot="1" x14ac:dyDescent="0.3">
      <c r="A3339" s="996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100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  <c r="Q3339" s="2"/>
      <c r="R3339" s="2"/>
    </row>
    <row r="3340" spans="1:18" ht="19.5" hidden="1" thickBot="1" x14ac:dyDescent="0.3">
      <c r="A3340" s="996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100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  <c r="Q3340" s="2"/>
      <c r="R3340" s="2"/>
    </row>
    <row r="3341" spans="1:18" ht="19.5" hidden="1" thickBot="1" x14ac:dyDescent="0.3">
      <c r="A3341" s="991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100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  <c r="Q3341" s="2"/>
      <c r="R3341" s="2"/>
    </row>
    <row r="3342" spans="1:18" ht="19.5" hidden="1" thickBot="1" x14ac:dyDescent="0.3">
      <c r="A3342" s="991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100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  <c r="Q3342" s="2"/>
      <c r="R3342" s="2"/>
    </row>
    <row r="3343" spans="1:18" ht="19.5" hidden="1" thickBot="1" x14ac:dyDescent="0.3">
      <c r="A3343" s="996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100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  <c r="Q3343" s="2"/>
      <c r="R3343" s="2"/>
    </row>
    <row r="3344" spans="1:18" ht="19.5" hidden="1" thickBot="1" x14ac:dyDescent="0.3">
      <c r="A3344" s="996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100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  <c r="Q3344" s="2"/>
      <c r="R3344" s="2"/>
    </row>
    <row r="3345" spans="1:18" ht="19.5" hidden="1" thickBot="1" x14ac:dyDescent="0.3">
      <c r="A3345" s="991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100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  <c r="Q3345" s="2"/>
      <c r="R3345" s="2"/>
    </row>
    <row r="3346" spans="1:18" ht="19.5" hidden="1" thickBot="1" x14ac:dyDescent="0.3">
      <c r="A3346" s="991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100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  <c r="Q3346" s="2"/>
      <c r="R3346" s="2"/>
    </row>
    <row r="3347" spans="1:18" ht="19.5" hidden="1" thickBot="1" x14ac:dyDescent="0.3">
      <c r="A3347" s="996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100"/>
        <v>01,25</v>
      </c>
      <c r="L3347" s="82" t="s">
        <v>28</v>
      </c>
      <c r="M3347" s="82">
        <v>6468.12</v>
      </c>
      <c r="N3347" s="319">
        <v>0.5</v>
      </c>
      <c r="O3347" s="2"/>
      <c r="P3347" s="2"/>
      <c r="Q3347" s="2"/>
      <c r="R3347" s="2"/>
    </row>
    <row r="3348" spans="1:18" ht="19.5" hidden="1" thickBot="1" x14ac:dyDescent="0.3">
      <c r="A3348" s="996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100"/>
        <v>01,25</v>
      </c>
      <c r="L3348" s="65" t="s">
        <v>28</v>
      </c>
      <c r="M3348" s="65">
        <v>6056.88</v>
      </c>
      <c r="N3348" s="434">
        <v>0.5</v>
      </c>
      <c r="O3348" s="2"/>
      <c r="P3348" s="2"/>
      <c r="Q3348" s="2"/>
      <c r="R3348" s="2"/>
    </row>
    <row r="3349" spans="1:18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100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  <c r="Q3349" s="2"/>
      <c r="R3349" s="2"/>
    </row>
    <row r="3350" spans="1:18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100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  <c r="Q3350" s="2"/>
      <c r="R3350" s="2"/>
    </row>
    <row r="3351" spans="1:18" ht="19.5" hidden="1" thickBot="1" x14ac:dyDescent="0.3">
      <c r="A3351" s="995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100"/>
        <v>01,25</v>
      </c>
      <c r="L3351" s="48" t="s">
        <v>266</v>
      </c>
      <c r="M3351" s="48">
        <v>12363.21</v>
      </c>
      <c r="N3351" s="315">
        <v>0.5</v>
      </c>
      <c r="O3351" s="2"/>
      <c r="P3351" s="2"/>
      <c r="Q3351" s="2"/>
      <c r="R3351" s="2"/>
    </row>
    <row r="3352" spans="1:18" ht="19.5" hidden="1" thickBot="1" x14ac:dyDescent="0.3">
      <c r="A3352" s="995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100"/>
        <v>01,25</v>
      </c>
      <c r="L3352" s="23" t="s">
        <v>28</v>
      </c>
      <c r="M3352" s="23">
        <v>675</v>
      </c>
      <c r="N3352" s="329">
        <v>0.5</v>
      </c>
      <c r="O3352" s="2"/>
      <c r="P3352" s="2"/>
      <c r="Q3352" s="2"/>
      <c r="R3352" s="2"/>
    </row>
    <row r="3353" spans="1:18" ht="19.5" hidden="1" thickBot="1" x14ac:dyDescent="0.3">
      <c r="A3353" s="995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100"/>
        <v>01,25</v>
      </c>
      <c r="L3353" s="293" t="s">
        <v>266</v>
      </c>
      <c r="M3353" s="293">
        <v>4997.7</v>
      </c>
      <c r="N3353" s="389">
        <v>0.5</v>
      </c>
      <c r="O3353" s="2"/>
      <c r="P3353" s="2"/>
      <c r="Q3353" s="2"/>
      <c r="R3353" s="2"/>
    </row>
    <row r="3354" spans="1:18" ht="19.5" hidden="1" thickBot="1" x14ac:dyDescent="0.3">
      <c r="A3354" s="990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100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  <c r="Q3354" s="2"/>
      <c r="R3354" s="2"/>
    </row>
    <row r="3355" spans="1:18" ht="19.5" hidden="1" thickBot="1" x14ac:dyDescent="0.3">
      <c r="A3355" s="990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100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  <c r="Q3355" s="2"/>
      <c r="R3355" s="2"/>
    </row>
    <row r="3356" spans="1:18" ht="19.5" hidden="1" thickBot="1" x14ac:dyDescent="0.3">
      <c r="A3356" s="991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100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  <c r="Q3356" s="2"/>
      <c r="R3356" s="2"/>
    </row>
    <row r="3357" spans="1:18" ht="19.5" hidden="1" thickBot="1" x14ac:dyDescent="0.3">
      <c r="A3357" s="991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100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  <c r="Q3357" s="2"/>
      <c r="R3357" s="2"/>
    </row>
    <row r="3358" spans="1:18" ht="19.5" hidden="1" thickBot="1" x14ac:dyDescent="0.3">
      <c r="A3358" s="990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100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  <c r="Q3358" s="2"/>
      <c r="R3358" s="2"/>
    </row>
    <row r="3359" spans="1:18" ht="19.5" hidden="1" thickBot="1" x14ac:dyDescent="0.3">
      <c r="A3359" s="990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100"/>
        <v>01,25</v>
      </c>
      <c r="L3359" s="90" t="s">
        <v>28</v>
      </c>
      <c r="M3359" s="90">
        <v>1440</v>
      </c>
      <c r="N3359" s="325">
        <v>0.5</v>
      </c>
      <c r="O3359" s="2"/>
      <c r="P3359" s="2"/>
      <c r="Q3359" s="2"/>
      <c r="R3359" s="2"/>
    </row>
    <row r="3360" spans="1:18" ht="19.5" hidden="1" thickBot="1" x14ac:dyDescent="0.3">
      <c r="A3360" s="995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100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  <c r="Q3360" s="2"/>
      <c r="R3360" s="2"/>
    </row>
    <row r="3361" spans="1:18" ht="19.5" hidden="1" thickBot="1" x14ac:dyDescent="0.3">
      <c r="A3361" s="995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100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  <c r="Q3361" s="2"/>
      <c r="R3361" s="2"/>
    </row>
    <row r="3362" spans="1:18" ht="19.5" hidden="1" thickBot="1" x14ac:dyDescent="0.3">
      <c r="A3362" s="995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100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  <c r="Q3362" s="2"/>
      <c r="R3362" s="2"/>
    </row>
    <row r="3363" spans="1:18" ht="19.5" hidden="1" thickBot="1" x14ac:dyDescent="0.3">
      <c r="A3363" s="995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100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  <c r="Q3363" s="2"/>
      <c r="R3363" s="2"/>
    </row>
    <row r="3364" spans="1:18" ht="19.5" hidden="1" thickBot="1" x14ac:dyDescent="0.3">
      <c r="A3364" s="995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100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  <c r="Q3364" s="2"/>
      <c r="R3364" s="2"/>
    </row>
    <row r="3365" spans="1:18" ht="19.5" hidden="1" thickBot="1" x14ac:dyDescent="0.3">
      <c r="A3365" s="995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100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  <c r="Q3365" s="2"/>
      <c r="R3365" s="2"/>
    </row>
    <row r="3366" spans="1:18" ht="19.5" hidden="1" thickBot="1" x14ac:dyDescent="0.3">
      <c r="A3366" s="995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100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  <c r="Q3366" s="2"/>
      <c r="R3366" s="2"/>
    </row>
    <row r="3367" spans="1:18" ht="19.5" hidden="1" thickBot="1" x14ac:dyDescent="0.3">
      <c r="A3367" s="995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100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  <c r="Q3367" s="2"/>
      <c r="R3367" s="2"/>
    </row>
    <row r="3368" spans="1:18" ht="19.5" hidden="1" thickBot="1" x14ac:dyDescent="0.3">
      <c r="A3368" s="990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100"/>
        <v>01,25</v>
      </c>
      <c r="L3368" s="82" t="s">
        <v>265</v>
      </c>
      <c r="M3368" s="82">
        <v>10142.66</v>
      </c>
      <c r="N3368" s="319">
        <v>0.375</v>
      </c>
      <c r="O3368" s="2"/>
      <c r="P3368" s="2"/>
      <c r="Q3368" s="2"/>
      <c r="R3368" s="2"/>
    </row>
    <row r="3369" spans="1:18" ht="19.5" hidden="1" thickBot="1" x14ac:dyDescent="0.3">
      <c r="A3369" s="990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100"/>
        <v>01,25</v>
      </c>
      <c r="L3369" s="90" t="s">
        <v>265</v>
      </c>
      <c r="M3369" s="90">
        <v>6434.5</v>
      </c>
      <c r="N3369" s="325">
        <v>0.375</v>
      </c>
      <c r="O3369" s="2"/>
      <c r="P3369" s="2"/>
      <c r="Q3369" s="2"/>
      <c r="R3369" s="2"/>
    </row>
    <row r="3370" spans="1:18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100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  <c r="Q3370" s="2"/>
      <c r="R3370" s="2"/>
    </row>
    <row r="3371" spans="1:18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100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  <c r="Q3371" s="2"/>
      <c r="R3371" s="2"/>
    </row>
    <row r="3372" spans="1:18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100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  <c r="Q3372" s="2"/>
      <c r="R3372" s="2"/>
    </row>
    <row r="3373" spans="1:18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100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  <c r="Q3373" s="2"/>
      <c r="R3373" s="2"/>
    </row>
    <row r="3374" spans="1:18" ht="19.5" hidden="1" thickBot="1" x14ac:dyDescent="0.3">
      <c r="A3374" s="991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100"/>
        <v>02,25</v>
      </c>
      <c r="L3374" s="48" t="s">
        <v>28</v>
      </c>
      <c r="M3374" s="48">
        <v>4331.16</v>
      </c>
      <c r="N3374" s="315">
        <v>0.5</v>
      </c>
      <c r="O3374" s="2"/>
      <c r="P3374" s="2"/>
      <c r="Q3374" s="2"/>
      <c r="R3374" s="2"/>
    </row>
    <row r="3375" spans="1:18" ht="19.5" hidden="1" thickBot="1" x14ac:dyDescent="0.3">
      <c r="A3375" s="991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100"/>
        <v>02,25</v>
      </c>
      <c r="L3375" s="71" t="s">
        <v>28</v>
      </c>
      <c r="M3375" s="71">
        <v>13418.96</v>
      </c>
      <c r="N3375" s="323">
        <v>0.5</v>
      </c>
      <c r="O3375" s="2"/>
      <c r="P3375" s="2"/>
      <c r="Q3375" s="2"/>
      <c r="R3375" s="2"/>
    </row>
    <row r="3376" spans="1:18" ht="19.5" hidden="1" thickBot="1" x14ac:dyDescent="0.3">
      <c r="A3376" s="990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100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  <c r="Q3376" s="2"/>
      <c r="R3376" s="2"/>
    </row>
    <row r="3377" spans="1:18" ht="19.5" hidden="1" thickBot="1" x14ac:dyDescent="0.3">
      <c r="A3377" s="990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100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  <c r="Q3377" s="2"/>
      <c r="R3377" s="2"/>
    </row>
    <row r="3378" spans="1:18" ht="19.5" hidden="1" customHeight="1" thickBot="1" x14ac:dyDescent="0.3">
      <c r="A3378" s="995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993" t="s">
        <v>72</v>
      </c>
      <c r="H3378" s="48" t="s">
        <v>760</v>
      </c>
      <c r="I3378" s="163" t="s">
        <v>760</v>
      </c>
      <c r="J3378" s="52"/>
      <c r="K3378" s="48" t="str">
        <f t="shared" si="100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  <c r="Q3378" s="2"/>
      <c r="R3378" s="2"/>
    </row>
    <row r="3379" spans="1:18" ht="19.5" hidden="1" thickBot="1" x14ac:dyDescent="0.3">
      <c r="A3379" s="995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993"/>
      <c r="H3379" s="293" t="s">
        <v>760</v>
      </c>
      <c r="I3379" s="388" t="s">
        <v>760</v>
      </c>
      <c r="J3379" s="296"/>
      <c r="K3379" s="293" t="str">
        <f t="shared" si="100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  <c r="Q3379" s="2"/>
      <c r="R3379" s="2"/>
    </row>
    <row r="3380" spans="1:18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100"/>
        <v>02,25</v>
      </c>
      <c r="L3380" s="40" t="s">
        <v>28</v>
      </c>
      <c r="M3380" s="40">
        <v>15330.96</v>
      </c>
      <c r="N3380" s="317">
        <v>0.5</v>
      </c>
      <c r="O3380" s="2"/>
      <c r="P3380" s="2"/>
      <c r="Q3380" s="2"/>
      <c r="R3380" s="2"/>
    </row>
    <row r="3381" spans="1:18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100"/>
        <v>02,25</v>
      </c>
      <c r="L3381" s="75" t="s">
        <v>265</v>
      </c>
      <c r="M3381" s="75">
        <v>17228.98</v>
      </c>
      <c r="N3381" s="322">
        <v>0.375</v>
      </c>
      <c r="O3381" s="2"/>
      <c r="P3381" s="2"/>
      <c r="Q3381" s="2"/>
      <c r="R3381" s="2"/>
    </row>
    <row r="3382" spans="1:18" ht="19.5" hidden="1" thickBot="1" x14ac:dyDescent="0.3">
      <c r="A3382" s="990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100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  <c r="Q3382" s="2"/>
      <c r="R3382" s="2"/>
    </row>
    <row r="3383" spans="1:18" ht="19.5" hidden="1" thickBot="1" x14ac:dyDescent="0.3">
      <c r="A3383" s="990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100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  <c r="Q3383" s="2"/>
      <c r="R3383" s="2"/>
    </row>
    <row r="3384" spans="1:18" ht="19.5" hidden="1" thickBot="1" x14ac:dyDescent="0.3">
      <c r="A3384" s="990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100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  <c r="Q3384" s="2"/>
      <c r="R3384" s="2"/>
    </row>
    <row r="3385" spans="1:18" ht="19.5" hidden="1" thickBot="1" x14ac:dyDescent="0.3">
      <c r="A3385" s="991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100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  <c r="Q3385" s="2"/>
      <c r="R3385" s="2"/>
    </row>
    <row r="3386" spans="1:18" ht="19.5" hidden="1" thickBot="1" x14ac:dyDescent="0.3">
      <c r="A3386" s="991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100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  <c r="Q3386" s="2"/>
      <c r="R3386" s="2"/>
    </row>
    <row r="3387" spans="1:18" ht="19.5" hidden="1" thickBot="1" x14ac:dyDescent="0.3">
      <c r="A3387" s="990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2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  <c r="Q3387" s="2"/>
      <c r="R3387" s="2"/>
    </row>
    <row r="3388" spans="1:18" ht="19.5" hidden="1" thickBot="1" x14ac:dyDescent="0.3">
      <c r="A3388" s="990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2"/>
        <v>02,25</v>
      </c>
      <c r="L3388" s="90" t="s">
        <v>28</v>
      </c>
      <c r="M3388" s="90">
        <v>13452.81</v>
      </c>
      <c r="N3388" s="325">
        <v>0.5</v>
      </c>
      <c r="O3388" s="2"/>
      <c r="P3388" s="2"/>
      <c r="Q3388" s="2"/>
      <c r="R3388" s="2"/>
    </row>
    <row r="3389" spans="1:18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2"/>
        <v>02,25</v>
      </c>
      <c r="L3389" s="75" t="s">
        <v>265</v>
      </c>
      <c r="M3389" s="75">
        <v>17223.34</v>
      </c>
      <c r="N3389" s="322">
        <v>0.375</v>
      </c>
      <c r="O3389" s="2"/>
      <c r="P3389" s="2"/>
      <c r="Q3389" s="2"/>
      <c r="R3389" s="2"/>
    </row>
    <row r="3390" spans="1:18" ht="19.5" hidden="1" thickBot="1" x14ac:dyDescent="0.3">
      <c r="A3390" s="990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2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  <c r="Q3390" s="2"/>
      <c r="R3390" s="2"/>
    </row>
    <row r="3391" spans="1:18" ht="19.5" hidden="1" thickBot="1" x14ac:dyDescent="0.3">
      <c r="A3391" s="990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2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  <c r="Q3391" s="2"/>
      <c r="R3391" s="2"/>
    </row>
    <row r="3392" spans="1:18" ht="28.5" hidden="1" customHeight="1" thickBot="1" x14ac:dyDescent="0.3">
      <c r="A3392" s="991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993" t="s">
        <v>763</v>
      </c>
      <c r="H3392" s="48" t="s">
        <v>761</v>
      </c>
      <c r="I3392" s="163" t="s">
        <v>761</v>
      </c>
      <c r="J3392" s="52"/>
      <c r="K3392" s="48" t="str">
        <f t="shared" si="102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  <c r="Q3392" s="2"/>
      <c r="R3392" s="2"/>
    </row>
    <row r="3393" spans="1:18" ht="28.5" hidden="1" customHeight="1" thickBot="1" x14ac:dyDescent="0.3">
      <c r="A3393" s="991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993"/>
      <c r="H3393" s="71" t="s">
        <v>761</v>
      </c>
      <c r="I3393" s="167" t="s">
        <v>761</v>
      </c>
      <c r="J3393" s="168"/>
      <c r="K3393" s="71" t="str">
        <f t="shared" si="102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  <c r="Q3393" s="2"/>
      <c r="R3393" s="2"/>
    </row>
    <row r="3394" spans="1:18" ht="19.5" hidden="1" thickBot="1" x14ac:dyDescent="0.3">
      <c r="A3394" s="110">
        <f t="shared" ref="A3394:A3399" si="103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2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  <c r="Q3394" s="2"/>
      <c r="R3394" s="2"/>
    </row>
    <row r="3395" spans="1:18" ht="75.75" hidden="1" thickBot="1" x14ac:dyDescent="0.3">
      <c r="A3395" s="111">
        <f t="shared" si="103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2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  <c r="Q3395" s="2"/>
      <c r="R3395" s="2"/>
    </row>
    <row r="3396" spans="1:18" ht="38.25" hidden="1" thickBot="1" x14ac:dyDescent="0.3">
      <c r="A3396" s="149">
        <f t="shared" si="103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2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  <c r="Q3396" s="2"/>
      <c r="R3396" s="2"/>
    </row>
    <row r="3397" spans="1:18" ht="19.5" hidden="1" thickBot="1" x14ac:dyDescent="0.3">
      <c r="A3397" s="111">
        <f t="shared" si="103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2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  <c r="Q3397" s="2"/>
      <c r="R3397" s="2"/>
    </row>
    <row r="3398" spans="1:18" ht="19.5" hidden="1" thickBot="1" x14ac:dyDescent="0.3">
      <c r="A3398" s="110">
        <f t="shared" si="103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2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  <c r="Q3398" s="2"/>
      <c r="R3398" s="2"/>
    </row>
    <row r="3399" spans="1:18" ht="19.5" hidden="1" thickBot="1" x14ac:dyDescent="0.3">
      <c r="A3399" s="995">
        <f t="shared" si="103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2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  <c r="Q3399" s="2"/>
      <c r="R3399" s="2"/>
    </row>
    <row r="3400" spans="1:18" ht="19.5" hidden="1" thickBot="1" x14ac:dyDescent="0.3">
      <c r="A3400" s="995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2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  <c r="Q3400" s="2"/>
      <c r="R3400" s="2"/>
    </row>
    <row r="3401" spans="1:18" ht="19.5" hidden="1" thickBot="1" x14ac:dyDescent="0.3">
      <c r="A3401" s="995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2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  <c r="Q3401" s="2"/>
      <c r="R3401" s="2"/>
    </row>
    <row r="3402" spans="1:18" ht="19.5" hidden="1" thickBot="1" x14ac:dyDescent="0.3">
      <c r="A3402" s="995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2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  <c r="Q3402" s="2"/>
      <c r="R3402" s="2"/>
    </row>
    <row r="3403" spans="1:18" ht="19.5" hidden="1" thickBot="1" x14ac:dyDescent="0.3">
      <c r="A3403" s="995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2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  <c r="Q3403" s="2"/>
      <c r="R3403" s="2"/>
    </row>
    <row r="3404" spans="1:18" ht="19.5" hidden="1" thickBot="1" x14ac:dyDescent="0.3">
      <c r="A3404" s="995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2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  <c r="Q3404" s="2"/>
      <c r="R3404" s="2"/>
    </row>
    <row r="3405" spans="1:18" ht="38.2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2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  <c r="Q3405" s="2"/>
      <c r="R3405" s="2"/>
    </row>
    <row r="3406" spans="1:18" ht="19.5" hidden="1" thickBot="1" x14ac:dyDescent="0.3">
      <c r="A3406" s="991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2"/>
        <v>02,25</v>
      </c>
      <c r="L3406" s="48" t="s">
        <v>265</v>
      </c>
      <c r="M3406" s="48">
        <v>7962.08</v>
      </c>
      <c r="N3406" s="315">
        <v>0.375</v>
      </c>
      <c r="O3406" s="2"/>
      <c r="P3406" s="2"/>
      <c r="Q3406" s="2"/>
      <c r="R3406" s="2"/>
    </row>
    <row r="3407" spans="1:18" ht="19.5" hidden="1" thickBot="1" x14ac:dyDescent="0.3">
      <c r="A3407" s="991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2"/>
        <v>02,25</v>
      </c>
      <c r="L3407" s="71" t="s">
        <v>265</v>
      </c>
      <c r="M3407" s="71">
        <v>9266</v>
      </c>
      <c r="N3407" s="323">
        <v>0.375</v>
      </c>
      <c r="O3407" s="2"/>
      <c r="P3407" s="2"/>
      <c r="Q3407" s="2"/>
      <c r="R3407" s="2"/>
    </row>
    <row r="3408" spans="1:18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2"/>
        <v>02,25</v>
      </c>
      <c r="L3408" s="40" t="s">
        <v>265</v>
      </c>
      <c r="M3408" s="40">
        <v>17519.72</v>
      </c>
      <c r="N3408" s="317">
        <v>0.375</v>
      </c>
      <c r="O3408" s="2"/>
      <c r="P3408" s="2"/>
      <c r="Q3408" s="2"/>
      <c r="R3408" s="2"/>
    </row>
    <row r="3409" spans="1:18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2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  <c r="Q3409" s="2"/>
      <c r="R3409" s="2"/>
    </row>
    <row r="3410" spans="1:18" ht="38.25" hidden="1" thickBot="1" x14ac:dyDescent="0.3">
      <c r="A3410" s="990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2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  <c r="Q3410" s="2"/>
      <c r="R3410" s="2"/>
    </row>
    <row r="3411" spans="1:18" ht="38.25" hidden="1" thickBot="1" x14ac:dyDescent="0.3">
      <c r="A3411" s="990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2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  <c r="Q3411" s="2"/>
      <c r="R3411" s="2"/>
    </row>
    <row r="3412" spans="1:18" ht="38.25" hidden="1" thickBot="1" x14ac:dyDescent="0.3">
      <c r="A3412" s="990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2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  <c r="Q3412" s="2"/>
      <c r="R3412" s="2"/>
    </row>
    <row r="3413" spans="1:18" ht="38.25" hidden="1" thickBot="1" x14ac:dyDescent="0.3">
      <c r="A3413" s="990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2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  <c r="Q3413" s="2"/>
      <c r="R3413" s="2"/>
    </row>
    <row r="3414" spans="1:18" ht="18.75" hidden="1" customHeight="1" thickBot="1" x14ac:dyDescent="0.3">
      <c r="A3414" s="991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993" t="s">
        <v>72</v>
      </c>
      <c r="H3414" s="48" t="s">
        <v>772</v>
      </c>
      <c r="I3414" s="163" t="s">
        <v>772</v>
      </c>
      <c r="J3414" s="52"/>
      <c r="K3414" s="48" t="str">
        <f t="shared" si="102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  <c r="Q3414" s="2"/>
      <c r="R3414" s="2"/>
    </row>
    <row r="3415" spans="1:18" ht="19.5" hidden="1" thickBot="1" x14ac:dyDescent="0.3">
      <c r="A3415" s="991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993"/>
      <c r="H3415" s="71" t="s">
        <v>772</v>
      </c>
      <c r="I3415" s="167" t="s">
        <v>772</v>
      </c>
      <c r="J3415" s="168"/>
      <c r="K3415" s="71" t="str">
        <f t="shared" si="102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  <c r="Q3415" s="2"/>
      <c r="R3415" s="2"/>
    </row>
    <row r="3416" spans="1:18" ht="38.25" hidden="1" thickBot="1" x14ac:dyDescent="0.3">
      <c r="A3416" s="996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2"/>
        <v>02,25</v>
      </c>
      <c r="L3416" s="82" t="s">
        <v>28</v>
      </c>
      <c r="M3416" s="82">
        <v>480</v>
      </c>
      <c r="N3416" s="319">
        <v>0.5</v>
      </c>
      <c r="O3416" s="2"/>
      <c r="P3416" s="2"/>
      <c r="Q3416" s="2"/>
      <c r="R3416" s="2"/>
    </row>
    <row r="3417" spans="1:18" ht="38.25" hidden="1" thickBot="1" x14ac:dyDescent="0.3">
      <c r="A3417" s="996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2"/>
        <v>02,25</v>
      </c>
      <c r="L3417" s="98" t="s">
        <v>28</v>
      </c>
      <c r="M3417" s="98">
        <v>2686.12</v>
      </c>
      <c r="N3417" s="364">
        <v>0.5</v>
      </c>
      <c r="O3417" s="2"/>
      <c r="P3417" s="2"/>
      <c r="Q3417" s="2"/>
      <c r="R3417" s="2"/>
    </row>
    <row r="3418" spans="1:18" ht="38.25" hidden="1" thickBot="1" x14ac:dyDescent="0.3">
      <c r="A3418" s="996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2"/>
        <v>02,25</v>
      </c>
      <c r="L3418" s="98" t="s">
        <v>28</v>
      </c>
      <c r="M3418" s="98">
        <v>6371.16</v>
      </c>
      <c r="N3418" s="364">
        <v>0.5</v>
      </c>
      <c r="O3418" s="2"/>
      <c r="P3418" s="2"/>
      <c r="Q3418" s="2"/>
      <c r="R3418" s="2"/>
    </row>
    <row r="3419" spans="1:18" ht="38.25" hidden="1" thickBot="1" x14ac:dyDescent="0.3">
      <c r="A3419" s="996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2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  <c r="Q3419" s="2"/>
      <c r="R3419" s="2"/>
    </row>
    <row r="3420" spans="1:18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2"/>
        <v>02,25</v>
      </c>
      <c r="L3420" s="75" t="s">
        <v>265</v>
      </c>
      <c r="M3420" s="75">
        <v>17323.72</v>
      </c>
      <c r="N3420" s="322">
        <v>0.375</v>
      </c>
      <c r="O3420" s="2"/>
      <c r="P3420" s="2"/>
      <c r="Q3420" s="2"/>
      <c r="R3420" s="2"/>
    </row>
    <row r="3421" spans="1:18" ht="38.25" hidden="1" thickBot="1" x14ac:dyDescent="0.3">
      <c r="A3421" s="990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2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  <c r="Q3421" s="2"/>
      <c r="R3421" s="2"/>
    </row>
    <row r="3422" spans="1:18" ht="38.25" hidden="1" thickBot="1" x14ac:dyDescent="0.3">
      <c r="A3422" s="990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2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  <c r="Q3422" s="2"/>
      <c r="R3422" s="2"/>
    </row>
    <row r="3423" spans="1:18" ht="38.25" hidden="1" thickBot="1" x14ac:dyDescent="0.3">
      <c r="A3423" s="990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2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  <c r="Q3423" s="2"/>
      <c r="R3423" s="2"/>
    </row>
    <row r="3424" spans="1:18" ht="38.25" hidden="1" thickBot="1" x14ac:dyDescent="0.3">
      <c r="A3424" s="990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2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  <c r="Q3424" s="2"/>
      <c r="R3424" s="2"/>
    </row>
    <row r="3425" spans="1:18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2"/>
        <v>02,25</v>
      </c>
      <c r="L3425" s="75" t="s">
        <v>265</v>
      </c>
      <c r="M3425" s="75">
        <v>17658.52</v>
      </c>
      <c r="N3425" s="322">
        <v>0.375</v>
      </c>
      <c r="O3425" s="2"/>
      <c r="P3425" s="2"/>
      <c r="Q3425" s="2"/>
      <c r="R3425" s="2"/>
    </row>
    <row r="3426" spans="1:18" ht="19.5" hidden="1" thickBot="1" x14ac:dyDescent="0.3">
      <c r="A3426" s="990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2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  <c r="Q3426" s="2"/>
      <c r="R3426" s="2"/>
    </row>
    <row r="3427" spans="1:18" ht="19.5" hidden="1" thickBot="1" x14ac:dyDescent="0.3">
      <c r="A3427" s="990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2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  <c r="Q3427" s="2"/>
      <c r="R3427" s="2"/>
    </row>
    <row r="3428" spans="1:18" ht="19.5" hidden="1" thickBot="1" x14ac:dyDescent="0.3">
      <c r="A3428" s="990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2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  <c r="Q3428" s="2"/>
      <c r="R3428" s="2"/>
    </row>
    <row r="3429" spans="1:18" ht="19.5" hidden="1" thickBot="1" x14ac:dyDescent="0.3">
      <c r="A3429" s="990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2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  <c r="Q3429" s="2"/>
      <c r="R3429" s="2"/>
    </row>
    <row r="3430" spans="1:18" ht="38.2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2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  <c r="Q3430" s="2"/>
      <c r="R3430" s="2"/>
    </row>
    <row r="3431" spans="1:18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2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  <c r="Q3431" s="2"/>
      <c r="R3431" s="2"/>
    </row>
    <row r="3432" spans="1:18" ht="19.5" hidden="1" thickBot="1" x14ac:dyDescent="0.3">
      <c r="A3432" s="995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2"/>
        <v>02,25</v>
      </c>
      <c r="L3432" s="48" t="s">
        <v>266</v>
      </c>
      <c r="M3432" s="48">
        <v>14388.15</v>
      </c>
      <c r="N3432" s="315">
        <v>0.5</v>
      </c>
      <c r="O3432" s="2"/>
      <c r="P3432" s="2"/>
      <c r="Q3432" s="2"/>
      <c r="R3432" s="2"/>
    </row>
    <row r="3433" spans="1:18" ht="19.5" hidden="1" thickBot="1" x14ac:dyDescent="0.3">
      <c r="A3433" s="995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2"/>
        <v>02,25</v>
      </c>
      <c r="L3433" s="293" t="s">
        <v>266</v>
      </c>
      <c r="M3433" s="293">
        <v>3207.5</v>
      </c>
      <c r="N3433" s="389">
        <v>0.5</v>
      </c>
      <c r="O3433" s="2"/>
      <c r="P3433" s="2"/>
      <c r="Q3433" s="2"/>
      <c r="R3433" s="2"/>
    </row>
    <row r="3434" spans="1:18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2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  <c r="Q3434" s="2"/>
      <c r="R3434" s="2"/>
    </row>
    <row r="3435" spans="1:18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2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  <c r="Q3435" s="2"/>
      <c r="R3435" s="2"/>
    </row>
    <row r="3436" spans="1:18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2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  <c r="Q3436" s="2"/>
      <c r="R3436" s="2"/>
    </row>
    <row r="3437" spans="1:18" ht="19.5" hidden="1" thickBot="1" x14ac:dyDescent="0.3">
      <c r="A3437" s="991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2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  <c r="Q3437" s="2"/>
      <c r="R3437" s="2"/>
    </row>
    <row r="3438" spans="1:18" ht="19.5" hidden="1" thickBot="1" x14ac:dyDescent="0.3">
      <c r="A3438" s="991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2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  <c r="Q3438" s="2"/>
      <c r="R3438" s="2"/>
    </row>
    <row r="3439" spans="1:18" ht="19.5" hidden="1" thickBot="1" x14ac:dyDescent="0.3">
      <c r="A3439" s="991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2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  <c r="Q3439" s="2"/>
      <c r="R3439" s="2"/>
    </row>
    <row r="3440" spans="1:18" ht="19.5" hidden="1" thickBot="1" x14ac:dyDescent="0.3">
      <c r="A3440" s="991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2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  <c r="Q3440" s="2"/>
      <c r="R3440" s="2"/>
    </row>
    <row r="3441" spans="1:18" ht="19.5" hidden="1" thickBot="1" x14ac:dyDescent="0.3">
      <c r="A3441" s="991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2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  <c r="Q3441" s="2"/>
      <c r="R3441" s="2"/>
    </row>
    <row r="3442" spans="1:18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2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  <c r="Q3442" s="2"/>
      <c r="R3442" s="2"/>
    </row>
    <row r="3443" spans="1:18" ht="19.5" hidden="1" thickBot="1" x14ac:dyDescent="0.3">
      <c r="A3443" s="991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2"/>
        <v>02,25</v>
      </c>
      <c r="L3443" s="48" t="s">
        <v>265</v>
      </c>
      <c r="M3443" s="48">
        <v>16125.66</v>
      </c>
      <c r="N3443" s="315">
        <v>0.375</v>
      </c>
      <c r="O3443" s="2"/>
      <c r="P3443" s="2"/>
      <c r="Q3443" s="2"/>
      <c r="R3443" s="2"/>
    </row>
    <row r="3444" spans="1:18" ht="19.5" hidden="1" thickBot="1" x14ac:dyDescent="0.3">
      <c r="A3444" s="991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2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  <c r="Q3444" s="2"/>
      <c r="R3444" s="2"/>
    </row>
    <row r="3445" spans="1:18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2"/>
        <v>02,25</v>
      </c>
      <c r="L3445" s="40" t="s">
        <v>265</v>
      </c>
      <c r="M3445" s="40">
        <v>17263.12</v>
      </c>
      <c r="N3445" s="317">
        <v>0.375</v>
      </c>
      <c r="O3445" s="2"/>
      <c r="P3445" s="2"/>
      <c r="Q3445" s="2"/>
      <c r="R3445" s="2"/>
    </row>
    <row r="3446" spans="1:18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2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  <c r="Q3446" s="2"/>
      <c r="R3446" s="2"/>
    </row>
    <row r="3447" spans="1:18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2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  <c r="Q3447" s="2"/>
      <c r="R3447" s="2"/>
    </row>
    <row r="3448" spans="1:18" ht="19.5" hidden="1" thickBot="1" x14ac:dyDescent="0.3">
      <c r="A3448" s="991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2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  <c r="Q3448" s="2"/>
      <c r="R3448" s="2"/>
    </row>
    <row r="3449" spans="1:18" ht="19.5" hidden="1" thickBot="1" x14ac:dyDescent="0.3">
      <c r="A3449" s="991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2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  <c r="Q3449" s="2"/>
      <c r="R3449" s="2"/>
    </row>
    <row r="3450" spans="1:18" ht="19.5" hidden="1" thickBot="1" x14ac:dyDescent="0.3">
      <c r="A3450" s="990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2"/>
        <v>02,25</v>
      </c>
      <c r="L3450" s="82" t="s">
        <v>28</v>
      </c>
      <c r="M3450" s="82">
        <v>7903.26</v>
      </c>
      <c r="N3450" s="319">
        <v>0.5</v>
      </c>
      <c r="O3450" s="2"/>
      <c r="P3450" s="2"/>
      <c r="Q3450" s="2"/>
      <c r="R3450" s="2"/>
    </row>
    <row r="3451" spans="1:18" ht="19.5" hidden="1" thickBot="1" x14ac:dyDescent="0.3">
      <c r="A3451" s="990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4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  <c r="Q3451" s="2"/>
      <c r="R3451" s="2"/>
    </row>
    <row r="3452" spans="1:18" ht="18.75" hidden="1" customHeight="1" thickBot="1" x14ac:dyDescent="0.3">
      <c r="A3452" s="995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1021" t="s">
        <v>72</v>
      </c>
      <c r="H3452" s="48" t="s">
        <v>780</v>
      </c>
      <c r="I3452" s="163" t="s">
        <v>780</v>
      </c>
      <c r="J3452" s="52"/>
      <c r="K3452" s="48" t="str">
        <f t="shared" si="104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  <c r="Q3452" s="2"/>
      <c r="R3452" s="2"/>
    </row>
    <row r="3453" spans="1:18" ht="19.5" hidden="1" thickBot="1" x14ac:dyDescent="0.3">
      <c r="A3453" s="995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1021"/>
      <c r="H3453" s="56" t="s">
        <v>780</v>
      </c>
      <c r="I3453" s="190" t="s">
        <v>780</v>
      </c>
      <c r="J3453" s="60"/>
      <c r="K3453" s="56" t="str">
        <f t="shared" si="104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  <c r="Q3453" s="2"/>
      <c r="R3453" s="2"/>
    </row>
    <row r="3454" spans="1:18" ht="19.5" hidden="1" thickBot="1" x14ac:dyDescent="0.3">
      <c r="A3454" s="995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1021"/>
      <c r="H3454" s="195" t="s">
        <v>780</v>
      </c>
      <c r="I3454" s="197" t="s">
        <v>780</v>
      </c>
      <c r="J3454" s="198" t="s">
        <v>76</v>
      </c>
      <c r="K3454" s="195" t="str">
        <f t="shared" si="104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  <c r="Q3454" s="2"/>
      <c r="R3454" s="2"/>
    </row>
    <row r="3455" spans="1:18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4"/>
        <v>02,25</v>
      </c>
      <c r="L3455" s="40" t="s">
        <v>28</v>
      </c>
      <c r="M3455" s="40">
        <v>15093.34</v>
      </c>
      <c r="N3455" s="317">
        <v>0.5</v>
      </c>
      <c r="O3455" s="2"/>
      <c r="P3455" s="2"/>
      <c r="Q3455" s="2"/>
      <c r="R3455" s="2"/>
    </row>
    <row r="3456" spans="1:18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4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  <c r="Q3456" s="2"/>
      <c r="R3456" s="2"/>
    </row>
    <row r="3457" spans="1:18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4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  <c r="Q3457" s="2"/>
      <c r="R3457" s="2"/>
    </row>
    <row r="3458" spans="1:18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4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  <c r="Q3458" s="2"/>
      <c r="R3458" s="2"/>
    </row>
    <row r="3459" spans="1:18" ht="19.5" hidden="1" thickBot="1" x14ac:dyDescent="0.3">
      <c r="A3459" s="990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4"/>
        <v>02,25</v>
      </c>
      <c r="L3459" s="82" t="s">
        <v>28</v>
      </c>
      <c r="M3459" s="82">
        <v>2934</v>
      </c>
      <c r="N3459" s="319">
        <v>0.5</v>
      </c>
      <c r="O3459" s="2"/>
      <c r="P3459" s="2"/>
      <c r="Q3459" s="2"/>
      <c r="R3459" s="2"/>
    </row>
    <row r="3460" spans="1:18" ht="19.5" hidden="1" thickBot="1" x14ac:dyDescent="0.3">
      <c r="A3460" s="990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4"/>
        <v>02,25</v>
      </c>
      <c r="L3460" s="98" t="s">
        <v>28</v>
      </c>
      <c r="M3460" s="98">
        <v>3040.44</v>
      </c>
      <c r="N3460" s="364">
        <v>0.5</v>
      </c>
      <c r="O3460" s="2"/>
      <c r="P3460" s="2"/>
      <c r="Q3460" s="2"/>
      <c r="R3460" s="2"/>
    </row>
    <row r="3461" spans="1:18" ht="19.5" hidden="1" thickBot="1" x14ac:dyDescent="0.3">
      <c r="A3461" s="990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4"/>
        <v>02,25</v>
      </c>
      <c r="L3461" s="98" t="s">
        <v>28</v>
      </c>
      <c r="M3461" s="98">
        <v>1005</v>
      </c>
      <c r="N3461" s="364">
        <v>0.5</v>
      </c>
      <c r="O3461" s="2"/>
      <c r="P3461" s="2"/>
      <c r="Q3461" s="2"/>
      <c r="R3461" s="2"/>
    </row>
    <row r="3462" spans="1:18" ht="19.5" hidden="1" thickBot="1" x14ac:dyDescent="0.3">
      <c r="A3462" s="990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4"/>
        <v>02,25</v>
      </c>
      <c r="L3462" s="90" t="s">
        <v>28</v>
      </c>
      <c r="M3462" s="90">
        <v>10320.48</v>
      </c>
      <c r="N3462" s="325">
        <v>0.5</v>
      </c>
      <c r="O3462" s="2"/>
      <c r="P3462" s="2"/>
      <c r="Q3462" s="2"/>
      <c r="R3462" s="2"/>
    </row>
    <row r="3463" spans="1:18" ht="19.5" hidden="1" thickBot="1" x14ac:dyDescent="0.3">
      <c r="A3463" s="991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4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  <c r="Q3463" s="2"/>
      <c r="R3463" s="2"/>
    </row>
    <row r="3464" spans="1:18" ht="19.5" hidden="1" thickBot="1" x14ac:dyDescent="0.3">
      <c r="A3464" s="991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4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  <c r="Q3464" s="2"/>
      <c r="R3464" s="2"/>
    </row>
    <row r="3465" spans="1:18" ht="19.5" hidden="1" thickBot="1" x14ac:dyDescent="0.3">
      <c r="A3465" s="990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4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  <c r="Q3465" s="2"/>
      <c r="R3465" s="2"/>
    </row>
    <row r="3466" spans="1:18" ht="19.5" hidden="1" thickBot="1" x14ac:dyDescent="0.3">
      <c r="A3466" s="990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4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  <c r="Q3466" s="2"/>
      <c r="R3466" s="2"/>
    </row>
    <row r="3467" spans="1:18" ht="19.5" hidden="1" thickBot="1" x14ac:dyDescent="0.3">
      <c r="A3467" s="990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4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  <c r="Q3467" s="2"/>
      <c r="R3467" s="2"/>
    </row>
    <row r="3468" spans="1:18" ht="19.5" hidden="1" thickBot="1" x14ac:dyDescent="0.3">
      <c r="A3468" s="991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4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  <c r="Q3468" s="2"/>
      <c r="R3468" s="2"/>
    </row>
    <row r="3469" spans="1:18" ht="19.5" hidden="1" thickBot="1" x14ac:dyDescent="0.3">
      <c r="A3469" s="991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4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  <c r="Q3469" s="2"/>
      <c r="R3469" s="2"/>
    </row>
    <row r="3470" spans="1:18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4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  <c r="Q3470" s="2"/>
      <c r="R3470" s="2"/>
    </row>
    <row r="3471" spans="1:18" ht="19.5" hidden="1" thickBot="1" x14ac:dyDescent="0.3">
      <c r="A3471" s="991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4"/>
        <v>02,25</v>
      </c>
      <c r="L3471" s="48" t="s">
        <v>28</v>
      </c>
      <c r="M3471" s="48">
        <v>10072.56</v>
      </c>
      <c r="N3471" s="315">
        <v>0.5</v>
      </c>
      <c r="O3471" s="2"/>
      <c r="P3471" s="2"/>
      <c r="Q3471" s="2"/>
      <c r="R3471" s="2"/>
    </row>
    <row r="3472" spans="1:18" ht="19.5" hidden="1" thickBot="1" x14ac:dyDescent="0.3">
      <c r="A3472" s="991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4"/>
        <v>02,25</v>
      </c>
      <c r="L3472" s="71" t="s">
        <v>28</v>
      </c>
      <c r="M3472" s="71">
        <v>3024</v>
      </c>
      <c r="N3472" s="323">
        <v>0.5</v>
      </c>
      <c r="O3472" s="2"/>
      <c r="P3472" s="2"/>
      <c r="Q3472" s="2"/>
      <c r="R3472" s="2"/>
    </row>
    <row r="3473" spans="1:18" ht="19.5" hidden="1" thickBot="1" x14ac:dyDescent="0.3">
      <c r="A3473" s="110">
        <f t="shared" ref="A3473:A3479" si="105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4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  <c r="Q3473" s="2"/>
      <c r="R3473" s="2"/>
    </row>
    <row r="3474" spans="1:18" ht="57" hidden="1" thickBot="1" x14ac:dyDescent="0.3">
      <c r="A3474" s="111">
        <f t="shared" si="105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4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  <c r="Q3474" s="2"/>
      <c r="R3474" s="2"/>
    </row>
    <row r="3475" spans="1:18" ht="38.25" hidden="1" thickBot="1" x14ac:dyDescent="0.3">
      <c r="A3475" s="149">
        <f t="shared" si="105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4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  <c r="Q3475" s="2"/>
      <c r="R3475" s="2"/>
    </row>
    <row r="3476" spans="1:18" ht="19.5" hidden="1" thickBot="1" x14ac:dyDescent="0.3">
      <c r="A3476" s="111">
        <f t="shared" si="105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4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  <c r="Q3476" s="2"/>
      <c r="R3476" s="2"/>
    </row>
    <row r="3477" spans="1:18" ht="19.5" hidden="1" thickBot="1" x14ac:dyDescent="0.3">
      <c r="A3477" s="110">
        <f t="shared" si="105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4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  <c r="Q3477" s="2"/>
      <c r="R3477" s="2"/>
    </row>
    <row r="3478" spans="1:18" ht="19.5" hidden="1" thickBot="1" x14ac:dyDescent="0.3">
      <c r="A3478" s="111">
        <f t="shared" si="105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4"/>
        <v>02,25</v>
      </c>
      <c r="L3478" s="75" t="s">
        <v>266</v>
      </c>
      <c r="M3478" s="75">
        <v>18099.46</v>
      </c>
      <c r="N3478" s="322">
        <v>0.5</v>
      </c>
      <c r="O3478" s="2"/>
      <c r="P3478" s="2"/>
      <c r="Q3478" s="2"/>
      <c r="R3478" s="2"/>
    </row>
    <row r="3479" spans="1:18" ht="19.5" hidden="1" thickBot="1" x14ac:dyDescent="0.3">
      <c r="A3479" s="996">
        <f t="shared" si="105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4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  <c r="Q3479" s="2"/>
      <c r="R3479" s="2"/>
    </row>
    <row r="3480" spans="1:18" ht="19.5" hidden="1" thickBot="1" x14ac:dyDescent="0.3">
      <c r="A3480" s="996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4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  <c r="Q3480" s="2"/>
      <c r="R3480" s="2"/>
    </row>
    <row r="3481" spans="1:18" ht="19.5" hidden="1" thickBot="1" x14ac:dyDescent="0.3">
      <c r="A3481" s="996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4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  <c r="Q3481" s="2"/>
      <c r="R3481" s="2"/>
    </row>
    <row r="3482" spans="1:18" ht="19.5" hidden="1" thickBot="1" x14ac:dyDescent="0.3">
      <c r="A3482" s="996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4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  <c r="Q3482" s="2"/>
      <c r="R3482" s="2"/>
    </row>
    <row r="3483" spans="1:18" ht="19.5" hidden="1" thickBot="1" x14ac:dyDescent="0.3">
      <c r="A3483" s="996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4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  <c r="Q3483" s="2"/>
      <c r="R3483" s="2"/>
    </row>
    <row r="3484" spans="1:18" ht="19.5" hidden="1" thickBot="1" x14ac:dyDescent="0.3">
      <c r="A3484" s="991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4"/>
        <v>02,25</v>
      </c>
      <c r="L3484" s="48" t="s">
        <v>265</v>
      </c>
      <c r="M3484" s="48">
        <v>11652.9</v>
      </c>
      <c r="N3484" s="315">
        <v>0.375</v>
      </c>
      <c r="O3484" s="2"/>
      <c r="P3484" s="2"/>
      <c r="Q3484" s="2"/>
      <c r="R3484" s="2"/>
    </row>
    <row r="3485" spans="1:18" ht="19.5" hidden="1" thickBot="1" x14ac:dyDescent="0.3">
      <c r="A3485" s="991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4"/>
        <v>02,25</v>
      </c>
      <c r="L3485" s="71" t="s">
        <v>265</v>
      </c>
      <c r="M3485" s="71">
        <v>5367.8</v>
      </c>
      <c r="N3485" s="323">
        <v>0.375</v>
      </c>
      <c r="O3485" s="2"/>
      <c r="P3485" s="2"/>
      <c r="Q3485" s="2"/>
      <c r="R3485" s="2"/>
    </row>
    <row r="3486" spans="1:18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4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  <c r="Q3486" s="2"/>
      <c r="R3486" s="2"/>
    </row>
    <row r="3487" spans="1:18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4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  <c r="Q3487" s="2"/>
      <c r="R3487" s="2"/>
    </row>
    <row r="3488" spans="1:18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4"/>
        <v>02,25</v>
      </c>
      <c r="L3488" s="40" t="s">
        <v>265</v>
      </c>
      <c r="M3488" s="40">
        <v>12267.2</v>
      </c>
      <c r="N3488" s="317">
        <v>0.375</v>
      </c>
      <c r="O3488" s="2"/>
      <c r="P3488" s="2"/>
      <c r="Q3488" s="2"/>
      <c r="R3488" s="2"/>
    </row>
    <row r="3489" spans="1:18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4"/>
        <v>02,25</v>
      </c>
      <c r="L3489" s="158" t="s">
        <v>28</v>
      </c>
      <c r="M3489" s="158">
        <v>11211.24</v>
      </c>
      <c r="N3489" s="433">
        <v>0.5</v>
      </c>
      <c r="O3489" s="2"/>
      <c r="P3489" s="2"/>
      <c r="Q3489" s="2"/>
      <c r="R3489" s="2"/>
    </row>
    <row r="3490" spans="1:18" ht="19.5" hidden="1" customHeight="1" thickBot="1" x14ac:dyDescent="0.3">
      <c r="A3490" s="990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992" t="s">
        <v>72</v>
      </c>
      <c r="H3490" s="82" t="s">
        <v>786</v>
      </c>
      <c r="I3490" s="147" t="s">
        <v>786</v>
      </c>
      <c r="J3490" s="86"/>
      <c r="K3490" s="82" t="str">
        <f t="shared" si="104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  <c r="Q3490" s="2"/>
      <c r="R3490" s="2"/>
    </row>
    <row r="3491" spans="1:18" ht="19.5" hidden="1" thickBot="1" x14ac:dyDescent="0.3">
      <c r="A3491" s="990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992"/>
      <c r="H3491" s="90" t="s">
        <v>786</v>
      </c>
      <c r="I3491" s="172" t="s">
        <v>786</v>
      </c>
      <c r="J3491" s="173"/>
      <c r="K3491" s="90" t="str">
        <f t="shared" si="104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  <c r="Q3491" s="2"/>
      <c r="R3491" s="2"/>
    </row>
    <row r="3492" spans="1:18" ht="19.5" hidden="1" thickBot="1" x14ac:dyDescent="0.3">
      <c r="A3492" s="991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4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  <c r="Q3492" s="2"/>
      <c r="R3492" s="2"/>
    </row>
    <row r="3493" spans="1:18" ht="19.5" hidden="1" thickBot="1" x14ac:dyDescent="0.3">
      <c r="A3493" s="991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4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  <c r="Q3493" s="2"/>
      <c r="R3493" s="2"/>
    </row>
    <row r="3494" spans="1:18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4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  <c r="Q3494" s="2"/>
      <c r="R3494" s="2"/>
    </row>
    <row r="3495" spans="1:18" ht="19.5" hidden="1" thickBot="1" x14ac:dyDescent="0.3">
      <c r="A3495" s="995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4"/>
        <v>02,25</v>
      </c>
      <c r="L3495" s="48" t="s">
        <v>28</v>
      </c>
      <c r="M3495" s="48">
        <v>2130.36</v>
      </c>
      <c r="N3495" s="315">
        <v>0.5</v>
      </c>
      <c r="O3495" s="2"/>
      <c r="P3495" s="2"/>
      <c r="Q3495" s="2"/>
      <c r="R3495" s="2"/>
    </row>
    <row r="3496" spans="1:18" ht="19.5" hidden="1" thickBot="1" x14ac:dyDescent="0.3">
      <c r="A3496" s="995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4"/>
        <v>02,25</v>
      </c>
      <c r="L3496" s="293" t="s">
        <v>28</v>
      </c>
      <c r="M3496" s="293">
        <v>15437.44</v>
      </c>
      <c r="N3496" s="389">
        <v>0.5</v>
      </c>
      <c r="O3496" s="2"/>
      <c r="P3496" s="2"/>
      <c r="Q3496" s="2"/>
      <c r="R3496" s="2"/>
    </row>
    <row r="3497" spans="1:18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4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  <c r="Q3497" s="2"/>
      <c r="R3497" s="2"/>
    </row>
    <row r="3498" spans="1:18" ht="19.5" hidden="1" thickBot="1" x14ac:dyDescent="0.3">
      <c r="A3498" s="991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4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  <c r="Q3498" s="2"/>
      <c r="R3498" s="2"/>
    </row>
    <row r="3499" spans="1:18" ht="19.5" hidden="1" thickBot="1" x14ac:dyDescent="0.3">
      <c r="A3499" s="991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4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  <c r="Q3499" s="2"/>
      <c r="R3499" s="2"/>
    </row>
    <row r="3500" spans="1:18" ht="19.5" hidden="1" thickBot="1" x14ac:dyDescent="0.3">
      <c r="A3500" s="990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4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  <c r="Q3500" s="2"/>
      <c r="R3500" s="2"/>
    </row>
    <row r="3501" spans="1:18" ht="19.5" hidden="1" thickBot="1" x14ac:dyDescent="0.3">
      <c r="A3501" s="990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4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  <c r="Q3501" s="2"/>
      <c r="R3501" s="2"/>
    </row>
    <row r="3502" spans="1:18" ht="19.5" hidden="1" thickBot="1" x14ac:dyDescent="0.3">
      <c r="A3502" s="990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4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  <c r="Q3502" s="2"/>
      <c r="R3502" s="2"/>
    </row>
    <row r="3503" spans="1:18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4"/>
        <v>02,25</v>
      </c>
      <c r="L3503" s="75" t="s">
        <v>265</v>
      </c>
      <c r="M3503" s="75">
        <v>17241.98</v>
      </c>
      <c r="N3503" s="322">
        <v>0.375</v>
      </c>
      <c r="O3503" s="2"/>
      <c r="P3503" s="2"/>
      <c r="Q3503" s="2"/>
      <c r="R3503" s="2"/>
    </row>
    <row r="3504" spans="1:18" ht="19.5" hidden="1" thickBot="1" x14ac:dyDescent="0.3">
      <c r="A3504" s="990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4"/>
        <v>02,25</v>
      </c>
      <c r="L3504" s="82" t="s">
        <v>28</v>
      </c>
      <c r="M3504" s="82">
        <v>3052</v>
      </c>
      <c r="N3504" s="319">
        <v>0.375</v>
      </c>
      <c r="O3504" s="2"/>
      <c r="P3504" s="2"/>
      <c r="Q3504" s="2"/>
      <c r="R3504" s="2"/>
    </row>
    <row r="3505" spans="1:18" ht="19.5" hidden="1" thickBot="1" x14ac:dyDescent="0.3">
      <c r="A3505" s="990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4"/>
        <v>02,25</v>
      </c>
      <c r="L3505" s="90" t="s">
        <v>28</v>
      </c>
      <c r="M3505" s="90">
        <v>8043.36</v>
      </c>
      <c r="N3505" s="325">
        <v>0.375</v>
      </c>
      <c r="O3505" s="2"/>
      <c r="P3505" s="2"/>
      <c r="Q3505" s="2"/>
      <c r="R3505" s="2"/>
    </row>
    <row r="3506" spans="1:18" ht="19.5" hidden="1" thickBot="1" x14ac:dyDescent="0.3">
      <c r="A3506" s="991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4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  <c r="Q3506" s="2"/>
      <c r="R3506" s="2"/>
    </row>
    <row r="3507" spans="1:18" ht="19.5" hidden="1" thickBot="1" x14ac:dyDescent="0.3">
      <c r="A3507" s="991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4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  <c r="Q3507" s="2"/>
      <c r="R3507" s="2"/>
    </row>
    <row r="3508" spans="1:18" ht="19.5" hidden="1" thickBot="1" x14ac:dyDescent="0.3">
      <c r="A3508" s="991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4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  <c r="Q3508" s="2"/>
      <c r="R3508" s="2"/>
    </row>
    <row r="3509" spans="1:18" ht="19.5" hidden="1" thickBot="1" x14ac:dyDescent="0.3">
      <c r="A3509" s="149">
        <f t="shared" ref="A3509:A3515" si="106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4"/>
        <v>02,25</v>
      </c>
      <c r="L3509" s="122" t="s">
        <v>266</v>
      </c>
      <c r="M3509" s="122">
        <v>14386.99</v>
      </c>
      <c r="N3509" s="365">
        <v>0.5</v>
      </c>
      <c r="O3509" s="2"/>
      <c r="P3509" s="2"/>
      <c r="Q3509" s="2"/>
      <c r="R3509" s="2"/>
    </row>
    <row r="3510" spans="1:18" ht="19.5" hidden="1" thickBot="1" x14ac:dyDescent="0.3">
      <c r="A3510" s="111">
        <f t="shared" si="106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4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  <c r="Q3510" s="2"/>
      <c r="R3510" s="2"/>
    </row>
    <row r="3511" spans="1:18" ht="19.5" hidden="1" thickBot="1" x14ac:dyDescent="0.3">
      <c r="A3511" s="110">
        <f t="shared" si="106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4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  <c r="Q3511" s="2"/>
      <c r="R3511" s="2"/>
    </row>
    <row r="3512" spans="1:18" ht="19.5" hidden="1" thickBot="1" x14ac:dyDescent="0.3">
      <c r="A3512" s="111">
        <f t="shared" si="106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4"/>
        <v>02,25</v>
      </c>
      <c r="L3512" s="75" t="s">
        <v>266</v>
      </c>
      <c r="M3512" s="75">
        <v>18165.22</v>
      </c>
      <c r="N3512" s="322">
        <v>0.5</v>
      </c>
      <c r="O3512" s="2"/>
      <c r="P3512" s="2"/>
      <c r="Q3512" s="2"/>
      <c r="R3512" s="2"/>
    </row>
    <row r="3513" spans="1:18" ht="38.25" hidden="1" thickBot="1" x14ac:dyDescent="0.3">
      <c r="A3513" s="110">
        <f t="shared" si="106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4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  <c r="Q3513" s="2"/>
      <c r="R3513" s="2"/>
    </row>
    <row r="3514" spans="1:18" ht="38.25" hidden="1" thickBot="1" x14ac:dyDescent="0.3">
      <c r="A3514" s="111">
        <f t="shared" si="106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4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  <c r="Q3514" s="2"/>
      <c r="R3514" s="2"/>
    </row>
    <row r="3515" spans="1:18" ht="19.5" hidden="1" thickBot="1" x14ac:dyDescent="0.3">
      <c r="A3515" s="996">
        <f t="shared" si="106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4"/>
        <v>02,25</v>
      </c>
      <c r="L3515" s="82" t="s">
        <v>266</v>
      </c>
      <c r="M3515" s="82">
        <v>2745</v>
      </c>
      <c r="N3515" s="319">
        <v>0.625</v>
      </c>
      <c r="O3515" s="2"/>
      <c r="P3515" s="2"/>
      <c r="Q3515" s="2"/>
      <c r="R3515" s="2"/>
    </row>
    <row r="3516" spans="1:18" ht="19.5" hidden="1" thickBot="1" x14ac:dyDescent="0.3">
      <c r="A3516" s="996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4"/>
        <v>02,25</v>
      </c>
      <c r="L3516" s="98" t="s">
        <v>266</v>
      </c>
      <c r="M3516" s="98">
        <v>507.8</v>
      </c>
      <c r="N3516" s="364">
        <v>0.625</v>
      </c>
      <c r="O3516" s="2"/>
      <c r="P3516" s="2"/>
      <c r="Q3516" s="2"/>
      <c r="R3516" s="2"/>
    </row>
    <row r="3517" spans="1:18" ht="19.5" hidden="1" thickBot="1" x14ac:dyDescent="0.3">
      <c r="A3517" s="996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4"/>
        <v>02,25</v>
      </c>
      <c r="L3517" s="98" t="s">
        <v>266</v>
      </c>
      <c r="M3517" s="98">
        <v>2065.52</v>
      </c>
      <c r="N3517" s="364">
        <v>0.625</v>
      </c>
      <c r="O3517" s="2"/>
      <c r="P3517" s="2"/>
      <c r="Q3517" s="2"/>
      <c r="R3517" s="2"/>
    </row>
    <row r="3518" spans="1:18" ht="19.5" hidden="1" thickBot="1" x14ac:dyDescent="0.3">
      <c r="A3518" s="996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4"/>
        <v>02,25</v>
      </c>
      <c r="L3518" s="98" t="s">
        <v>266</v>
      </c>
      <c r="M3518" s="98">
        <v>5159.58</v>
      </c>
      <c r="N3518" s="364">
        <v>0.625</v>
      </c>
      <c r="O3518" s="2"/>
      <c r="P3518" s="2"/>
      <c r="Q3518" s="2"/>
      <c r="R3518" s="2"/>
    </row>
    <row r="3519" spans="1:18" ht="19.5" hidden="1" thickBot="1" x14ac:dyDescent="0.3">
      <c r="A3519" s="996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4"/>
        <v>02,25</v>
      </c>
      <c r="L3519" s="98" t="s">
        <v>266</v>
      </c>
      <c r="M3519" s="98">
        <v>2010</v>
      </c>
      <c r="N3519" s="364">
        <v>0.625</v>
      </c>
      <c r="O3519" s="2"/>
      <c r="P3519" s="2"/>
      <c r="Q3519" s="2"/>
      <c r="R3519" s="2"/>
    </row>
    <row r="3520" spans="1:18" ht="19.5" hidden="1" thickBot="1" x14ac:dyDescent="0.3">
      <c r="A3520" s="996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4"/>
        <v>03,25</v>
      </c>
      <c r="L3520" s="98" t="s">
        <v>266</v>
      </c>
      <c r="M3520" s="98">
        <v>1991.87</v>
      </c>
      <c r="N3520" s="364">
        <v>0.625</v>
      </c>
      <c r="O3520" s="2"/>
      <c r="P3520" s="2"/>
      <c r="Q3520" s="2"/>
      <c r="R3520" s="2"/>
    </row>
    <row r="3521" spans="1:18" ht="19.5" hidden="1" thickBot="1" x14ac:dyDescent="0.3">
      <c r="A3521" s="996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4"/>
        <v>02,25</v>
      </c>
      <c r="L3521" s="65" t="s">
        <v>266</v>
      </c>
      <c r="M3521" s="65">
        <v>2439.42</v>
      </c>
      <c r="N3521" s="434">
        <v>0.625</v>
      </c>
      <c r="O3521" s="2"/>
      <c r="P3521" s="2"/>
      <c r="Q3521" s="2"/>
      <c r="R3521" s="2"/>
    </row>
    <row r="3522" spans="1:18" ht="19.5" hidden="1" thickBot="1" x14ac:dyDescent="0.3">
      <c r="A3522" s="991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4"/>
        <v>02,25</v>
      </c>
      <c r="L3522" s="48" t="s">
        <v>265</v>
      </c>
      <c r="M3522" s="48">
        <v>13079.66</v>
      </c>
      <c r="N3522" s="315">
        <v>0.375</v>
      </c>
      <c r="O3522" s="2"/>
      <c r="P3522" s="2"/>
      <c r="Q3522" s="2"/>
      <c r="R3522" s="2"/>
    </row>
    <row r="3523" spans="1:18" ht="19.5" hidden="1" thickBot="1" x14ac:dyDescent="0.3">
      <c r="A3523" s="991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4"/>
        <v>02,25</v>
      </c>
      <c r="L3523" s="71" t="s">
        <v>265</v>
      </c>
      <c r="M3523" s="71">
        <v>4022.4</v>
      </c>
      <c r="N3523" s="323">
        <v>0.375</v>
      </c>
      <c r="O3523" s="2"/>
      <c r="P3523" s="2"/>
      <c r="Q3523" s="2"/>
      <c r="R3523" s="2"/>
    </row>
    <row r="3524" spans="1:18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4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  <c r="Q3524" s="2"/>
      <c r="R3524" s="2"/>
    </row>
    <row r="3525" spans="1:18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4"/>
        <v>03,25</v>
      </c>
      <c r="L3525" s="75" t="s">
        <v>265</v>
      </c>
      <c r="M3525" s="75">
        <v>17228.88</v>
      </c>
      <c r="N3525" s="322">
        <v>0.375</v>
      </c>
      <c r="O3525" s="2"/>
      <c r="P3525" s="2"/>
      <c r="Q3525" s="2"/>
      <c r="R3525" s="2"/>
    </row>
    <row r="3526" spans="1:18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4"/>
        <v>02,25</v>
      </c>
      <c r="L3526" s="40" t="s">
        <v>265</v>
      </c>
      <c r="M3526" s="40">
        <v>11975.16</v>
      </c>
      <c r="N3526" s="317">
        <v>0.375</v>
      </c>
      <c r="O3526" s="2"/>
      <c r="P3526" s="2"/>
      <c r="Q3526" s="2"/>
      <c r="R3526" s="2"/>
    </row>
    <row r="3527" spans="1:18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4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  <c r="Q3527" s="2"/>
      <c r="R3527" s="2"/>
    </row>
    <row r="3528" spans="1:18" ht="18.75" hidden="1" customHeight="1" thickBot="1" x14ac:dyDescent="0.3">
      <c r="A3528" s="990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992" t="s">
        <v>72</v>
      </c>
      <c r="H3528" s="82" t="s">
        <v>793</v>
      </c>
      <c r="I3528" s="147" t="s">
        <v>793</v>
      </c>
      <c r="J3528" s="86"/>
      <c r="K3528" s="82" t="str">
        <f t="shared" si="104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  <c r="Q3528" s="2"/>
      <c r="R3528" s="2"/>
    </row>
    <row r="3529" spans="1:18" ht="19.5" hidden="1" thickBot="1" x14ac:dyDescent="0.3">
      <c r="A3529" s="990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992"/>
      <c r="H3529" s="90" t="s">
        <v>793</v>
      </c>
      <c r="I3529" s="172" t="s">
        <v>793</v>
      </c>
      <c r="J3529" s="173"/>
      <c r="K3529" s="90" t="str">
        <f t="shared" si="104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  <c r="Q3529" s="2"/>
      <c r="R3529" s="2"/>
    </row>
    <row r="3530" spans="1:18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4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  <c r="Q3530" s="2"/>
      <c r="R3530" s="2"/>
    </row>
    <row r="3531" spans="1:18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4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  <c r="Q3531" s="2"/>
      <c r="R3531" s="2"/>
    </row>
    <row r="3532" spans="1:18" ht="19.5" hidden="1" thickBot="1" x14ac:dyDescent="0.3">
      <c r="A3532" s="991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4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  <c r="Q3532" s="2"/>
      <c r="R3532" s="2"/>
    </row>
    <row r="3533" spans="1:18" ht="19.5" hidden="1" thickBot="1" x14ac:dyDescent="0.3">
      <c r="A3533" s="991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4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  <c r="Q3533" s="2"/>
      <c r="R3533" s="2"/>
    </row>
    <row r="3534" spans="1:18" ht="19.5" hidden="1" thickBot="1" x14ac:dyDescent="0.3">
      <c r="A3534" s="990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4"/>
        <v>03,25</v>
      </c>
      <c r="L3534" s="82" t="s">
        <v>28</v>
      </c>
      <c r="M3534" s="82">
        <v>4086.56</v>
      </c>
      <c r="N3534" s="319">
        <v>0.5</v>
      </c>
      <c r="O3534" s="2"/>
      <c r="P3534" s="2"/>
      <c r="Q3534" s="2"/>
      <c r="R3534" s="2"/>
    </row>
    <row r="3535" spans="1:18" ht="19.5" hidden="1" thickBot="1" x14ac:dyDescent="0.3">
      <c r="A3535" s="990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4"/>
        <v>03,25</v>
      </c>
      <c r="L3535" s="98" t="s">
        <v>28</v>
      </c>
      <c r="M3535" s="98">
        <v>6137.4</v>
      </c>
      <c r="N3535" s="364">
        <v>0.5</v>
      </c>
      <c r="O3535" s="2"/>
      <c r="P3535" s="2"/>
      <c r="Q3535" s="2"/>
      <c r="R3535" s="2"/>
    </row>
    <row r="3536" spans="1:18" ht="19.5" hidden="1" thickBot="1" x14ac:dyDescent="0.3">
      <c r="A3536" s="990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4"/>
        <v>03,25</v>
      </c>
      <c r="L3536" s="98" t="s">
        <v>28</v>
      </c>
      <c r="M3536" s="98">
        <v>4335.49</v>
      </c>
      <c r="N3536" s="364">
        <v>0.5</v>
      </c>
      <c r="O3536" s="2"/>
      <c r="P3536" s="2"/>
      <c r="Q3536" s="2"/>
      <c r="R3536" s="2"/>
    </row>
    <row r="3537" spans="1:18" ht="19.5" hidden="1" thickBot="1" x14ac:dyDescent="0.3">
      <c r="A3537" s="990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4"/>
        <v>03,25</v>
      </c>
      <c r="L3537" s="90" t="s">
        <v>28</v>
      </c>
      <c r="M3537" s="90">
        <v>2700</v>
      </c>
      <c r="N3537" s="325">
        <v>0.5</v>
      </c>
      <c r="O3537" s="2"/>
      <c r="P3537" s="2"/>
      <c r="Q3537" s="2"/>
      <c r="R3537" s="2"/>
    </row>
    <row r="3538" spans="1:18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4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  <c r="Q3538" s="2"/>
      <c r="R3538" s="2"/>
    </row>
    <row r="3539" spans="1:18" ht="57" hidden="1" thickBot="1" x14ac:dyDescent="0.3">
      <c r="A3539" s="996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4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  <c r="Q3539" s="2"/>
      <c r="R3539" s="2"/>
    </row>
    <row r="3540" spans="1:18" ht="19.5" hidden="1" thickBot="1" x14ac:dyDescent="0.3">
      <c r="A3540" s="996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4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  <c r="Q3540" s="2"/>
      <c r="R3540" s="2"/>
    </row>
    <row r="3541" spans="1:18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4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  <c r="Q3541" s="2"/>
      <c r="R3541" s="2"/>
    </row>
    <row r="3542" spans="1:18" ht="19.5" hidden="1" thickBot="1" x14ac:dyDescent="0.3">
      <c r="A3542" s="990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4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  <c r="Q3542" s="2"/>
      <c r="R3542" s="2"/>
    </row>
    <row r="3543" spans="1:18" ht="19.5" hidden="1" thickBot="1" x14ac:dyDescent="0.3">
      <c r="A3543" s="990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4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  <c r="Q3543" s="2"/>
      <c r="R3543" s="2"/>
    </row>
    <row r="3544" spans="1:18" ht="19.5" hidden="1" thickBot="1" x14ac:dyDescent="0.3">
      <c r="A3544" s="990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4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  <c r="Q3544" s="2"/>
      <c r="R3544" s="2"/>
    </row>
    <row r="3545" spans="1:18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4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  <c r="Q3545" s="2"/>
      <c r="R3545" s="2"/>
    </row>
    <row r="3546" spans="1:18" ht="19.5" hidden="1" thickBot="1" x14ac:dyDescent="0.3">
      <c r="A3546" s="990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4"/>
        <v>03,25</v>
      </c>
      <c r="L3546" s="82" t="s">
        <v>28</v>
      </c>
      <c r="M3546" s="82">
        <v>3431.52</v>
      </c>
      <c r="N3546" s="319">
        <v>0.5</v>
      </c>
      <c r="O3546" s="2"/>
      <c r="P3546" s="2"/>
      <c r="Q3546" s="2"/>
      <c r="R3546" s="2"/>
    </row>
    <row r="3547" spans="1:18" ht="19.5" hidden="1" thickBot="1" x14ac:dyDescent="0.3">
      <c r="A3547" s="990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4"/>
        <v>03,25</v>
      </c>
      <c r="L3547" s="90" t="s">
        <v>28</v>
      </c>
      <c r="M3547" s="90">
        <v>13810.16</v>
      </c>
      <c r="N3547" s="325">
        <v>0.5</v>
      </c>
      <c r="O3547" s="2"/>
      <c r="P3547" s="2"/>
      <c r="Q3547" s="2"/>
      <c r="R3547" s="2"/>
    </row>
    <row r="3548" spans="1:18" ht="19.5" hidden="1" thickBot="1" x14ac:dyDescent="0.3">
      <c r="A3548" s="991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4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  <c r="Q3548" s="2"/>
      <c r="R3548" s="2"/>
    </row>
    <row r="3549" spans="1:18" ht="19.5" hidden="1" thickBot="1" x14ac:dyDescent="0.3">
      <c r="A3549" s="991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4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  <c r="Q3549" s="2"/>
      <c r="R3549" s="2"/>
    </row>
    <row r="3550" spans="1:18" ht="39.75" hidden="1" customHeight="1" thickBot="1" x14ac:dyDescent="0.3">
      <c r="A3550" s="990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992" t="s">
        <v>796</v>
      </c>
      <c r="H3550" s="82" t="s">
        <v>795</v>
      </c>
      <c r="I3550" s="147" t="s">
        <v>795</v>
      </c>
      <c r="J3550" s="86"/>
      <c r="K3550" s="82" t="str">
        <f t="shared" si="104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  <c r="Q3550" s="2"/>
      <c r="R3550" s="2"/>
    </row>
    <row r="3551" spans="1:18" ht="39.75" hidden="1" customHeight="1" thickBot="1" x14ac:dyDescent="0.3">
      <c r="A3551" s="990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992"/>
      <c r="H3551" s="90" t="s">
        <v>795</v>
      </c>
      <c r="I3551" s="172" t="s">
        <v>795</v>
      </c>
      <c r="J3551" s="173"/>
      <c r="K3551" s="90" t="str">
        <f t="shared" si="104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  <c r="Q3551" s="2"/>
      <c r="R3551" s="2"/>
    </row>
    <row r="3552" spans="1:18" ht="39" hidden="1" customHeight="1" x14ac:dyDescent="0.25">
      <c r="A3552" s="954">
        <f t="shared" ref="A3552:A3615" si="107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963" t="s">
        <v>798</v>
      </c>
      <c r="H3552" s="483" t="s">
        <v>797</v>
      </c>
      <c r="I3552" s="484" t="s">
        <v>800</v>
      </c>
      <c r="J3552" s="485"/>
      <c r="K3552" s="483" t="str">
        <f t="shared" si="104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  <c r="Q3552" s="2"/>
      <c r="R3552" s="2"/>
    </row>
    <row r="3553" spans="1:18" ht="39" hidden="1" customHeight="1" thickBot="1" x14ac:dyDescent="0.3">
      <c r="A3553" s="955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964"/>
      <c r="H3553" s="499" t="s">
        <v>797</v>
      </c>
      <c r="I3553" s="500" t="s">
        <v>800</v>
      </c>
      <c r="J3553" s="501"/>
      <c r="K3553" s="499" t="str">
        <f t="shared" si="104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  <c r="Q3553" s="2"/>
      <c r="R3553" s="2"/>
    </row>
    <row r="3554" spans="1:18" ht="19.5" hidden="1" thickBot="1" x14ac:dyDescent="0.3">
      <c r="A3554" s="503">
        <f t="shared" si="107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4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  <c r="Q3554" s="2"/>
      <c r="R3554" s="2"/>
    </row>
    <row r="3555" spans="1:18" ht="19.5" hidden="1" thickBot="1" x14ac:dyDescent="0.3">
      <c r="A3555" s="513">
        <f t="shared" si="107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4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  <c r="Q3555" s="2"/>
      <c r="R3555" s="2"/>
    </row>
    <row r="3556" spans="1:18" ht="38.25" hidden="1" thickBot="1" x14ac:dyDescent="0.3">
      <c r="A3556" s="503">
        <f t="shared" si="107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4"/>
        <v>03,25</v>
      </c>
      <c r="L3556" s="508" t="s">
        <v>28</v>
      </c>
      <c r="M3556" s="508">
        <v>18043.5</v>
      </c>
      <c r="N3556" s="512">
        <v>0.5</v>
      </c>
      <c r="O3556" s="2"/>
      <c r="P3556" s="2"/>
      <c r="Q3556" s="2"/>
      <c r="R3556" s="2"/>
    </row>
    <row r="3557" spans="1:18" ht="19.5" hidden="1" thickBot="1" x14ac:dyDescent="0.3">
      <c r="A3557" s="954">
        <f t="shared" si="107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963" t="s">
        <v>467</v>
      </c>
      <c r="H3557" s="483" t="s">
        <v>800</v>
      </c>
      <c r="I3557" s="484" t="s">
        <v>800</v>
      </c>
      <c r="J3557" s="485"/>
      <c r="K3557" s="483" t="str">
        <f t="shared" si="104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  <c r="Q3557" s="2"/>
      <c r="R3557" s="2"/>
    </row>
    <row r="3558" spans="1:18" ht="19.5" hidden="1" thickBot="1" x14ac:dyDescent="0.3">
      <c r="A3558" s="955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964"/>
      <c r="H3558" s="527" t="s">
        <v>800</v>
      </c>
      <c r="I3558" s="528" t="s">
        <v>800</v>
      </c>
      <c r="J3558" s="529"/>
      <c r="K3558" s="527" t="str">
        <f t="shared" si="104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  <c r="Q3558" s="2"/>
      <c r="R3558" s="2"/>
    </row>
    <row r="3559" spans="1:18" ht="19.5" hidden="1" thickBot="1" x14ac:dyDescent="0.3">
      <c r="A3559" s="955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964"/>
      <c r="H3559" s="527" t="s">
        <v>800</v>
      </c>
      <c r="I3559" s="528" t="s">
        <v>800</v>
      </c>
      <c r="J3559" s="529"/>
      <c r="K3559" s="527" t="str">
        <f t="shared" si="104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  <c r="Q3559" s="2"/>
      <c r="R3559" s="2"/>
    </row>
    <row r="3560" spans="1:18" ht="19.5" hidden="1" thickBot="1" x14ac:dyDescent="0.3">
      <c r="A3560" s="955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964"/>
      <c r="H3560" s="499" t="s">
        <v>800</v>
      </c>
      <c r="I3560" s="500" t="s">
        <v>800</v>
      </c>
      <c r="J3560" s="501"/>
      <c r="K3560" s="499" t="str">
        <f t="shared" si="104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  <c r="Q3560" s="2"/>
      <c r="R3560" s="2"/>
    </row>
    <row r="3561" spans="1:18" ht="19.5" hidden="1" thickBot="1" x14ac:dyDescent="0.3">
      <c r="A3561" s="966">
        <f t="shared" si="107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4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  <c r="Q3561" s="2"/>
      <c r="R3561" s="2"/>
    </row>
    <row r="3562" spans="1:18" ht="19.5" hidden="1" thickBot="1" x14ac:dyDescent="0.3">
      <c r="A3562" s="1024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4"/>
        <v>03,25</v>
      </c>
      <c r="L3562" s="544" t="s">
        <v>265</v>
      </c>
      <c r="M3562" s="544">
        <v>4052.8</v>
      </c>
      <c r="N3562" s="548">
        <v>0.375</v>
      </c>
      <c r="O3562" s="2"/>
      <c r="P3562" s="2"/>
      <c r="Q3562" s="2"/>
      <c r="R3562" s="2"/>
    </row>
    <row r="3563" spans="1:18" ht="19.5" hidden="1" thickBot="1" x14ac:dyDescent="0.3">
      <c r="A3563" s="513">
        <f t="shared" si="107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4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  <c r="Q3563" s="2"/>
      <c r="R3563" s="2"/>
    </row>
    <row r="3564" spans="1:18" ht="19.5" hidden="1" thickBot="1" x14ac:dyDescent="0.3">
      <c r="A3564" s="503">
        <f t="shared" si="107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4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  <c r="Q3564" s="2"/>
      <c r="R3564" s="2"/>
    </row>
    <row r="3565" spans="1:18" ht="19.5" hidden="1" thickBot="1" x14ac:dyDescent="0.3">
      <c r="A3565" s="954">
        <f t="shared" si="107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4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  <c r="Q3565" s="2"/>
      <c r="R3565" s="2"/>
    </row>
    <row r="3566" spans="1:18" ht="19.5" hidden="1" thickBot="1" x14ac:dyDescent="0.3">
      <c r="A3566" s="1025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4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  <c r="Q3566" s="2"/>
      <c r="R3566" s="2"/>
    </row>
    <row r="3567" spans="1:18" ht="19.5" hidden="1" thickBot="1" x14ac:dyDescent="0.3">
      <c r="A3567" s="551">
        <f t="shared" si="107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4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  <c r="Q3567" s="2"/>
      <c r="R3567" s="2"/>
    </row>
    <row r="3568" spans="1:18" ht="19.5" hidden="1" thickBot="1" x14ac:dyDescent="0.3">
      <c r="A3568" s="954">
        <f t="shared" si="107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963" t="s">
        <v>72</v>
      </c>
      <c r="H3568" s="483" t="s">
        <v>803</v>
      </c>
      <c r="I3568" s="484" t="s">
        <v>803</v>
      </c>
      <c r="J3568" s="485"/>
      <c r="K3568" s="483" t="str">
        <f t="shared" si="104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  <c r="Q3568" s="2"/>
      <c r="R3568" s="2"/>
    </row>
    <row r="3569" spans="1:18" ht="19.5" hidden="1" thickBot="1" x14ac:dyDescent="0.3">
      <c r="A3569" s="1025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1026"/>
      <c r="H3569" s="491" t="s">
        <v>803</v>
      </c>
      <c r="I3569" s="492" t="s">
        <v>803</v>
      </c>
      <c r="J3569" s="493"/>
      <c r="K3569" s="491" t="str">
        <f t="shared" si="104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  <c r="Q3569" s="2"/>
      <c r="R3569" s="2"/>
    </row>
    <row r="3570" spans="1:18" ht="19.5" hidden="1" thickBot="1" x14ac:dyDescent="0.3">
      <c r="A3570" s="503">
        <f t="shared" si="107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4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  <c r="Q3570" s="2"/>
      <c r="R3570" s="2"/>
    </row>
    <row r="3571" spans="1:18" ht="19.5" hidden="1" thickBot="1" x14ac:dyDescent="0.3">
      <c r="A3571" s="954">
        <f t="shared" si="107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4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  <c r="Q3571" s="2"/>
      <c r="R3571" s="2"/>
    </row>
    <row r="3572" spans="1:18" ht="19.5" hidden="1" thickBot="1" x14ac:dyDescent="0.3">
      <c r="A3572" s="955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4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  <c r="Q3572" s="2"/>
      <c r="R3572" s="2"/>
    </row>
    <row r="3573" spans="1:18" ht="19.5" hidden="1" thickBot="1" x14ac:dyDescent="0.3">
      <c r="A3573" s="955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4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  <c r="Q3573" s="2"/>
      <c r="R3573" s="2"/>
    </row>
    <row r="3574" spans="1:18" ht="19.5" hidden="1" thickBot="1" x14ac:dyDescent="0.3">
      <c r="A3574" s="955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4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  <c r="Q3574" s="2"/>
      <c r="R3574" s="2"/>
    </row>
    <row r="3575" spans="1:18" ht="19.5" hidden="1" thickBot="1" x14ac:dyDescent="0.3">
      <c r="A3575" s="503">
        <f t="shared" si="107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4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  <c r="Q3575" s="2"/>
      <c r="R3575" s="2"/>
    </row>
    <row r="3576" spans="1:18" ht="19.5" hidden="1" thickBot="1" x14ac:dyDescent="0.3">
      <c r="A3576" s="513">
        <f t="shared" si="107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4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  <c r="Q3576" s="2"/>
      <c r="R3576" s="2"/>
    </row>
    <row r="3577" spans="1:18" ht="19.5" hidden="1" thickBot="1" x14ac:dyDescent="0.3">
      <c r="A3577" s="966">
        <f t="shared" si="107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4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  <c r="Q3577" s="2"/>
      <c r="R3577" s="2"/>
    </row>
    <row r="3578" spans="1:18" ht="19.5" hidden="1" thickBot="1" x14ac:dyDescent="0.3">
      <c r="A3578" s="967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4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  <c r="Q3578" s="2"/>
      <c r="R3578" s="2"/>
    </row>
    <row r="3579" spans="1:18" ht="19.5" hidden="1" thickBot="1" x14ac:dyDescent="0.3">
      <c r="A3579" s="967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4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  <c r="Q3579" s="2"/>
      <c r="R3579" s="2"/>
    </row>
    <row r="3580" spans="1:18" ht="19.5" hidden="1" thickBot="1" x14ac:dyDescent="0.3">
      <c r="A3580" s="967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4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  <c r="Q3580" s="2"/>
      <c r="R3580" s="2"/>
    </row>
    <row r="3581" spans="1:18" ht="19.5" hidden="1" thickBot="1" x14ac:dyDescent="0.3">
      <c r="A3581" s="1024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4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  <c r="Q3581" s="2"/>
      <c r="R3581" s="2"/>
    </row>
    <row r="3582" spans="1:18" ht="19.5" hidden="1" thickBot="1" x14ac:dyDescent="0.3">
      <c r="A3582" s="513">
        <f t="shared" si="107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4"/>
        <v>03,25</v>
      </c>
      <c r="L3582" s="518" t="s">
        <v>265</v>
      </c>
      <c r="M3582" s="518">
        <v>11010</v>
      </c>
      <c r="N3582" s="522">
        <v>0.375</v>
      </c>
      <c r="O3582" s="2"/>
      <c r="P3582" s="2"/>
      <c r="Q3582" s="2"/>
      <c r="R3582" s="2"/>
    </row>
    <row r="3583" spans="1:18" ht="19.5" hidden="1" thickBot="1" x14ac:dyDescent="0.3">
      <c r="A3583" s="503">
        <f t="shared" si="107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4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  <c r="Q3583" s="2"/>
      <c r="R3583" s="2"/>
    </row>
    <row r="3584" spans="1:18" ht="19.5" hidden="1" thickBot="1" x14ac:dyDescent="0.3">
      <c r="A3584" s="954">
        <f t="shared" si="107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4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  <c r="Q3584" s="2"/>
      <c r="R3584" s="2"/>
    </row>
    <row r="3585" spans="1:18" ht="19.5" hidden="1" thickBot="1" x14ac:dyDescent="0.3">
      <c r="A3585" s="1025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4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  <c r="Q3585" s="2"/>
      <c r="R3585" s="2"/>
    </row>
    <row r="3586" spans="1:18" ht="19.5" hidden="1" thickBot="1" x14ac:dyDescent="0.3">
      <c r="A3586" s="966">
        <f t="shared" si="107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4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  <c r="Q3586" s="2"/>
      <c r="R3586" s="2"/>
    </row>
    <row r="3587" spans="1:18" ht="19.5" hidden="1" thickBot="1" x14ac:dyDescent="0.3">
      <c r="A3587" s="1024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4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  <c r="Q3587" s="2"/>
      <c r="R3587" s="2"/>
    </row>
    <row r="3588" spans="1:18" ht="19.5" hidden="1" thickBot="1" x14ac:dyDescent="0.3">
      <c r="A3588" s="513">
        <f t="shared" si="107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4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  <c r="Q3588" s="2"/>
      <c r="R3588" s="2"/>
    </row>
    <row r="3589" spans="1:18" ht="57" hidden="1" thickBot="1" x14ac:dyDescent="0.3">
      <c r="A3589" s="503">
        <f t="shared" si="107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4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  <c r="Q3589" s="2"/>
      <c r="R3589" s="2"/>
    </row>
    <row r="3590" spans="1:18" ht="19.5" hidden="1" thickBot="1" x14ac:dyDescent="0.3">
      <c r="A3590" s="572">
        <f t="shared" si="107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4"/>
        <v>03,25</v>
      </c>
      <c r="L3590" s="577" t="s">
        <v>266</v>
      </c>
      <c r="M3590" s="577">
        <v>13697.9</v>
      </c>
      <c r="N3590" s="581">
        <v>0.5</v>
      </c>
      <c r="O3590" s="2"/>
      <c r="P3590" s="2"/>
      <c r="Q3590" s="2"/>
      <c r="R3590" s="2"/>
    </row>
    <row r="3591" spans="1:18" ht="19.5" hidden="1" thickBot="1" x14ac:dyDescent="0.3">
      <c r="A3591" s="503">
        <f t="shared" si="107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4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  <c r="Q3591" s="2"/>
      <c r="R3591" s="2"/>
    </row>
    <row r="3592" spans="1:18" ht="19.5" hidden="1" thickBot="1" x14ac:dyDescent="0.3">
      <c r="A3592" s="954">
        <f t="shared" si="107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4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  <c r="Q3592" s="2"/>
      <c r="R3592" s="2"/>
    </row>
    <row r="3593" spans="1:18" ht="19.5" hidden="1" thickBot="1" x14ac:dyDescent="0.3">
      <c r="A3593" s="955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4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  <c r="Q3593" s="2"/>
      <c r="R3593" s="2"/>
    </row>
    <row r="3594" spans="1:18" ht="19.5" hidden="1" thickBot="1" x14ac:dyDescent="0.3">
      <c r="A3594" s="955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4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  <c r="Q3594" s="2"/>
      <c r="R3594" s="2"/>
    </row>
    <row r="3595" spans="1:18" ht="19.5" hidden="1" thickBot="1" x14ac:dyDescent="0.3">
      <c r="A3595" s="955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4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  <c r="Q3595" s="2"/>
      <c r="R3595" s="2"/>
    </row>
    <row r="3596" spans="1:18" ht="19.5" hidden="1" thickBot="1" x14ac:dyDescent="0.3">
      <c r="A3596" s="955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4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  <c r="Q3596" s="2"/>
      <c r="R3596" s="2"/>
    </row>
    <row r="3597" spans="1:18" ht="19.5" hidden="1" thickBot="1" x14ac:dyDescent="0.3">
      <c r="A3597" s="955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4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  <c r="Q3597" s="2"/>
      <c r="R3597" s="2"/>
    </row>
    <row r="3598" spans="1:18" ht="75" hidden="1" customHeight="1" x14ac:dyDescent="0.25">
      <c r="A3598" s="966">
        <f t="shared" si="107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976" t="s">
        <v>812</v>
      </c>
      <c r="H3598" s="535" t="s">
        <v>809</v>
      </c>
      <c r="I3598" s="537" t="s">
        <v>809</v>
      </c>
      <c r="J3598" s="538"/>
      <c r="K3598" s="535" t="str">
        <f t="shared" si="104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  <c r="Q3598" s="2"/>
      <c r="R3598" s="2"/>
    </row>
    <row r="3599" spans="1:18" ht="19.5" hidden="1" thickBot="1" x14ac:dyDescent="0.3">
      <c r="A3599" s="1024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1027"/>
      <c r="H3599" s="586" t="s">
        <v>809</v>
      </c>
      <c r="I3599" s="587" t="s">
        <v>809</v>
      </c>
      <c r="J3599" s="588"/>
      <c r="K3599" s="586" t="str">
        <f t="shared" si="104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  <c r="Q3599" s="2"/>
      <c r="R3599" s="2"/>
    </row>
    <row r="3600" spans="1:18" ht="19.5" hidden="1" thickBot="1" x14ac:dyDescent="0.3">
      <c r="A3600" s="954">
        <f t="shared" si="107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4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  <c r="Q3600" s="2"/>
      <c r="R3600" s="2"/>
    </row>
    <row r="3601" spans="1:18" ht="19.5" hidden="1" thickBot="1" x14ac:dyDescent="0.3">
      <c r="A3601" s="1025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4"/>
        <v>03,25</v>
      </c>
      <c r="L3601" s="491" t="s">
        <v>265</v>
      </c>
      <c r="M3601" s="491">
        <v>6075.9</v>
      </c>
      <c r="N3601" s="494">
        <v>0.375</v>
      </c>
      <c r="O3601" s="2"/>
      <c r="P3601" s="2"/>
      <c r="Q3601" s="2"/>
      <c r="R3601" s="2"/>
    </row>
    <row r="3602" spans="1:18" ht="19.5" hidden="1" thickBot="1" x14ac:dyDescent="0.3">
      <c r="A3602" s="503">
        <f t="shared" si="107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4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  <c r="Q3602" s="2"/>
      <c r="R3602" s="2"/>
    </row>
    <row r="3603" spans="1:18" ht="19.5" hidden="1" thickBot="1" x14ac:dyDescent="0.3">
      <c r="A3603" s="572">
        <f t="shared" si="107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4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  <c r="Q3603" s="2"/>
      <c r="R3603" s="2"/>
    </row>
    <row r="3604" spans="1:18" ht="19.5" hidden="1" thickBot="1" x14ac:dyDescent="0.3">
      <c r="A3604" s="966">
        <f t="shared" si="107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976" t="s">
        <v>72</v>
      </c>
      <c r="H3604" s="535" t="s">
        <v>813</v>
      </c>
      <c r="I3604" s="537" t="s">
        <v>813</v>
      </c>
      <c r="J3604" s="538"/>
      <c r="K3604" s="535" t="str">
        <f t="shared" si="104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  <c r="Q3604" s="2"/>
      <c r="R3604" s="2"/>
    </row>
    <row r="3605" spans="1:18" ht="19.5" hidden="1" thickBot="1" x14ac:dyDescent="0.3">
      <c r="A3605" s="1024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1027"/>
      <c r="H3605" s="544" t="s">
        <v>813</v>
      </c>
      <c r="I3605" s="546" t="s">
        <v>813</v>
      </c>
      <c r="J3605" s="547"/>
      <c r="K3605" s="544" t="str">
        <f t="shared" si="104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  <c r="Q3605" s="2"/>
      <c r="R3605" s="2"/>
    </row>
    <row r="3606" spans="1:18" ht="19.5" hidden="1" thickBot="1" x14ac:dyDescent="0.3">
      <c r="A3606" s="954">
        <f t="shared" si="107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4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  <c r="Q3606" s="2"/>
      <c r="R3606" s="2"/>
    </row>
    <row r="3607" spans="1:18" ht="19.5" hidden="1" thickBot="1" x14ac:dyDescent="0.3">
      <c r="A3607" s="955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4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  <c r="Q3607" s="2"/>
      <c r="R3607" s="2"/>
    </row>
    <row r="3608" spans="1:18" ht="19.5" hidden="1" thickBot="1" x14ac:dyDescent="0.3">
      <c r="A3608" s="955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4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  <c r="Q3608" s="2"/>
      <c r="R3608" s="2"/>
    </row>
    <row r="3609" spans="1:18" ht="19.5" hidden="1" thickBot="1" x14ac:dyDescent="0.3">
      <c r="A3609" s="1025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4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  <c r="Q3609" s="2"/>
      <c r="R3609" s="2"/>
    </row>
    <row r="3610" spans="1:18" ht="19.5" hidden="1" thickBot="1" x14ac:dyDescent="0.3">
      <c r="A3610" s="503">
        <f t="shared" si="107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4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  <c r="Q3610" s="2"/>
      <c r="R3610" s="2"/>
    </row>
    <row r="3611" spans="1:18" ht="19.5" hidden="1" thickBot="1" x14ac:dyDescent="0.3">
      <c r="A3611" s="954">
        <f t="shared" si="107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4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  <c r="Q3611" s="2"/>
      <c r="R3611" s="2"/>
    </row>
    <row r="3612" spans="1:18" ht="19.5" hidden="1" thickBot="1" x14ac:dyDescent="0.3">
      <c r="A3612" s="955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4"/>
        <v>03,25</v>
      </c>
      <c r="L3612" s="499" t="s">
        <v>28</v>
      </c>
      <c r="M3612" s="499">
        <v>15489.18</v>
      </c>
      <c r="N3612" s="502">
        <v>0.5</v>
      </c>
      <c r="O3612" s="2"/>
      <c r="P3612" s="2"/>
      <c r="Q3612" s="2"/>
      <c r="R3612" s="2"/>
    </row>
    <row r="3613" spans="1:18" ht="38.25" hidden="1" thickBot="1" x14ac:dyDescent="0.3">
      <c r="A3613" s="503">
        <f t="shared" si="107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4"/>
        <v>03,25</v>
      </c>
      <c r="L3613" s="508" t="s">
        <v>28</v>
      </c>
      <c r="M3613" s="508">
        <v>16544.13</v>
      </c>
      <c r="N3613" s="512">
        <v>0.5</v>
      </c>
      <c r="O3613" s="2"/>
      <c r="P3613" s="2"/>
      <c r="Q3613" s="2"/>
      <c r="R3613" s="2"/>
    </row>
    <row r="3614" spans="1:18" ht="19.5" hidden="1" thickBot="1" x14ac:dyDescent="0.3">
      <c r="A3614" s="513">
        <f t="shared" si="107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4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  <c r="Q3614" s="2"/>
      <c r="R3614" s="2"/>
    </row>
    <row r="3615" spans="1:18" ht="19.5" hidden="1" thickBot="1" x14ac:dyDescent="0.3">
      <c r="A3615" s="966">
        <f t="shared" si="107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4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  <c r="Q3615" s="2"/>
      <c r="R3615" s="2"/>
    </row>
    <row r="3616" spans="1:18" ht="19.5" hidden="1" thickBot="1" x14ac:dyDescent="0.3">
      <c r="A3616" s="967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4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  <c r="Q3616" s="2"/>
      <c r="R3616" s="2"/>
    </row>
    <row r="3617" spans="1:18" ht="19.5" hidden="1" thickBot="1" x14ac:dyDescent="0.3">
      <c r="A3617" s="967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4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  <c r="Q3617" s="2"/>
      <c r="R3617" s="2"/>
    </row>
    <row r="3618" spans="1:18" ht="19.5" hidden="1" thickBot="1" x14ac:dyDescent="0.3">
      <c r="A3618" s="1024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4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  <c r="Q3618" s="2"/>
      <c r="R3618" s="2"/>
    </row>
    <row r="3619" spans="1:18" ht="19.5" hidden="1" thickBot="1" x14ac:dyDescent="0.3">
      <c r="A3619" s="513">
        <f t="shared" ref="A3619:A3681" si="108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4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  <c r="Q3619" s="2"/>
      <c r="R3619" s="2"/>
    </row>
    <row r="3620" spans="1:18" ht="38.25" hidden="1" thickBot="1" x14ac:dyDescent="0.3">
      <c r="A3620" s="503">
        <f t="shared" si="108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4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  <c r="Q3620" s="2"/>
      <c r="R3620" s="2"/>
    </row>
    <row r="3621" spans="1:18" ht="75.75" hidden="1" thickBot="1" x14ac:dyDescent="0.3">
      <c r="A3621" s="513">
        <f t="shared" si="108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4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  <c r="Q3621" s="2"/>
      <c r="R3621" s="2"/>
    </row>
    <row r="3622" spans="1:18" ht="19.5" hidden="1" thickBot="1" x14ac:dyDescent="0.3">
      <c r="A3622" s="966">
        <f t="shared" si="108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4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  <c r="Q3622" s="2"/>
      <c r="R3622" s="2"/>
    </row>
    <row r="3623" spans="1:18" ht="19.5" hidden="1" thickBot="1" x14ac:dyDescent="0.3">
      <c r="A3623" s="967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4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  <c r="Q3623" s="2"/>
      <c r="R3623" s="2"/>
    </row>
    <row r="3624" spans="1:18" ht="19.5" hidden="1" thickBot="1" x14ac:dyDescent="0.3">
      <c r="A3624" s="967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4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  <c r="Q3624" s="2"/>
      <c r="R3624" s="2"/>
    </row>
    <row r="3625" spans="1:18" ht="19.5" hidden="1" thickBot="1" x14ac:dyDescent="0.3">
      <c r="A3625" s="513">
        <f t="shared" si="108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4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  <c r="Q3625" s="2"/>
      <c r="R3625" s="2"/>
    </row>
    <row r="3626" spans="1:18" ht="19.5" hidden="1" thickBot="1" x14ac:dyDescent="0.3">
      <c r="A3626" s="503">
        <f t="shared" si="108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4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  <c r="Q3626" s="2"/>
      <c r="R3626" s="2"/>
    </row>
    <row r="3627" spans="1:18" ht="19.5" hidden="1" thickBot="1" x14ac:dyDescent="0.3">
      <c r="A3627" s="954">
        <f t="shared" si="108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4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  <c r="Q3627" s="2"/>
      <c r="R3627" s="2"/>
    </row>
    <row r="3628" spans="1:18" ht="19.5" hidden="1" thickBot="1" x14ac:dyDescent="0.3">
      <c r="A3628" s="955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4"/>
        <v>03,25</v>
      </c>
      <c r="L3628" s="527" t="s">
        <v>266</v>
      </c>
      <c r="M3628" s="527">
        <v>711.82</v>
      </c>
      <c r="N3628" s="530">
        <v>0.5</v>
      </c>
      <c r="O3628" s="2"/>
      <c r="P3628" s="2"/>
      <c r="Q3628" s="2"/>
      <c r="R3628" s="2"/>
    </row>
    <row r="3629" spans="1:18" ht="19.5" hidden="1" thickBot="1" x14ac:dyDescent="0.3">
      <c r="A3629" s="955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4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  <c r="Q3629" s="2"/>
      <c r="R3629" s="2"/>
    </row>
    <row r="3630" spans="1:18" ht="19.5" hidden="1" thickBot="1" x14ac:dyDescent="0.3">
      <c r="A3630" s="955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4"/>
        <v>03,25</v>
      </c>
      <c r="L3630" s="527" t="s">
        <v>266</v>
      </c>
      <c r="M3630" s="527">
        <v>3003</v>
      </c>
      <c r="N3630" s="530">
        <v>0.5</v>
      </c>
      <c r="O3630" s="2"/>
      <c r="P3630" s="2"/>
      <c r="Q3630" s="2"/>
      <c r="R3630" s="2"/>
    </row>
    <row r="3631" spans="1:18" ht="19.5" hidden="1" thickBot="1" x14ac:dyDescent="0.3">
      <c r="A3631" s="955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4"/>
        <v>03,25</v>
      </c>
      <c r="L3631" s="527" t="s">
        <v>266</v>
      </c>
      <c r="M3631" s="527">
        <v>1971.3</v>
      </c>
      <c r="N3631" s="530">
        <v>0.5</v>
      </c>
      <c r="O3631" s="2"/>
      <c r="P3631" s="2"/>
      <c r="Q3631" s="2"/>
      <c r="R3631" s="2"/>
    </row>
    <row r="3632" spans="1:18" ht="19.5" hidden="1" thickBot="1" x14ac:dyDescent="0.3">
      <c r="A3632" s="955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4"/>
        <v>03,25</v>
      </c>
      <c r="L3632" s="499" t="s">
        <v>266</v>
      </c>
      <c r="M3632" s="499">
        <v>1798.08</v>
      </c>
      <c r="N3632" s="502">
        <v>0.5</v>
      </c>
      <c r="O3632" s="2"/>
      <c r="P3632" s="2"/>
      <c r="Q3632" s="2"/>
      <c r="R3632" s="2"/>
    </row>
    <row r="3633" spans="1:18" ht="19.5" hidden="1" thickBot="1" x14ac:dyDescent="0.3">
      <c r="A3633" s="966">
        <f t="shared" si="108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4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  <c r="Q3633" s="2"/>
      <c r="R3633" s="2"/>
    </row>
    <row r="3634" spans="1:18" ht="19.5" hidden="1" thickBot="1" x14ac:dyDescent="0.3">
      <c r="A3634" s="1024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4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  <c r="Q3634" s="2"/>
      <c r="R3634" s="2"/>
    </row>
    <row r="3635" spans="1:18" ht="19.5" hidden="1" thickBot="1" x14ac:dyDescent="0.3">
      <c r="A3635" s="513">
        <f t="shared" si="108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4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  <c r="Q3635" s="2"/>
      <c r="R3635" s="2"/>
    </row>
    <row r="3636" spans="1:18" ht="19.5" hidden="1" thickBot="1" x14ac:dyDescent="0.3">
      <c r="A3636" s="503">
        <f t="shared" si="108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4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  <c r="Q3636" s="2"/>
      <c r="R3636" s="2"/>
    </row>
    <row r="3637" spans="1:18" ht="19.5" hidden="1" thickBot="1" x14ac:dyDescent="0.3">
      <c r="A3637" s="513">
        <f t="shared" si="108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4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  <c r="Q3637" s="2"/>
      <c r="R3637" s="2"/>
    </row>
    <row r="3638" spans="1:18" ht="19.5" hidden="1" thickBot="1" x14ac:dyDescent="0.3">
      <c r="A3638" s="551">
        <f t="shared" si="108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4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  <c r="Q3638" s="2"/>
      <c r="R3638" s="2"/>
    </row>
    <row r="3639" spans="1:18" ht="19.5" hidden="1" thickBot="1" x14ac:dyDescent="0.3">
      <c r="A3639" s="954">
        <f t="shared" si="108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963" t="s">
        <v>72</v>
      </c>
      <c r="H3639" s="483" t="s">
        <v>821</v>
      </c>
      <c r="I3639" s="484" t="s">
        <v>821</v>
      </c>
      <c r="J3639" s="485"/>
      <c r="K3639" s="483" t="str">
        <f t="shared" si="104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  <c r="Q3639" s="2"/>
      <c r="R3639" s="2"/>
    </row>
    <row r="3640" spans="1:18" ht="19.5" hidden="1" thickBot="1" x14ac:dyDescent="0.3">
      <c r="A3640" s="1025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1026"/>
      <c r="H3640" s="491" t="s">
        <v>821</v>
      </c>
      <c r="I3640" s="492" t="s">
        <v>821</v>
      </c>
      <c r="J3640" s="493"/>
      <c r="K3640" s="491" t="str">
        <f t="shared" si="104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  <c r="Q3640" s="2"/>
      <c r="R3640" s="2"/>
    </row>
    <row r="3641" spans="1:18" ht="19.5" hidden="1" thickBot="1" x14ac:dyDescent="0.3">
      <c r="A3641" s="503">
        <f t="shared" si="108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4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  <c r="Q3641" s="2"/>
      <c r="R3641" s="2"/>
    </row>
    <row r="3642" spans="1:18" ht="19.5" hidden="1" thickBot="1" x14ac:dyDescent="0.3">
      <c r="A3642" s="954">
        <f t="shared" si="108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963" t="s">
        <v>467</v>
      </c>
      <c r="H3642" s="483" t="s">
        <v>820</v>
      </c>
      <c r="I3642" s="484" t="s">
        <v>820</v>
      </c>
      <c r="J3642" s="485"/>
      <c r="K3642" s="483" t="str">
        <f t="shared" si="104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  <c r="Q3642" s="2"/>
      <c r="R3642" s="2"/>
    </row>
    <row r="3643" spans="1:18" ht="19.5" hidden="1" thickBot="1" x14ac:dyDescent="0.3">
      <c r="A3643" s="1025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1026"/>
      <c r="H3643" s="491" t="s">
        <v>820</v>
      </c>
      <c r="I3643" s="492" t="s">
        <v>820</v>
      </c>
      <c r="J3643" s="493"/>
      <c r="K3643" s="491" t="str">
        <f t="shared" si="104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  <c r="Q3643" s="2"/>
      <c r="R3643" s="2"/>
    </row>
    <row r="3644" spans="1:18" ht="19.5" hidden="1" thickBot="1" x14ac:dyDescent="0.3">
      <c r="A3644" s="503">
        <f t="shared" si="108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4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  <c r="Q3644" s="2"/>
      <c r="R3644" s="2"/>
    </row>
    <row r="3645" spans="1:18" ht="19.5" hidden="1" thickBot="1" x14ac:dyDescent="0.3">
      <c r="A3645" s="954">
        <f t="shared" si="108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4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  <c r="Q3645" s="2"/>
      <c r="R3645" s="2"/>
    </row>
    <row r="3646" spans="1:18" ht="19.5" hidden="1" thickBot="1" x14ac:dyDescent="0.3">
      <c r="A3646" s="1025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4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  <c r="Q3646" s="2"/>
      <c r="R3646" s="2"/>
    </row>
    <row r="3647" spans="1:18" ht="19.5" hidden="1" thickBot="1" x14ac:dyDescent="0.3">
      <c r="A3647" s="966">
        <f t="shared" si="108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4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  <c r="Q3647" s="2"/>
      <c r="R3647" s="2"/>
    </row>
    <row r="3648" spans="1:18" ht="19.5" hidden="1" thickBot="1" x14ac:dyDescent="0.3">
      <c r="A3648" s="1024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4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  <c r="Q3648" s="2"/>
      <c r="R3648" s="2"/>
    </row>
    <row r="3649" spans="1:18" ht="19.5" hidden="1" thickBot="1" x14ac:dyDescent="0.3">
      <c r="A3649" s="954">
        <f t="shared" si="108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4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  <c r="Q3649" s="2"/>
      <c r="R3649" s="2"/>
    </row>
    <row r="3650" spans="1:18" ht="19.5" hidden="1" thickBot="1" x14ac:dyDescent="0.3">
      <c r="A3650" s="955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4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  <c r="Q3650" s="2"/>
      <c r="R3650" s="2"/>
    </row>
    <row r="3651" spans="1:18" ht="75.75" hidden="1" thickBot="1" x14ac:dyDescent="0.3">
      <c r="A3651" s="503">
        <f t="shared" si="108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4"/>
        <v>03,25</v>
      </c>
      <c r="L3651" s="508" t="s">
        <v>28</v>
      </c>
      <c r="M3651" s="508">
        <v>12047.58</v>
      </c>
      <c r="N3651" s="512">
        <v>0.5</v>
      </c>
      <c r="O3651" s="2"/>
      <c r="P3651" s="2"/>
      <c r="Q3651" s="2"/>
      <c r="R3651" s="2"/>
    </row>
    <row r="3652" spans="1:18" ht="19.5" hidden="1" thickBot="1" x14ac:dyDescent="0.3">
      <c r="A3652" s="513">
        <f t="shared" si="108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4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  <c r="Q3652" s="2"/>
      <c r="R3652" s="2"/>
    </row>
    <row r="3653" spans="1:18" ht="38.25" hidden="1" thickBot="1" x14ac:dyDescent="0.3">
      <c r="A3653" s="503">
        <f t="shared" si="108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4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  <c r="Q3653" s="2"/>
      <c r="R3653" s="2"/>
    </row>
    <row r="3654" spans="1:18" ht="19.5" hidden="1" thickBot="1" x14ac:dyDescent="0.3">
      <c r="A3654" s="954">
        <f t="shared" si="108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4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  <c r="Q3654" s="2"/>
      <c r="R3654" s="2"/>
    </row>
    <row r="3655" spans="1:18" ht="19.5" hidden="1" thickBot="1" x14ac:dyDescent="0.3">
      <c r="A3655" s="1025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4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  <c r="Q3655" s="2"/>
      <c r="R3655" s="2"/>
    </row>
    <row r="3656" spans="1:18" ht="19.5" hidden="1" thickBot="1" x14ac:dyDescent="0.3">
      <c r="A3656" s="966">
        <f t="shared" si="108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4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  <c r="Q3656" s="2"/>
      <c r="R3656" s="2"/>
    </row>
    <row r="3657" spans="1:18" ht="19.5" hidden="1" thickBot="1" x14ac:dyDescent="0.3">
      <c r="A3657" s="1024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4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  <c r="Q3657" s="2"/>
      <c r="R3657" s="2"/>
    </row>
    <row r="3658" spans="1:18" ht="19.5" hidden="1" thickBot="1" x14ac:dyDescent="0.3">
      <c r="A3658" s="954">
        <f t="shared" si="108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4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  <c r="Q3658" s="2"/>
      <c r="R3658" s="2"/>
    </row>
    <row r="3659" spans="1:18" ht="19.5" hidden="1" thickBot="1" x14ac:dyDescent="0.3">
      <c r="A3659" s="955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4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  <c r="Q3659" s="2"/>
      <c r="R3659" s="2"/>
    </row>
    <row r="3660" spans="1:18" ht="19.5" hidden="1" thickBot="1" x14ac:dyDescent="0.3">
      <c r="A3660" s="1025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4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  <c r="Q3660" s="2"/>
      <c r="R3660" s="2"/>
    </row>
    <row r="3661" spans="1:18" ht="19.5" hidden="1" thickBot="1" x14ac:dyDescent="0.3">
      <c r="A3661" s="966">
        <f t="shared" si="108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4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  <c r="Q3661" s="2"/>
      <c r="R3661" s="2"/>
    </row>
    <row r="3662" spans="1:18" ht="19.5" hidden="1" thickBot="1" x14ac:dyDescent="0.3">
      <c r="A3662" s="967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4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  <c r="Q3662" s="2"/>
      <c r="R3662" s="2"/>
    </row>
    <row r="3663" spans="1:18" ht="19.5" hidden="1" thickBot="1" x14ac:dyDescent="0.3">
      <c r="A3663" s="1024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4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  <c r="Q3663" s="2"/>
      <c r="R3663" s="2"/>
    </row>
    <row r="3664" spans="1:18" ht="38.25" hidden="1" thickBot="1" x14ac:dyDescent="0.3">
      <c r="A3664" s="513">
        <f t="shared" si="108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4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  <c r="Q3664" s="2"/>
      <c r="R3664" s="2"/>
    </row>
    <row r="3665" spans="1:18" ht="19.5" hidden="1" thickBot="1" x14ac:dyDescent="0.3">
      <c r="A3665" s="551">
        <f t="shared" si="108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4"/>
        <v>03,25</v>
      </c>
      <c r="L3665" s="556" t="s">
        <v>266</v>
      </c>
      <c r="M3665" s="556">
        <v>14299.25</v>
      </c>
      <c r="N3665" s="560">
        <v>0.5</v>
      </c>
      <c r="O3665" s="2"/>
      <c r="P3665" s="2"/>
      <c r="Q3665" s="2"/>
      <c r="R3665" s="2"/>
    </row>
    <row r="3666" spans="1:18" ht="19.5" hidden="1" thickBot="1" x14ac:dyDescent="0.3">
      <c r="A3666" s="513">
        <f t="shared" si="108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4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  <c r="Q3666" s="2"/>
      <c r="R3666" s="2"/>
    </row>
    <row r="3667" spans="1:18" ht="19.5" hidden="1" thickBot="1" x14ac:dyDescent="0.3">
      <c r="A3667" s="503">
        <f t="shared" si="108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4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  <c r="Q3667" s="2"/>
      <c r="R3667" s="2"/>
    </row>
    <row r="3668" spans="1:18" ht="19.5" hidden="1" thickBot="1" x14ac:dyDescent="0.3">
      <c r="A3668" s="513">
        <f t="shared" si="108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4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  <c r="Q3668" s="2"/>
      <c r="R3668" s="2"/>
    </row>
    <row r="3669" spans="1:18" ht="19.5" hidden="1" thickBot="1" x14ac:dyDescent="0.3">
      <c r="A3669" s="966">
        <f t="shared" si="108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4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  <c r="Q3669" s="2"/>
      <c r="R3669" s="2"/>
    </row>
    <row r="3670" spans="1:18" ht="19.5" hidden="1" thickBot="1" x14ac:dyDescent="0.3">
      <c r="A3670" s="967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4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  <c r="Q3670" s="2"/>
      <c r="R3670" s="2"/>
    </row>
    <row r="3671" spans="1:18" ht="19.5" hidden="1" thickBot="1" x14ac:dyDescent="0.3">
      <c r="A3671" s="967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4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  <c r="Q3671" s="2"/>
      <c r="R3671" s="2"/>
    </row>
    <row r="3672" spans="1:18" ht="19.5" hidden="1" thickBot="1" x14ac:dyDescent="0.3">
      <c r="A3672" s="967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4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  <c r="Q3672" s="2"/>
      <c r="R3672" s="2"/>
    </row>
    <row r="3673" spans="1:18" ht="19.5" hidden="1" thickBot="1" x14ac:dyDescent="0.3">
      <c r="A3673" s="967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4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  <c r="Q3673" s="2"/>
      <c r="R3673" s="2"/>
    </row>
    <row r="3674" spans="1:18" ht="19.5" hidden="1" thickBot="1" x14ac:dyDescent="0.3">
      <c r="A3674" s="967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4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  <c r="Q3674" s="2"/>
      <c r="R3674" s="2"/>
    </row>
    <row r="3675" spans="1:18" ht="19.5" hidden="1" thickBot="1" x14ac:dyDescent="0.3">
      <c r="A3675" s="954">
        <f t="shared" si="108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4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  <c r="Q3675" s="2"/>
      <c r="R3675" s="2"/>
    </row>
    <row r="3676" spans="1:18" ht="19.5" hidden="1" thickBot="1" x14ac:dyDescent="0.3">
      <c r="A3676" s="1025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4"/>
        <v>03,25</v>
      </c>
      <c r="L3676" s="491" t="s">
        <v>265</v>
      </c>
      <c r="M3676" s="491">
        <v>1914.5</v>
      </c>
      <c r="N3676" s="494">
        <v>0.375</v>
      </c>
      <c r="O3676" s="2"/>
      <c r="P3676" s="2"/>
      <c r="Q3676" s="2"/>
      <c r="R3676" s="2"/>
    </row>
    <row r="3677" spans="1:18" ht="19.5" hidden="1" thickBot="1" x14ac:dyDescent="0.3">
      <c r="A3677" s="966">
        <f t="shared" si="108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976" t="s">
        <v>467</v>
      </c>
      <c r="H3677" s="535" t="s">
        <v>827</v>
      </c>
      <c r="I3677" s="537" t="s">
        <v>827</v>
      </c>
      <c r="J3677" s="538"/>
      <c r="K3677" s="535" t="str">
        <f t="shared" si="104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  <c r="Q3677" s="2"/>
      <c r="R3677" s="2"/>
    </row>
    <row r="3678" spans="1:18" ht="19.5" hidden="1" thickBot="1" x14ac:dyDescent="0.3">
      <c r="A3678" s="1024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1027"/>
      <c r="H3678" s="544" t="s">
        <v>827</v>
      </c>
      <c r="I3678" s="546" t="s">
        <v>827</v>
      </c>
      <c r="J3678" s="547"/>
      <c r="K3678" s="544" t="str">
        <f t="shared" si="104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  <c r="Q3678" s="2"/>
      <c r="R3678" s="2"/>
    </row>
    <row r="3679" spans="1:18" ht="19.5" hidden="1" thickBot="1" x14ac:dyDescent="0.3">
      <c r="A3679" s="513">
        <f t="shared" si="108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4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  <c r="Q3679" s="2"/>
      <c r="R3679" s="2"/>
    </row>
    <row r="3680" spans="1:18" ht="19.5" hidden="1" thickBot="1" x14ac:dyDescent="0.3">
      <c r="A3680" s="551">
        <f t="shared" si="108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4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  <c r="Q3680" s="2"/>
      <c r="R3680" s="2"/>
    </row>
    <row r="3681" spans="1:18" ht="57" hidden="1" thickBot="1" x14ac:dyDescent="0.3">
      <c r="A3681" s="954">
        <f t="shared" si="108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4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  <c r="Q3681" s="2"/>
      <c r="R3681" s="2"/>
    </row>
    <row r="3682" spans="1:18" ht="19.5" hidden="1" thickBot="1" x14ac:dyDescent="0.3">
      <c r="A3682" s="1025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4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  <c r="Q3682" s="2"/>
      <c r="R3682" s="2"/>
    </row>
    <row r="3683" spans="1:18" ht="19.5" hidden="1" thickBot="1" x14ac:dyDescent="0.3">
      <c r="A3683" s="503">
        <f t="shared" ref="A3683:A3709" si="109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4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  <c r="Q3683" s="2"/>
      <c r="R3683" s="2"/>
    </row>
    <row r="3684" spans="1:18" ht="19.5" hidden="1" thickBot="1" x14ac:dyDescent="0.3">
      <c r="A3684" s="513">
        <f t="shared" si="109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4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  <c r="Q3684" s="2"/>
      <c r="R3684" s="2"/>
    </row>
    <row r="3685" spans="1:18" ht="19.5" hidden="1" thickBot="1" x14ac:dyDescent="0.3">
      <c r="A3685" s="966">
        <f t="shared" si="109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4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  <c r="Q3685" s="2"/>
      <c r="R3685" s="2"/>
    </row>
    <row r="3686" spans="1:18" ht="19.5" hidden="1" thickBot="1" x14ac:dyDescent="0.3">
      <c r="A3686" s="1024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4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  <c r="Q3686" s="2"/>
      <c r="R3686" s="2"/>
    </row>
    <row r="3687" spans="1:18" ht="19.5" hidden="1" thickBot="1" x14ac:dyDescent="0.3">
      <c r="A3687" s="954">
        <f t="shared" si="109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4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  <c r="Q3687" s="2"/>
      <c r="R3687" s="2"/>
    </row>
    <row r="3688" spans="1:18" ht="19.5" hidden="1" thickBot="1" x14ac:dyDescent="0.3">
      <c r="A3688" s="955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4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  <c r="Q3688" s="2"/>
      <c r="R3688" s="2"/>
    </row>
    <row r="3689" spans="1:18" ht="19.5" hidden="1" thickBot="1" x14ac:dyDescent="0.3">
      <c r="A3689" s="955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4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  <c r="Q3689" s="2"/>
      <c r="R3689" s="2"/>
    </row>
    <row r="3690" spans="1:18" ht="19.5" hidden="1" thickBot="1" x14ac:dyDescent="0.3">
      <c r="A3690" s="1025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4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  <c r="Q3690" s="2"/>
      <c r="R3690" s="2"/>
    </row>
    <row r="3691" spans="1:18" ht="19.5" hidden="1" thickBot="1" x14ac:dyDescent="0.3">
      <c r="A3691" s="503">
        <f t="shared" si="109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4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  <c r="Q3691" s="2"/>
      <c r="R3691" s="2"/>
    </row>
    <row r="3692" spans="1:18" ht="19.5" hidden="1" thickBot="1" x14ac:dyDescent="0.3">
      <c r="A3692" s="572">
        <f t="shared" si="109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4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  <c r="Q3692" s="2"/>
      <c r="R3692" s="2"/>
    </row>
    <row r="3693" spans="1:18" ht="19.5" hidden="1" thickBot="1" x14ac:dyDescent="0.3">
      <c r="A3693" s="503">
        <f t="shared" si="109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4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  <c r="Q3693" s="2"/>
      <c r="R3693" s="2"/>
    </row>
    <row r="3694" spans="1:18" ht="28.5" hidden="1" customHeight="1" x14ac:dyDescent="0.25">
      <c r="A3694" s="954">
        <f t="shared" si="109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963" t="s">
        <v>834</v>
      </c>
      <c r="H3694" s="483" t="s">
        <v>829</v>
      </c>
      <c r="I3694" s="484" t="s">
        <v>830</v>
      </c>
      <c r="J3694" s="485"/>
      <c r="K3694" s="483" t="str">
        <f t="shared" si="104"/>
        <v>03,25</v>
      </c>
      <c r="L3694" s="483" t="s">
        <v>28</v>
      </c>
      <c r="M3694" s="483">
        <v>8670.86</v>
      </c>
      <c r="N3694" s="486">
        <v>0.5</v>
      </c>
      <c r="O3694" s="2"/>
      <c r="P3694" s="2"/>
      <c r="Q3694" s="2"/>
      <c r="R3694" s="2"/>
    </row>
    <row r="3695" spans="1:18" ht="28.5" hidden="1" customHeight="1" thickBot="1" x14ac:dyDescent="0.3">
      <c r="A3695" s="1025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1026"/>
      <c r="H3695" s="491" t="s">
        <v>829</v>
      </c>
      <c r="I3695" s="492" t="s">
        <v>830</v>
      </c>
      <c r="J3695" s="493"/>
      <c r="K3695" s="491" t="str">
        <f t="shared" si="104"/>
        <v>03,25</v>
      </c>
      <c r="L3695" s="491" t="s">
        <v>28</v>
      </c>
      <c r="M3695" s="491">
        <v>1945.38</v>
      </c>
      <c r="N3695" s="494">
        <v>0.5</v>
      </c>
      <c r="O3695" s="2"/>
      <c r="P3695" s="2"/>
      <c r="Q3695" s="2"/>
      <c r="R3695" s="2"/>
    </row>
    <row r="3696" spans="1:18" ht="19.5" hidden="1" thickBot="1" x14ac:dyDescent="0.3">
      <c r="A3696" s="503">
        <f t="shared" si="109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4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  <c r="Q3696" s="2"/>
      <c r="R3696" s="2"/>
    </row>
    <row r="3697" spans="1:18" ht="38.25" hidden="1" thickBot="1" x14ac:dyDescent="0.3">
      <c r="A3697" s="513">
        <f t="shared" si="109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4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  <c r="Q3697" s="2"/>
      <c r="R3697" s="2"/>
    </row>
    <row r="3698" spans="1:18" ht="19.5" hidden="1" thickBot="1" x14ac:dyDescent="0.3">
      <c r="A3698" s="966">
        <f t="shared" si="109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4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  <c r="Q3698" s="2"/>
      <c r="R3698" s="2"/>
    </row>
    <row r="3699" spans="1:18" ht="19.5" hidden="1" thickBot="1" x14ac:dyDescent="0.3">
      <c r="A3699" s="967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4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  <c r="Q3699" s="2"/>
      <c r="R3699" s="2"/>
    </row>
    <row r="3700" spans="1:18" ht="19.5" hidden="1" thickBot="1" x14ac:dyDescent="0.3">
      <c r="A3700" s="1024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4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  <c r="Q3700" s="2"/>
      <c r="R3700" s="2"/>
    </row>
    <row r="3701" spans="1:18" ht="19.5" hidden="1" thickBot="1" x14ac:dyDescent="0.3">
      <c r="A3701" s="954">
        <f t="shared" si="109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4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  <c r="Q3701" s="2"/>
      <c r="R3701" s="2"/>
    </row>
    <row r="3702" spans="1:18" ht="19.5" hidden="1" thickBot="1" x14ac:dyDescent="0.3">
      <c r="A3702" s="1025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4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  <c r="Q3702" s="2"/>
      <c r="R3702" s="2"/>
    </row>
    <row r="3703" spans="1:18" ht="49.5" hidden="1" customHeight="1" x14ac:dyDescent="0.25">
      <c r="A3703" s="966">
        <f t="shared" si="109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976" t="s">
        <v>831</v>
      </c>
      <c r="H3703" s="535" t="s">
        <v>830</v>
      </c>
      <c r="I3703" s="537" t="s">
        <v>830</v>
      </c>
      <c r="J3703" s="538"/>
      <c r="K3703" s="535" t="str">
        <f t="shared" si="104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  <c r="Q3703" s="2"/>
      <c r="R3703" s="2"/>
    </row>
    <row r="3704" spans="1:18" ht="49.5" hidden="1" customHeight="1" thickBot="1" x14ac:dyDescent="0.3">
      <c r="A3704" s="1024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1027"/>
      <c r="H3704" s="544" t="s">
        <v>830</v>
      </c>
      <c r="I3704" s="546" t="s">
        <v>830</v>
      </c>
      <c r="J3704" s="547"/>
      <c r="K3704" s="544" t="str">
        <f t="shared" si="104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  <c r="Q3704" s="2"/>
      <c r="R3704" s="2"/>
    </row>
    <row r="3705" spans="1:18" ht="19.5" hidden="1" thickBot="1" x14ac:dyDescent="0.3">
      <c r="A3705" s="513">
        <f t="shared" si="109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4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  <c r="Q3705" s="2"/>
      <c r="R3705" s="2"/>
    </row>
    <row r="3706" spans="1:18" ht="38.25" hidden="1" thickBot="1" x14ac:dyDescent="0.3">
      <c r="A3706" s="551">
        <f t="shared" si="109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10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  <c r="Q3706" s="2"/>
      <c r="R3706" s="2"/>
    </row>
    <row r="3707" spans="1:18" ht="19.5" hidden="1" thickBot="1" x14ac:dyDescent="0.3">
      <c r="A3707" s="513">
        <f t="shared" si="109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10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  <c r="Q3707" s="2"/>
      <c r="R3707" s="2"/>
    </row>
    <row r="3708" spans="1:18" ht="19.5" hidden="1" thickBot="1" x14ac:dyDescent="0.3">
      <c r="A3708" s="503">
        <f t="shared" si="109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10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  <c r="Q3708" s="2"/>
      <c r="R3708" s="2"/>
    </row>
    <row r="3709" spans="1:18" ht="19.5" hidden="1" thickBot="1" x14ac:dyDescent="0.3">
      <c r="A3709" s="954">
        <f t="shared" si="109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10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  <c r="Q3709" s="2"/>
      <c r="R3709" s="2"/>
    </row>
    <row r="3710" spans="1:18" ht="19.5" hidden="1" thickBot="1" x14ac:dyDescent="0.3">
      <c r="A3710" s="955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10"/>
        <v>04,25</v>
      </c>
      <c r="L3710" s="527" t="s">
        <v>266</v>
      </c>
      <c r="M3710" s="527">
        <v>1260.92</v>
      </c>
      <c r="N3710" s="530">
        <v>0.5</v>
      </c>
      <c r="O3710" s="2"/>
      <c r="P3710" s="2"/>
      <c r="Q3710" s="2"/>
      <c r="R3710" s="2"/>
    </row>
    <row r="3711" spans="1:18" ht="19.5" hidden="1" thickBot="1" x14ac:dyDescent="0.3">
      <c r="A3711" s="955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10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  <c r="Q3711" s="2"/>
      <c r="R3711" s="2"/>
    </row>
    <row r="3712" spans="1:18" ht="19.5" hidden="1" thickBot="1" x14ac:dyDescent="0.3">
      <c r="A3712" s="955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10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  <c r="Q3712" s="2"/>
      <c r="R3712" s="2"/>
    </row>
    <row r="3713" spans="1:18" ht="19.5" hidden="1" thickBot="1" x14ac:dyDescent="0.3">
      <c r="A3713" s="955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10"/>
        <v>04,25</v>
      </c>
      <c r="L3713" s="527" t="s">
        <v>266</v>
      </c>
      <c r="M3713" s="527">
        <v>701.1</v>
      </c>
      <c r="N3713" s="530">
        <v>0.5</v>
      </c>
      <c r="O3713" s="2"/>
      <c r="P3713" s="2"/>
      <c r="Q3713" s="2"/>
      <c r="R3713" s="2"/>
    </row>
    <row r="3714" spans="1:18" ht="19.5" hidden="1" thickBot="1" x14ac:dyDescent="0.3">
      <c r="A3714" s="955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10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  <c r="Q3714" s="2"/>
      <c r="R3714" s="2"/>
    </row>
    <row r="3715" spans="1:18" ht="19.5" hidden="1" thickBot="1" x14ac:dyDescent="0.3">
      <c r="A3715" s="966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10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  <c r="Q3715" s="2"/>
      <c r="R3715" s="2"/>
    </row>
    <row r="3716" spans="1:18" ht="19.5" hidden="1" thickBot="1" x14ac:dyDescent="0.3">
      <c r="A3716" s="1024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10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  <c r="Q3716" s="2"/>
      <c r="R3716" s="2"/>
    </row>
    <row r="3717" spans="1:18" ht="19.5" hidden="1" thickBot="1" x14ac:dyDescent="0.3">
      <c r="A3717" s="513">
        <f t="shared" ref="A3717:A3723" si="111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10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  <c r="Q3717" s="2"/>
      <c r="R3717" s="2"/>
    </row>
    <row r="3718" spans="1:18" ht="19.5" hidden="1" thickBot="1" x14ac:dyDescent="0.3">
      <c r="A3718" s="966">
        <f t="shared" si="111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10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  <c r="Q3718" s="2"/>
      <c r="R3718" s="2"/>
    </row>
    <row r="3719" spans="1:18" ht="19.5" hidden="1" thickBot="1" x14ac:dyDescent="0.3">
      <c r="A3719" s="1024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10"/>
        <v>04,25</v>
      </c>
      <c r="L3719" s="544" t="s">
        <v>265</v>
      </c>
      <c r="M3719" s="544">
        <v>100.8</v>
      </c>
      <c r="N3719" s="548">
        <v>0.375</v>
      </c>
      <c r="O3719" s="2"/>
      <c r="P3719" s="2"/>
      <c r="Q3719" s="2"/>
      <c r="R3719" s="2"/>
    </row>
    <row r="3720" spans="1:18" ht="19.5" hidden="1" thickBot="1" x14ac:dyDescent="0.3">
      <c r="A3720" s="572">
        <f t="shared" si="111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10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  <c r="Q3720" s="2"/>
      <c r="R3720" s="2"/>
    </row>
    <row r="3721" spans="1:18" ht="19.5" hidden="1" thickBot="1" x14ac:dyDescent="0.3">
      <c r="A3721" s="966">
        <f t="shared" si="111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976" t="s">
        <v>72</v>
      </c>
      <c r="H3721" s="535" t="s">
        <v>838</v>
      </c>
      <c r="I3721" s="537" t="s">
        <v>838</v>
      </c>
      <c r="J3721" s="538"/>
      <c r="K3721" s="535" t="str">
        <f t="shared" si="110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  <c r="Q3721" s="2"/>
      <c r="R3721" s="2"/>
    </row>
    <row r="3722" spans="1:18" ht="19.5" hidden="1" thickBot="1" x14ac:dyDescent="0.3">
      <c r="A3722" s="1024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1027"/>
      <c r="H3722" s="544" t="s">
        <v>838</v>
      </c>
      <c r="I3722" s="546" t="s">
        <v>838</v>
      </c>
      <c r="J3722" s="547"/>
      <c r="K3722" s="544" t="str">
        <f t="shared" si="110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  <c r="Q3722" s="2"/>
      <c r="R3722" s="2"/>
    </row>
    <row r="3723" spans="1:18" ht="19.5" hidden="1" thickBot="1" x14ac:dyDescent="0.3">
      <c r="A3723" s="954">
        <f t="shared" si="111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10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  <c r="Q3723" s="2"/>
      <c r="R3723" s="2"/>
    </row>
    <row r="3724" spans="1:18" ht="19.5" hidden="1" thickBot="1" x14ac:dyDescent="0.3">
      <c r="A3724" s="955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10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  <c r="Q3724" s="2"/>
      <c r="R3724" s="2"/>
    </row>
    <row r="3725" spans="1:18" ht="19.5" hidden="1" thickBot="1" x14ac:dyDescent="0.3">
      <c r="A3725" s="1025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10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  <c r="Q3725" s="2"/>
      <c r="R3725" s="2"/>
    </row>
    <row r="3726" spans="1:18" ht="19.5" hidden="1" thickBot="1" x14ac:dyDescent="0.3">
      <c r="A3726" s="966">
        <f t="shared" ref="A3726" si="112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10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  <c r="Q3726" s="2"/>
      <c r="R3726" s="2"/>
    </row>
    <row r="3727" spans="1:18" ht="19.5" hidden="1" thickBot="1" x14ac:dyDescent="0.3">
      <c r="A3727" s="967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10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  <c r="Q3727" s="2"/>
      <c r="R3727" s="2"/>
    </row>
    <row r="3728" spans="1:18" ht="19.5" hidden="1" thickBot="1" x14ac:dyDescent="0.3">
      <c r="A3728" s="1024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10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  <c r="Q3728" s="2"/>
      <c r="R3728" s="2"/>
    </row>
    <row r="3729" spans="1:18" ht="19.5" hidden="1" thickBot="1" x14ac:dyDescent="0.3">
      <c r="A3729" s="954">
        <f t="shared" ref="A3729" si="113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10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  <c r="Q3729" s="2"/>
      <c r="R3729" s="2"/>
    </row>
    <row r="3730" spans="1:18" ht="19.5" hidden="1" thickBot="1" x14ac:dyDescent="0.3">
      <c r="A3730" s="955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10"/>
        <v>04,25</v>
      </c>
      <c r="L3730" s="527" t="s">
        <v>28</v>
      </c>
      <c r="M3730" s="527">
        <v>41.4</v>
      </c>
      <c r="N3730" s="530">
        <v>0.5</v>
      </c>
      <c r="O3730" s="2"/>
      <c r="P3730" s="2"/>
      <c r="Q3730" s="2"/>
      <c r="R3730" s="2"/>
    </row>
    <row r="3731" spans="1:18" ht="19.5" hidden="1" thickBot="1" x14ac:dyDescent="0.3">
      <c r="A3731" s="1025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10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  <c r="Q3731" s="2"/>
      <c r="R3731" s="2"/>
    </row>
    <row r="3732" spans="1:18" ht="19.5" hidden="1" thickBot="1" x14ac:dyDescent="0.3">
      <c r="A3732" s="966">
        <f t="shared" ref="A3732:A3795" si="114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10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  <c r="Q3732" s="2"/>
      <c r="R3732" s="2"/>
    </row>
    <row r="3733" spans="1:18" ht="19.5" hidden="1" thickBot="1" x14ac:dyDescent="0.3">
      <c r="A3733" s="967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10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  <c r="Q3733" s="2"/>
      <c r="R3733" s="2"/>
    </row>
    <row r="3734" spans="1:18" ht="19.5" hidden="1" thickBot="1" x14ac:dyDescent="0.3">
      <c r="A3734" s="967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10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  <c r="Q3734" s="2"/>
      <c r="R3734" s="2"/>
    </row>
    <row r="3735" spans="1:18" ht="19.5" hidden="1" thickBot="1" x14ac:dyDescent="0.3">
      <c r="A3735" s="967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10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  <c r="Q3735" s="2"/>
      <c r="R3735" s="2"/>
    </row>
    <row r="3736" spans="1:18" ht="19.5" hidden="1" thickBot="1" x14ac:dyDescent="0.3">
      <c r="A3736" s="513">
        <f t="shared" si="114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10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  <c r="Q3736" s="2"/>
      <c r="R3736" s="2"/>
    </row>
    <row r="3737" spans="1:18" ht="19.5" hidden="1" thickBot="1" x14ac:dyDescent="0.3">
      <c r="A3737" s="966">
        <f t="shared" si="114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10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  <c r="Q3737" s="2"/>
      <c r="R3737" s="2"/>
    </row>
    <row r="3738" spans="1:18" ht="19.5" hidden="1" thickBot="1" x14ac:dyDescent="0.3">
      <c r="A3738" s="1024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10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  <c r="Q3738" s="2"/>
      <c r="R3738" s="2"/>
    </row>
    <row r="3739" spans="1:18" ht="19.5" hidden="1" thickBot="1" x14ac:dyDescent="0.3">
      <c r="A3739" s="954">
        <f t="shared" si="114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10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  <c r="Q3739" s="2"/>
      <c r="R3739" s="2"/>
    </row>
    <row r="3740" spans="1:18" ht="19.5" hidden="1" thickBot="1" x14ac:dyDescent="0.3">
      <c r="A3740" s="955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10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  <c r="Q3740" s="2"/>
      <c r="R3740" s="2"/>
    </row>
    <row r="3741" spans="1:18" ht="19.5" hidden="1" thickBot="1" x14ac:dyDescent="0.3">
      <c r="A3741" s="1025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10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  <c r="Q3741" s="2"/>
      <c r="R3741" s="2"/>
    </row>
    <row r="3742" spans="1:18" ht="38.25" hidden="1" thickBot="1" x14ac:dyDescent="0.3">
      <c r="A3742" s="503">
        <f t="shared" si="114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10"/>
        <v>04,25</v>
      </c>
      <c r="L3742" s="508" t="s">
        <v>28</v>
      </c>
      <c r="M3742" s="508">
        <v>17985.48</v>
      </c>
      <c r="N3742" s="512">
        <v>0.5</v>
      </c>
      <c r="O3742" s="2"/>
      <c r="P3742" s="2"/>
      <c r="Q3742" s="2"/>
      <c r="R3742" s="2"/>
    </row>
    <row r="3743" spans="1:18" ht="19.5" hidden="1" thickBot="1" x14ac:dyDescent="0.3">
      <c r="A3743" s="954">
        <f t="shared" si="114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10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  <c r="Q3743" s="2"/>
      <c r="R3743" s="2"/>
    </row>
    <row r="3744" spans="1:18" ht="19.5" hidden="1" thickBot="1" x14ac:dyDescent="0.3">
      <c r="A3744" s="955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10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  <c r="Q3744" s="2"/>
      <c r="R3744" s="2"/>
    </row>
    <row r="3745" spans="1:18" ht="19.5" hidden="1" thickBot="1" x14ac:dyDescent="0.3">
      <c r="A3745" s="955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10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  <c r="Q3745" s="2"/>
      <c r="R3745" s="2"/>
    </row>
    <row r="3746" spans="1:18" ht="19.5" hidden="1" thickBot="1" x14ac:dyDescent="0.3">
      <c r="A3746" s="955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10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  <c r="Q3746" s="2"/>
      <c r="R3746" s="2"/>
    </row>
    <row r="3747" spans="1:18" ht="57" hidden="1" thickBot="1" x14ac:dyDescent="0.3">
      <c r="A3747" s="503">
        <f t="shared" si="114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10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  <c r="Q3747" s="2"/>
      <c r="R3747" s="2"/>
    </row>
    <row r="3748" spans="1:18" ht="19.5" hidden="1" thickBot="1" x14ac:dyDescent="0.3">
      <c r="A3748" s="513">
        <f t="shared" si="114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10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  <c r="Q3748" s="2"/>
      <c r="R3748" s="2"/>
    </row>
    <row r="3749" spans="1:18" ht="19.5" hidden="1" thickBot="1" x14ac:dyDescent="0.3">
      <c r="A3749" s="966">
        <f t="shared" si="114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10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  <c r="Q3749" s="2"/>
      <c r="R3749" s="2"/>
    </row>
    <row r="3750" spans="1:18" ht="19.5" hidden="1" thickBot="1" x14ac:dyDescent="0.3">
      <c r="A3750" s="967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10"/>
        <v>04,25</v>
      </c>
      <c r="L3750" s="594" t="s">
        <v>266</v>
      </c>
      <c r="M3750" s="594">
        <v>14401.4</v>
      </c>
      <c r="N3750" s="598">
        <v>0.5</v>
      </c>
      <c r="O3750" s="2"/>
      <c r="P3750" s="2"/>
      <c r="Q3750" s="2"/>
      <c r="R3750" s="2"/>
    </row>
    <row r="3751" spans="1:18" ht="19.5" hidden="1" thickBot="1" x14ac:dyDescent="0.3">
      <c r="A3751" s="513">
        <f t="shared" si="114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10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  <c r="Q3751" s="2"/>
      <c r="R3751" s="2"/>
    </row>
    <row r="3752" spans="1:18" ht="19.5" hidden="1" thickBot="1" x14ac:dyDescent="0.3">
      <c r="A3752" s="503">
        <f t="shared" si="114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10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  <c r="Q3752" s="2"/>
      <c r="R3752" s="2"/>
    </row>
    <row r="3753" spans="1:18" ht="19.5" hidden="1" thickBot="1" x14ac:dyDescent="0.3">
      <c r="A3753" s="513">
        <f t="shared" si="114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10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  <c r="Q3753" s="2"/>
      <c r="R3753" s="2"/>
    </row>
    <row r="3754" spans="1:18" ht="19.5" hidden="1" thickBot="1" x14ac:dyDescent="0.3">
      <c r="A3754" s="966">
        <f t="shared" si="114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10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  <c r="Q3754" s="2"/>
      <c r="R3754" s="2"/>
    </row>
    <row r="3755" spans="1:18" ht="19.5" hidden="1" thickBot="1" x14ac:dyDescent="0.3">
      <c r="A3755" s="967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10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  <c r="Q3755" s="2"/>
      <c r="R3755" s="2"/>
    </row>
    <row r="3756" spans="1:18" ht="19.5" hidden="1" thickBot="1" x14ac:dyDescent="0.3">
      <c r="A3756" s="967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10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  <c r="Q3756" s="2"/>
      <c r="R3756" s="2"/>
    </row>
    <row r="3757" spans="1:18" ht="19.5" hidden="1" thickBot="1" x14ac:dyDescent="0.3">
      <c r="A3757" s="967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10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  <c r="Q3757" s="2"/>
      <c r="R3757" s="2"/>
    </row>
    <row r="3758" spans="1:18" ht="19.5" hidden="1" thickBot="1" x14ac:dyDescent="0.3">
      <c r="A3758" s="967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10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  <c r="Q3758" s="2"/>
      <c r="R3758" s="2"/>
    </row>
    <row r="3759" spans="1:18" ht="19.5" hidden="1" thickBot="1" x14ac:dyDescent="0.3">
      <c r="A3759" s="967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10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  <c r="Q3759" s="2"/>
      <c r="R3759" s="2"/>
    </row>
    <row r="3760" spans="1:18" ht="19.5" hidden="1" thickBot="1" x14ac:dyDescent="0.3">
      <c r="A3760" s="954">
        <f t="shared" si="114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10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  <c r="Q3760" s="2"/>
      <c r="R3760" s="2"/>
    </row>
    <row r="3761" spans="1:18" ht="19.5" hidden="1" thickBot="1" x14ac:dyDescent="0.3">
      <c r="A3761" s="1025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10"/>
        <v>04,25</v>
      </c>
      <c r="L3761" s="491" t="s">
        <v>265</v>
      </c>
      <c r="M3761" s="491">
        <v>4598.7</v>
      </c>
      <c r="N3761" s="494">
        <v>0.375</v>
      </c>
      <c r="O3761" s="2"/>
      <c r="P3761" s="2"/>
      <c r="Q3761" s="2"/>
      <c r="R3761" s="2"/>
    </row>
    <row r="3762" spans="1:18" ht="19.5" hidden="1" thickBot="1" x14ac:dyDescent="0.3">
      <c r="A3762" s="503">
        <f t="shared" si="114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10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  <c r="Q3762" s="2"/>
      <c r="R3762" s="2"/>
    </row>
    <row r="3763" spans="1:18" ht="19.5" hidden="1" thickBot="1" x14ac:dyDescent="0.3">
      <c r="A3763" s="513">
        <f t="shared" si="114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10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  <c r="Q3763" s="2"/>
      <c r="R3763" s="2"/>
    </row>
    <row r="3764" spans="1:18" ht="19.5" hidden="1" thickBot="1" x14ac:dyDescent="0.3">
      <c r="A3764" s="551">
        <f t="shared" si="114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10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  <c r="Q3764" s="2"/>
      <c r="R3764" s="2"/>
    </row>
    <row r="3765" spans="1:18" ht="19.5" hidden="1" thickBot="1" x14ac:dyDescent="0.3">
      <c r="A3765" s="954">
        <f t="shared" si="114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963" t="s">
        <v>72</v>
      </c>
      <c r="H3765" s="483" t="s">
        <v>851</v>
      </c>
      <c r="I3765" s="484" t="s">
        <v>851</v>
      </c>
      <c r="J3765" s="485"/>
      <c r="K3765" s="483" t="str">
        <f t="shared" si="110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  <c r="Q3765" s="2"/>
      <c r="R3765" s="2"/>
    </row>
    <row r="3766" spans="1:18" ht="19.5" hidden="1" thickBot="1" x14ac:dyDescent="0.3">
      <c r="A3766" s="955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964"/>
      <c r="H3766" s="605" t="s">
        <v>851</v>
      </c>
      <c r="I3766" s="609" t="s">
        <v>851</v>
      </c>
      <c r="J3766" s="611" t="s">
        <v>76</v>
      </c>
      <c r="K3766" s="605" t="str">
        <f t="shared" si="110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  <c r="Q3766" s="2"/>
      <c r="R3766" s="2"/>
    </row>
    <row r="3767" spans="1:18" ht="19.5" hidden="1" thickBot="1" x14ac:dyDescent="0.3">
      <c r="A3767" s="1025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1026"/>
      <c r="H3767" s="491" t="s">
        <v>851</v>
      </c>
      <c r="I3767" s="492" t="s">
        <v>851</v>
      </c>
      <c r="J3767" s="493"/>
      <c r="K3767" s="491" t="str">
        <f t="shared" si="110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  <c r="Q3767" s="2"/>
      <c r="R3767" s="2"/>
    </row>
    <row r="3768" spans="1:18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10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  <c r="Q3768" s="2"/>
      <c r="R3768" s="2"/>
    </row>
    <row r="3769" spans="1:18" ht="57" hidden="1" thickBot="1" x14ac:dyDescent="0.3">
      <c r="A3769" s="954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10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  <c r="Q3769" s="2"/>
      <c r="R3769" s="2"/>
    </row>
    <row r="3770" spans="1:18" ht="19.5" hidden="1" thickBot="1" x14ac:dyDescent="0.3">
      <c r="A3770" s="955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10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  <c r="Q3770" s="2"/>
      <c r="R3770" s="2"/>
    </row>
    <row r="3771" spans="1:18" ht="19.5" hidden="1" thickBot="1" x14ac:dyDescent="0.3">
      <c r="A3771" s="1025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10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  <c r="Q3771" s="2"/>
      <c r="R3771" s="2"/>
    </row>
    <row r="3772" spans="1:18" ht="19.5" hidden="1" thickBot="1" x14ac:dyDescent="0.3">
      <c r="A3772" s="966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10"/>
        <v>04,25</v>
      </c>
      <c r="L3772" s="535" t="s">
        <v>28</v>
      </c>
      <c r="M3772" s="535">
        <v>1663.92</v>
      </c>
      <c r="N3772" s="539">
        <v>0.5</v>
      </c>
      <c r="O3772" s="2"/>
      <c r="P3772" s="2"/>
      <c r="Q3772" s="2"/>
      <c r="R3772" s="2"/>
    </row>
    <row r="3773" spans="1:18" ht="19.5" hidden="1" thickBot="1" x14ac:dyDescent="0.3">
      <c r="A3773" s="967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10"/>
        <v>04,25</v>
      </c>
      <c r="L3773" s="567" t="s">
        <v>28</v>
      </c>
      <c r="M3773" s="567">
        <v>9179.66</v>
      </c>
      <c r="N3773" s="571">
        <v>0.5</v>
      </c>
      <c r="O3773" s="2"/>
      <c r="P3773" s="2"/>
      <c r="Q3773" s="2"/>
      <c r="R3773" s="2"/>
    </row>
    <row r="3774" spans="1:18" ht="19.5" hidden="1" thickBot="1" x14ac:dyDescent="0.3">
      <c r="A3774" s="1024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10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  <c r="Q3774" s="2"/>
      <c r="R3774" s="2"/>
    </row>
    <row r="3775" spans="1:18" ht="19.5" hidden="1" thickBot="1" x14ac:dyDescent="0.3">
      <c r="A3775" s="954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10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  <c r="Q3775" s="2"/>
      <c r="R3775" s="2"/>
    </row>
    <row r="3776" spans="1:18" ht="19.5" hidden="1" thickBot="1" x14ac:dyDescent="0.3">
      <c r="A3776" s="955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10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  <c r="Q3776" s="2"/>
      <c r="R3776" s="2"/>
    </row>
    <row r="3777" spans="1:18" ht="19.5" hidden="1" thickBot="1" x14ac:dyDescent="0.3">
      <c r="A3777" s="955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10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  <c r="Q3777" s="2"/>
      <c r="R3777" s="2"/>
    </row>
    <row r="3778" spans="1:18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10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  <c r="Q3778" s="2"/>
      <c r="R3778" s="2"/>
    </row>
    <row r="3779" spans="1:18" ht="28.5" hidden="1" customHeight="1" x14ac:dyDescent="0.25">
      <c r="A3779" s="954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963" t="s">
        <v>854</v>
      </c>
      <c r="H3779" s="483" t="s">
        <v>851</v>
      </c>
      <c r="I3779" s="484" t="s">
        <v>851</v>
      </c>
      <c r="J3779" s="485"/>
      <c r="K3779" s="483" t="str">
        <f t="shared" si="110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  <c r="Q3779" s="2"/>
      <c r="R3779" s="2"/>
    </row>
    <row r="3780" spans="1:18" ht="28.5" hidden="1" customHeight="1" thickBot="1" x14ac:dyDescent="0.3">
      <c r="A3780" s="1025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1026"/>
      <c r="H3780" s="491" t="s">
        <v>851</v>
      </c>
      <c r="I3780" s="492" t="s">
        <v>851</v>
      </c>
      <c r="J3780" s="493"/>
      <c r="K3780" s="491" t="str">
        <f t="shared" si="110"/>
        <v>04,25</v>
      </c>
      <c r="L3780" s="491" t="s">
        <v>28</v>
      </c>
      <c r="M3780" s="491">
        <v>6443.26</v>
      </c>
      <c r="N3780" s="494">
        <v>0.5</v>
      </c>
      <c r="O3780" s="2"/>
      <c r="P3780" s="2"/>
      <c r="Q3780" s="2"/>
      <c r="R3780" s="2"/>
    </row>
    <row r="3781" spans="1:18" ht="19.5" hidden="1" thickBot="1" x14ac:dyDescent="0.3">
      <c r="A3781" s="966">
        <f t="shared" si="114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10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  <c r="Q3781" s="2"/>
      <c r="R3781" s="2"/>
    </row>
    <row r="3782" spans="1:18" ht="19.5" hidden="1" thickBot="1" x14ac:dyDescent="0.3">
      <c r="A3782" s="967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10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  <c r="Q3782" s="2"/>
      <c r="R3782" s="2"/>
    </row>
    <row r="3783" spans="1:18" ht="19.5" hidden="1" thickBot="1" x14ac:dyDescent="0.3">
      <c r="A3783" s="967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10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  <c r="Q3783" s="2"/>
      <c r="R3783" s="2"/>
    </row>
    <row r="3784" spans="1:18" ht="19.5" hidden="1" thickBot="1" x14ac:dyDescent="0.3">
      <c r="A3784" s="1024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10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  <c r="Q3784" s="2"/>
      <c r="R3784" s="2"/>
    </row>
    <row r="3785" spans="1:18" ht="19.5" hidden="1" thickBot="1" x14ac:dyDescent="0.3">
      <c r="A3785" s="954">
        <f t="shared" si="114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10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  <c r="Q3785" s="2"/>
      <c r="R3785" s="2"/>
    </row>
    <row r="3786" spans="1:18" ht="19.5" hidden="1" thickBot="1" x14ac:dyDescent="0.3">
      <c r="A3786" s="1025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10"/>
        <v>04,25</v>
      </c>
      <c r="L3786" s="491" t="s">
        <v>265</v>
      </c>
      <c r="M3786" s="491">
        <v>21.6</v>
      </c>
      <c r="N3786" s="494">
        <v>0.375</v>
      </c>
      <c r="O3786" s="2"/>
      <c r="P3786" s="2"/>
      <c r="Q3786" s="2"/>
      <c r="R3786" s="2"/>
    </row>
    <row r="3787" spans="1:18" ht="19.5" hidden="1" thickBot="1" x14ac:dyDescent="0.3">
      <c r="A3787" s="503">
        <f t="shared" si="114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10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  <c r="Q3787" s="2"/>
      <c r="R3787" s="2"/>
    </row>
    <row r="3788" spans="1:18" ht="19.5" hidden="1" thickBot="1" x14ac:dyDescent="0.3">
      <c r="A3788" s="954">
        <f t="shared" si="114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10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  <c r="Q3788" s="2"/>
      <c r="R3788" s="2"/>
    </row>
    <row r="3789" spans="1:18" ht="19.5" hidden="1" thickBot="1" x14ac:dyDescent="0.3">
      <c r="A3789" s="1025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10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  <c r="Q3789" s="2"/>
      <c r="R3789" s="2"/>
    </row>
    <row r="3790" spans="1:18" ht="19.5" hidden="1" thickBot="1" x14ac:dyDescent="0.3">
      <c r="A3790" s="966">
        <f t="shared" si="114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10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  <c r="Q3790" s="2"/>
      <c r="R3790" s="2"/>
    </row>
    <row r="3791" spans="1:18" ht="19.5" hidden="1" thickBot="1" x14ac:dyDescent="0.3">
      <c r="A3791" s="1024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10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  <c r="Q3791" s="2"/>
      <c r="R3791" s="2"/>
    </row>
    <row r="3792" spans="1:18" ht="38.25" hidden="1" thickBot="1" x14ac:dyDescent="0.3">
      <c r="A3792" s="513">
        <f t="shared" si="114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10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  <c r="Q3792" s="2"/>
      <c r="R3792" s="2"/>
    </row>
    <row r="3793" spans="1:18" ht="38.25" hidden="1" thickBot="1" x14ac:dyDescent="0.3">
      <c r="A3793" s="551">
        <f t="shared" si="114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10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  <c r="Q3793" s="2"/>
      <c r="R3793" s="2"/>
    </row>
    <row r="3794" spans="1:18" ht="19.5" hidden="1" thickBot="1" x14ac:dyDescent="0.3">
      <c r="A3794" s="513">
        <f t="shared" si="114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10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  <c r="Q3794" s="2"/>
      <c r="R3794" s="2"/>
    </row>
    <row r="3795" spans="1:18" ht="19.5" hidden="1" thickBot="1" x14ac:dyDescent="0.3">
      <c r="A3795" s="503">
        <f t="shared" si="114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10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  <c r="Q3795" s="2"/>
      <c r="R3795" s="2"/>
    </row>
    <row r="3796" spans="1:18" ht="19.5" hidden="1" thickBot="1" x14ac:dyDescent="0.3">
      <c r="A3796" s="513">
        <f t="shared" ref="A3796:A3859" si="115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10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  <c r="Q3796" s="2"/>
      <c r="R3796" s="2"/>
    </row>
    <row r="3797" spans="1:18" ht="19.5" hidden="1" thickBot="1" x14ac:dyDescent="0.3">
      <c r="A3797" s="966">
        <f t="shared" si="115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10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  <c r="Q3797" s="2"/>
      <c r="R3797" s="2"/>
    </row>
    <row r="3798" spans="1:18" ht="19.5" hidden="1" thickBot="1" x14ac:dyDescent="0.3">
      <c r="A3798" s="967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10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  <c r="Q3798" s="2"/>
      <c r="R3798" s="2"/>
    </row>
    <row r="3799" spans="1:18" ht="19.5" hidden="1" thickBot="1" x14ac:dyDescent="0.3">
      <c r="A3799" s="967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10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  <c r="Q3799" s="2"/>
      <c r="R3799" s="2"/>
    </row>
    <row r="3800" spans="1:18" ht="19.5" hidden="1" thickBot="1" x14ac:dyDescent="0.3">
      <c r="A3800" s="967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10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  <c r="Q3800" s="2"/>
      <c r="R3800" s="2"/>
    </row>
    <row r="3801" spans="1:18" ht="19.5" hidden="1" thickBot="1" x14ac:dyDescent="0.3">
      <c r="A3801" s="967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10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  <c r="Q3801" s="2"/>
      <c r="R3801" s="2"/>
    </row>
    <row r="3802" spans="1:18" ht="19.5" hidden="1" thickBot="1" x14ac:dyDescent="0.3">
      <c r="A3802" s="954">
        <f t="shared" si="115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10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  <c r="Q3802" s="2"/>
      <c r="R3802" s="2"/>
    </row>
    <row r="3803" spans="1:18" ht="19.5" hidden="1" thickBot="1" x14ac:dyDescent="0.3">
      <c r="A3803" s="1025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10"/>
        <v>04,25</v>
      </c>
      <c r="L3803" s="491" t="s">
        <v>265</v>
      </c>
      <c r="M3803" s="491">
        <v>4168.5</v>
      </c>
      <c r="N3803" s="494">
        <v>0.375</v>
      </c>
      <c r="O3803" s="2"/>
      <c r="P3803" s="2"/>
      <c r="Q3803" s="2"/>
      <c r="R3803" s="2"/>
    </row>
    <row r="3804" spans="1:18" ht="19.5" hidden="1" thickBot="1" x14ac:dyDescent="0.3">
      <c r="A3804" s="503">
        <f t="shared" si="115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10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  <c r="Q3804" s="2"/>
      <c r="R3804" s="2"/>
    </row>
    <row r="3805" spans="1:18" ht="19.5" hidden="1" thickBot="1" x14ac:dyDescent="0.3">
      <c r="A3805" s="513">
        <f t="shared" si="115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10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  <c r="Q3805" s="2"/>
      <c r="R3805" s="2"/>
    </row>
    <row r="3806" spans="1:18" ht="19.5" hidden="1" thickBot="1" x14ac:dyDescent="0.3">
      <c r="A3806" s="503">
        <f t="shared" si="115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10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  <c r="Q3806" s="2"/>
      <c r="R3806" s="2"/>
    </row>
    <row r="3807" spans="1:18" ht="19.5" hidden="1" thickBot="1" x14ac:dyDescent="0.3">
      <c r="A3807" s="513">
        <f t="shared" si="115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10"/>
        <v>04,25</v>
      </c>
      <c r="L3807" s="518" t="s">
        <v>265</v>
      </c>
      <c r="M3807" s="518">
        <v>12042</v>
      </c>
      <c r="N3807" s="522">
        <v>0.375</v>
      </c>
      <c r="O3807" s="2"/>
      <c r="P3807" s="2"/>
      <c r="Q3807" s="2"/>
      <c r="R3807" s="2"/>
    </row>
    <row r="3808" spans="1:18" ht="19.5" hidden="1" thickBot="1" x14ac:dyDescent="0.3">
      <c r="A3808" s="551">
        <f t="shared" si="115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10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  <c r="Q3808" s="2"/>
      <c r="R3808" s="2"/>
    </row>
    <row r="3809" spans="1:18" ht="19.5" hidden="1" thickBot="1" x14ac:dyDescent="0.3">
      <c r="A3809" s="513">
        <f t="shared" si="115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10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  <c r="Q3809" s="2"/>
      <c r="R3809" s="2"/>
    </row>
    <row r="3810" spans="1:18" ht="19.5" hidden="1" thickBot="1" x14ac:dyDescent="0.3">
      <c r="A3810" s="503">
        <f t="shared" si="115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10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  <c r="Q3810" s="2"/>
      <c r="R3810" s="2"/>
    </row>
    <row r="3811" spans="1:18" ht="19.5" hidden="1" thickBot="1" x14ac:dyDescent="0.3">
      <c r="A3811" s="954">
        <f t="shared" si="115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10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  <c r="Q3811" s="2"/>
      <c r="R3811" s="2"/>
    </row>
    <row r="3812" spans="1:18" ht="19.5" hidden="1" thickBot="1" x14ac:dyDescent="0.3">
      <c r="A3812" s="955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10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  <c r="Q3812" s="2"/>
      <c r="R3812" s="2"/>
    </row>
    <row r="3813" spans="1:18" ht="19.5" hidden="1" thickBot="1" x14ac:dyDescent="0.3">
      <c r="A3813" s="1025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10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  <c r="Q3813" s="2"/>
      <c r="R3813" s="2"/>
    </row>
    <row r="3814" spans="1:18" ht="19.5" hidden="1" thickBot="1" x14ac:dyDescent="0.3">
      <c r="A3814" s="966">
        <f t="shared" si="115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10"/>
        <v>04,25</v>
      </c>
      <c r="L3814" s="535" t="s">
        <v>28</v>
      </c>
      <c r="M3814" s="535">
        <v>1619.94</v>
      </c>
      <c r="N3814" s="539">
        <v>0.5</v>
      </c>
      <c r="O3814" s="2"/>
      <c r="P3814" s="2"/>
      <c r="Q3814" s="2"/>
      <c r="R3814" s="2"/>
    </row>
    <row r="3815" spans="1:18" ht="19.5" hidden="1" thickBot="1" x14ac:dyDescent="0.3">
      <c r="A3815" s="1024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10"/>
        <v>04,25</v>
      </c>
      <c r="L3815" s="544" t="s">
        <v>28</v>
      </c>
      <c r="M3815" s="544">
        <v>15614.58</v>
      </c>
      <c r="N3815" s="548">
        <v>0.5</v>
      </c>
      <c r="O3815" s="2"/>
      <c r="P3815" s="2"/>
      <c r="Q3815" s="2"/>
      <c r="R3815" s="2"/>
    </row>
    <row r="3816" spans="1:18" ht="19.5" hidden="1" thickBot="1" x14ac:dyDescent="0.3">
      <c r="A3816" s="954">
        <f t="shared" si="115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10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  <c r="Q3816" s="2"/>
      <c r="R3816" s="2"/>
    </row>
    <row r="3817" spans="1:18" ht="19.5" hidden="1" thickBot="1" x14ac:dyDescent="0.3">
      <c r="A3817" s="1025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10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  <c r="Q3817" s="2"/>
      <c r="R3817" s="2"/>
    </row>
    <row r="3818" spans="1:18" ht="19.5" hidden="1" thickBot="1" x14ac:dyDescent="0.3">
      <c r="A3818" s="966">
        <f t="shared" si="115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10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  <c r="Q3818" s="2"/>
      <c r="R3818" s="2"/>
    </row>
    <row r="3819" spans="1:18" ht="19.5" hidden="1" thickBot="1" x14ac:dyDescent="0.3">
      <c r="A3819" s="1024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10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  <c r="Q3819" s="2"/>
      <c r="R3819" s="2"/>
    </row>
    <row r="3820" spans="1:18" ht="19.5" hidden="1" thickBot="1" x14ac:dyDescent="0.3">
      <c r="A3820" s="954">
        <f t="shared" si="115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963" t="s">
        <v>72</v>
      </c>
      <c r="H3820" s="483" t="s">
        <v>859</v>
      </c>
      <c r="I3820" s="484" t="s">
        <v>859</v>
      </c>
      <c r="J3820" s="485"/>
      <c r="K3820" s="483" t="str">
        <f t="shared" si="110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  <c r="Q3820" s="2"/>
      <c r="R3820" s="2"/>
    </row>
    <row r="3821" spans="1:18" ht="19.5" hidden="1" thickBot="1" x14ac:dyDescent="0.3">
      <c r="A3821" s="1025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1026"/>
      <c r="H3821" s="491" t="s">
        <v>859</v>
      </c>
      <c r="I3821" s="492" t="s">
        <v>860</v>
      </c>
      <c r="J3821" s="493"/>
      <c r="K3821" s="491" t="str">
        <f t="shared" si="110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  <c r="Q3821" s="2"/>
      <c r="R3821" s="2"/>
    </row>
    <row r="3822" spans="1:18" ht="19.5" hidden="1" thickBot="1" x14ac:dyDescent="0.3">
      <c r="A3822" s="966">
        <f t="shared" si="115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10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  <c r="Q3822" s="2"/>
      <c r="R3822" s="2"/>
    </row>
    <row r="3823" spans="1:18" ht="19.5" hidden="1" thickBot="1" x14ac:dyDescent="0.3">
      <c r="A3823" s="967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10"/>
        <v>04,25</v>
      </c>
      <c r="L3823" s="594" t="s">
        <v>28</v>
      </c>
      <c r="M3823" s="594">
        <v>9276.08</v>
      </c>
      <c r="N3823" s="598">
        <v>0.5</v>
      </c>
      <c r="O3823" s="2"/>
      <c r="P3823" s="2"/>
      <c r="Q3823" s="2"/>
      <c r="R3823" s="2"/>
    </row>
    <row r="3824" spans="1:18" ht="19.5" hidden="1" thickBot="1" x14ac:dyDescent="0.3">
      <c r="A3824" s="513">
        <f t="shared" si="115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10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  <c r="Q3824" s="2"/>
      <c r="R3824" s="2"/>
    </row>
    <row r="3825" spans="1:18" ht="19.5" hidden="1" thickBot="1" x14ac:dyDescent="0.3">
      <c r="A3825" s="503">
        <f t="shared" si="115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10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  <c r="Q3825" s="2"/>
      <c r="R3825" s="2"/>
    </row>
    <row r="3826" spans="1:18" ht="19.5" hidden="1" thickBot="1" x14ac:dyDescent="0.3">
      <c r="A3826" s="513">
        <f t="shared" si="115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10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  <c r="Q3826" s="2"/>
      <c r="R3826" s="2"/>
    </row>
    <row r="3827" spans="1:18" ht="19.5" hidden="1" thickBot="1" x14ac:dyDescent="0.3">
      <c r="A3827" s="503">
        <f t="shared" si="115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10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  <c r="Q3827" s="2"/>
      <c r="R3827" s="2"/>
    </row>
    <row r="3828" spans="1:18" ht="19.5" hidden="1" thickBot="1" x14ac:dyDescent="0.3">
      <c r="A3828" s="954">
        <f t="shared" si="115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10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  <c r="Q3828" s="2"/>
      <c r="R3828" s="2"/>
    </row>
    <row r="3829" spans="1:18" ht="19.5" hidden="1" thickBot="1" x14ac:dyDescent="0.3">
      <c r="A3829" s="955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10"/>
        <v>04,25</v>
      </c>
      <c r="L3829" s="527" t="s">
        <v>28</v>
      </c>
      <c r="M3829" s="527">
        <v>2010</v>
      </c>
      <c r="N3829" s="530">
        <v>0.5</v>
      </c>
      <c r="O3829" s="2"/>
      <c r="P3829" s="2"/>
      <c r="Q3829" s="2"/>
      <c r="R3829" s="2"/>
    </row>
    <row r="3830" spans="1:18" ht="19.5" hidden="1" thickBot="1" x14ac:dyDescent="0.3">
      <c r="A3830" s="1025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10"/>
        <v>04,25</v>
      </c>
      <c r="L3830" s="491" t="s">
        <v>28</v>
      </c>
      <c r="M3830" s="491">
        <v>11270.76</v>
      </c>
      <c r="N3830" s="494">
        <v>0.5</v>
      </c>
      <c r="O3830" s="2"/>
      <c r="P3830" s="2"/>
      <c r="Q3830" s="2"/>
      <c r="R3830" s="2"/>
    </row>
    <row r="3831" spans="1:18" ht="19.5" hidden="1" thickBot="1" x14ac:dyDescent="0.3">
      <c r="A3831" s="966">
        <f t="shared" si="115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10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  <c r="Q3831" s="2"/>
      <c r="R3831" s="2"/>
    </row>
    <row r="3832" spans="1:18" ht="19.5" hidden="1" thickBot="1" x14ac:dyDescent="0.3">
      <c r="A3832" s="1024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10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  <c r="Q3832" s="2"/>
      <c r="R3832" s="2"/>
    </row>
    <row r="3833" spans="1:18" ht="19.5" hidden="1" thickBot="1" x14ac:dyDescent="0.3">
      <c r="A3833" s="954">
        <f t="shared" si="115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10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  <c r="Q3833" s="2"/>
      <c r="R3833" s="2"/>
    </row>
    <row r="3834" spans="1:18" ht="19.5" hidden="1" thickBot="1" x14ac:dyDescent="0.3">
      <c r="A3834" s="1025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10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  <c r="Q3834" s="2"/>
      <c r="R3834" s="2"/>
    </row>
    <row r="3835" spans="1:18" ht="19.5" hidden="1" thickBot="1" x14ac:dyDescent="0.3">
      <c r="A3835" s="966">
        <f t="shared" si="115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10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  <c r="Q3835" s="2"/>
      <c r="R3835" s="2"/>
    </row>
    <row r="3836" spans="1:18" ht="19.5" hidden="1" thickBot="1" x14ac:dyDescent="0.3">
      <c r="A3836" s="1024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10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  <c r="Q3836" s="2"/>
      <c r="R3836" s="2"/>
    </row>
    <row r="3837" spans="1:18" ht="19.5" hidden="1" thickBot="1" x14ac:dyDescent="0.3">
      <c r="A3837" s="954">
        <f t="shared" si="115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10"/>
        <v>04,25</v>
      </c>
      <c r="L3837" s="483" t="s">
        <v>28</v>
      </c>
      <c r="M3837" s="483">
        <v>840</v>
      </c>
      <c r="N3837" s="486">
        <v>0.5</v>
      </c>
      <c r="O3837" s="2"/>
      <c r="P3837" s="2"/>
      <c r="Q3837" s="2"/>
      <c r="R3837" s="2"/>
    </row>
    <row r="3838" spans="1:18" ht="19.5" hidden="1" thickBot="1" x14ac:dyDescent="0.3">
      <c r="A3838" s="1025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10"/>
        <v>04,25</v>
      </c>
      <c r="L3838" s="491" t="s">
        <v>28</v>
      </c>
      <c r="M3838" s="491">
        <v>8005.2</v>
      </c>
      <c r="N3838" s="494">
        <v>0.5</v>
      </c>
      <c r="O3838" s="2"/>
      <c r="P3838" s="2"/>
      <c r="Q3838" s="2"/>
      <c r="R3838" s="2"/>
    </row>
    <row r="3839" spans="1:18" ht="19.5" hidden="1" thickBot="1" x14ac:dyDescent="0.3">
      <c r="A3839" s="503">
        <f t="shared" si="115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10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  <c r="Q3839" s="2"/>
      <c r="R3839" s="2"/>
    </row>
    <row r="3840" spans="1:18" ht="38.25" hidden="1" thickBot="1" x14ac:dyDescent="0.3">
      <c r="A3840" s="513">
        <f t="shared" si="115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10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  <c r="Q3840" s="2"/>
      <c r="R3840" s="2"/>
    </row>
    <row r="3841" spans="1:18" ht="57" hidden="1" thickBot="1" x14ac:dyDescent="0.3">
      <c r="A3841" s="503">
        <f t="shared" si="115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10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  <c r="Q3841" s="2"/>
      <c r="R3841" s="2"/>
    </row>
    <row r="3842" spans="1:18" ht="19.5" hidden="1" thickBot="1" x14ac:dyDescent="0.3">
      <c r="A3842" s="954">
        <f t="shared" si="115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10"/>
        <v>04,25</v>
      </c>
      <c r="L3842" s="483" t="s">
        <v>266</v>
      </c>
      <c r="M3842" s="483">
        <v>15053.55</v>
      </c>
      <c r="N3842" s="486">
        <v>0.5</v>
      </c>
      <c r="O3842" s="2"/>
      <c r="P3842" s="2"/>
      <c r="Q3842" s="2"/>
      <c r="R3842" s="2"/>
    </row>
    <row r="3843" spans="1:18" ht="19.5" hidden="1" thickBot="1" x14ac:dyDescent="0.3">
      <c r="A3843" s="955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10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  <c r="Q3843" s="2"/>
      <c r="R3843" s="2"/>
    </row>
    <row r="3844" spans="1:18" ht="19.5" hidden="1" thickBot="1" x14ac:dyDescent="0.3">
      <c r="A3844" s="503">
        <f t="shared" si="115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10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  <c r="Q3844" s="2"/>
      <c r="R3844" s="2"/>
    </row>
    <row r="3845" spans="1:18" ht="19.5" hidden="1" thickBot="1" x14ac:dyDescent="0.3">
      <c r="A3845" s="513">
        <f t="shared" si="115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10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  <c r="Q3845" s="2"/>
      <c r="R3845" s="2"/>
    </row>
    <row r="3846" spans="1:18" ht="19.5" hidden="1" thickBot="1" x14ac:dyDescent="0.3">
      <c r="A3846" s="616">
        <f t="shared" si="115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10"/>
        <v>04,25</v>
      </c>
      <c r="L3846" s="544" t="s">
        <v>266</v>
      </c>
      <c r="M3846" s="544">
        <v>17962.2</v>
      </c>
      <c r="N3846" s="548">
        <v>0.5</v>
      </c>
      <c r="O3846" s="2"/>
      <c r="P3846" s="2"/>
      <c r="Q3846" s="2"/>
      <c r="R3846" s="2"/>
    </row>
    <row r="3847" spans="1:18" ht="38.25" hidden="1" thickBot="1" x14ac:dyDescent="0.3">
      <c r="A3847" s="513">
        <f t="shared" si="115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10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  <c r="Q3847" s="2"/>
      <c r="R3847" s="2"/>
    </row>
    <row r="3848" spans="1:18" ht="19.5" hidden="1" thickBot="1" x14ac:dyDescent="0.3">
      <c r="A3848" s="967">
        <f t="shared" si="115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10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  <c r="Q3848" s="2"/>
      <c r="R3848" s="2"/>
    </row>
    <row r="3849" spans="1:18" ht="19.5" hidden="1" thickBot="1" x14ac:dyDescent="0.3">
      <c r="A3849" s="967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10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  <c r="Q3849" s="2"/>
      <c r="R3849" s="2"/>
    </row>
    <row r="3850" spans="1:18" ht="19.5" hidden="1" thickBot="1" x14ac:dyDescent="0.3">
      <c r="A3850" s="967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10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  <c r="Q3850" s="2"/>
      <c r="R3850" s="2"/>
    </row>
    <row r="3851" spans="1:18" ht="19.5" hidden="1" thickBot="1" x14ac:dyDescent="0.3">
      <c r="A3851" s="967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10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  <c r="Q3851" s="2"/>
      <c r="R3851" s="2"/>
    </row>
    <row r="3852" spans="1:18" ht="19.5" hidden="1" thickBot="1" x14ac:dyDescent="0.3">
      <c r="A3852" s="967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10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  <c r="Q3852" s="2"/>
      <c r="R3852" s="2"/>
    </row>
    <row r="3853" spans="1:18" ht="19.5" hidden="1" thickBot="1" x14ac:dyDescent="0.3">
      <c r="A3853" s="967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10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  <c r="Q3853" s="2"/>
      <c r="R3853" s="2"/>
    </row>
    <row r="3854" spans="1:18" ht="19.5" hidden="1" thickBot="1" x14ac:dyDescent="0.3">
      <c r="A3854" s="954">
        <f t="shared" si="115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10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  <c r="Q3854" s="2"/>
      <c r="R3854" s="2"/>
    </row>
    <row r="3855" spans="1:18" ht="19.5" hidden="1" thickBot="1" x14ac:dyDescent="0.3">
      <c r="A3855" s="1025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10"/>
        <v>04,25</v>
      </c>
      <c r="L3855" s="491" t="s">
        <v>265</v>
      </c>
      <c r="M3855" s="491">
        <v>4104.2</v>
      </c>
      <c r="N3855" s="494">
        <v>0.375</v>
      </c>
      <c r="O3855" s="2"/>
      <c r="P3855" s="2"/>
      <c r="Q3855" s="2"/>
      <c r="R3855" s="2"/>
    </row>
    <row r="3856" spans="1:18" ht="19.5" hidden="1" thickBot="1" x14ac:dyDescent="0.3">
      <c r="A3856" s="503">
        <f t="shared" si="115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10"/>
        <v>04,25</v>
      </c>
      <c r="L3856" s="508" t="s">
        <v>266</v>
      </c>
      <c r="M3856" s="508">
        <v>17903.46</v>
      </c>
      <c r="N3856" s="512">
        <v>0.5</v>
      </c>
      <c r="O3856" s="2"/>
      <c r="P3856" s="2"/>
      <c r="Q3856" s="2"/>
      <c r="R3856" s="2"/>
    </row>
    <row r="3857" spans="1:18" ht="19.5" hidden="1" thickBot="1" x14ac:dyDescent="0.3">
      <c r="A3857" s="513">
        <f t="shared" si="115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10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  <c r="Q3857" s="2"/>
      <c r="R3857" s="2"/>
    </row>
    <row r="3858" spans="1:18" ht="19.5" hidden="1" thickBot="1" x14ac:dyDescent="0.3">
      <c r="A3858" s="551">
        <f t="shared" si="115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10"/>
        <v>04,25</v>
      </c>
      <c r="L3858" s="556" t="s">
        <v>28</v>
      </c>
      <c r="M3858" s="556">
        <v>8864.76</v>
      </c>
      <c r="N3858" s="560">
        <v>0.5</v>
      </c>
      <c r="O3858" s="2"/>
      <c r="P3858" s="2"/>
      <c r="Q3858" s="2"/>
      <c r="R3858" s="2"/>
    </row>
    <row r="3859" spans="1:18" ht="19.5" hidden="1" thickBot="1" x14ac:dyDescent="0.3">
      <c r="A3859" s="954">
        <f t="shared" si="115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10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  <c r="Q3859" s="2"/>
      <c r="R3859" s="2"/>
    </row>
    <row r="3860" spans="1:18" ht="19.5" hidden="1" thickBot="1" x14ac:dyDescent="0.3">
      <c r="A3860" s="1025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10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  <c r="Q3860" s="2"/>
      <c r="R3860" s="2"/>
    </row>
    <row r="3861" spans="1:18" ht="19.5" hidden="1" thickBot="1" x14ac:dyDescent="0.3">
      <c r="A3861" s="966">
        <f t="shared" ref="A3861:A3922" si="116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10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  <c r="Q3861" s="2"/>
      <c r="R3861" s="2"/>
    </row>
    <row r="3862" spans="1:18" ht="19.5" hidden="1" thickBot="1" x14ac:dyDescent="0.3">
      <c r="A3862" s="967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10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  <c r="Q3862" s="2"/>
      <c r="R3862" s="2"/>
    </row>
    <row r="3863" spans="1:18" ht="19.5" hidden="1" thickBot="1" x14ac:dyDescent="0.3">
      <c r="A3863" s="967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10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  <c r="Q3863" s="2"/>
      <c r="R3863" s="2"/>
    </row>
    <row r="3864" spans="1:18" ht="19.5" hidden="1" thickBot="1" x14ac:dyDescent="0.3">
      <c r="A3864" s="1024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10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  <c r="Q3864" s="2"/>
      <c r="R3864" s="2"/>
    </row>
    <row r="3865" spans="1:18" ht="19.5" hidden="1" thickBot="1" x14ac:dyDescent="0.3">
      <c r="A3865" s="572">
        <f t="shared" si="116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10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  <c r="Q3865" s="2"/>
      <c r="R3865" s="2"/>
    </row>
    <row r="3866" spans="1:18" ht="19.5" hidden="1" thickBot="1" x14ac:dyDescent="0.3">
      <c r="A3866" s="503">
        <f t="shared" si="116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10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  <c r="Q3866" s="2"/>
      <c r="R3866" s="2"/>
    </row>
    <row r="3867" spans="1:18" ht="19.5" hidden="1" thickBot="1" x14ac:dyDescent="0.3">
      <c r="A3867" s="954">
        <f t="shared" si="116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10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  <c r="Q3867" s="2"/>
      <c r="R3867" s="2"/>
    </row>
    <row r="3868" spans="1:18" ht="19.5" hidden="1" thickBot="1" x14ac:dyDescent="0.3">
      <c r="A3868" s="955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10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  <c r="Q3868" s="2"/>
      <c r="R3868" s="2"/>
    </row>
    <row r="3869" spans="1:18" ht="19.5" hidden="1" thickBot="1" x14ac:dyDescent="0.3">
      <c r="A3869" s="955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10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  <c r="Q3869" s="2"/>
      <c r="R3869" s="2"/>
    </row>
    <row r="3870" spans="1:18" ht="19.5" hidden="1" thickBot="1" x14ac:dyDescent="0.3">
      <c r="A3870" s="955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10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  <c r="Q3870" s="2"/>
      <c r="R3870" s="2"/>
    </row>
    <row r="3871" spans="1:18" ht="19.5" hidden="1" thickBot="1" x14ac:dyDescent="0.3">
      <c r="A3871" s="955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10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  <c r="Q3871" s="2"/>
      <c r="R3871" s="2"/>
    </row>
    <row r="3872" spans="1:18" ht="19.5" hidden="1" thickBot="1" x14ac:dyDescent="0.3">
      <c r="A3872" s="1025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10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  <c r="Q3872" s="2"/>
      <c r="R3872" s="2"/>
    </row>
    <row r="3873" spans="1:18" ht="19.5" hidden="1" thickBot="1" x14ac:dyDescent="0.3">
      <c r="A3873" s="503">
        <f t="shared" si="116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10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  <c r="Q3873" s="2"/>
      <c r="R3873" s="2"/>
    </row>
    <row r="3874" spans="1:18" ht="19.5" hidden="1" thickBot="1" x14ac:dyDescent="0.3">
      <c r="A3874" s="954">
        <f t="shared" si="116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10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  <c r="Q3874" s="2"/>
      <c r="R3874" s="2"/>
    </row>
    <row r="3875" spans="1:18" ht="19.5" hidden="1" thickBot="1" x14ac:dyDescent="0.3">
      <c r="A3875" s="1025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10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  <c r="Q3875" s="2"/>
      <c r="R3875" s="2"/>
    </row>
    <row r="3876" spans="1:18" ht="19.5" hidden="1" thickBot="1" x14ac:dyDescent="0.3">
      <c r="A3876" s="966">
        <f t="shared" si="116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10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  <c r="Q3876" s="2"/>
      <c r="R3876" s="2"/>
    </row>
    <row r="3877" spans="1:18" ht="19.5" hidden="1" thickBot="1" x14ac:dyDescent="0.3">
      <c r="A3877" s="967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10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  <c r="Q3877" s="2"/>
      <c r="R3877" s="2"/>
    </row>
    <row r="3878" spans="1:18" ht="19.5" hidden="1" thickBot="1" x14ac:dyDescent="0.3">
      <c r="A3878" s="967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10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  <c r="Q3878" s="2"/>
      <c r="R3878" s="2"/>
    </row>
    <row r="3879" spans="1:18" ht="19.5" hidden="1" thickBot="1" x14ac:dyDescent="0.3">
      <c r="A3879" s="1024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10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  <c r="Q3879" s="2"/>
      <c r="R3879" s="2"/>
    </row>
    <row r="3880" spans="1:18" ht="57" hidden="1" thickBot="1" x14ac:dyDescent="0.3">
      <c r="A3880" s="572">
        <f t="shared" si="116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10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  <c r="Q3880" s="2"/>
      <c r="R3880" s="2"/>
    </row>
    <row r="3881" spans="1:18" ht="19.5" hidden="1" thickBot="1" x14ac:dyDescent="0.3">
      <c r="A3881" s="513">
        <f t="shared" si="116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10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  <c r="Q3881" s="2"/>
      <c r="R3881" s="2"/>
    </row>
    <row r="3882" spans="1:18" ht="19.5" hidden="1" thickBot="1" x14ac:dyDescent="0.3">
      <c r="A3882" s="503">
        <f t="shared" si="116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10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  <c r="Q3882" s="2"/>
      <c r="R3882" s="2"/>
    </row>
    <row r="3883" spans="1:18" ht="19.5" hidden="1" thickBot="1" x14ac:dyDescent="0.3">
      <c r="A3883" s="513">
        <f t="shared" si="116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10"/>
        <v>05,25</v>
      </c>
      <c r="L3883" s="518" t="s">
        <v>266</v>
      </c>
      <c r="M3883" s="518">
        <v>7748.5</v>
      </c>
      <c r="N3883" s="522">
        <v>0.5</v>
      </c>
      <c r="O3883" s="2"/>
      <c r="P3883" s="2"/>
      <c r="Q3883" s="2"/>
      <c r="R3883" s="2"/>
    </row>
    <row r="3884" spans="1:18" ht="19.5" hidden="1" thickBot="1" x14ac:dyDescent="0.3">
      <c r="A3884" s="966">
        <f t="shared" si="116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10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  <c r="Q3884" s="2"/>
      <c r="R3884" s="2"/>
    </row>
    <row r="3885" spans="1:18" ht="19.5" hidden="1" thickBot="1" x14ac:dyDescent="0.3">
      <c r="A3885" s="967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10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  <c r="Q3885" s="2"/>
      <c r="R3885" s="2"/>
    </row>
    <row r="3886" spans="1:18" ht="19.5" hidden="1" thickBot="1" x14ac:dyDescent="0.3">
      <c r="A3886" s="967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10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  <c r="Q3886" s="2"/>
      <c r="R3886" s="2"/>
    </row>
    <row r="3887" spans="1:18" ht="19.5" hidden="1" thickBot="1" x14ac:dyDescent="0.3">
      <c r="A3887" s="967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10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  <c r="Q3887" s="2"/>
      <c r="R3887" s="2"/>
    </row>
    <row r="3888" spans="1:18" ht="19.5" hidden="1" thickBot="1" x14ac:dyDescent="0.3">
      <c r="A3888" s="967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10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  <c r="Q3888" s="2"/>
      <c r="R3888" s="2"/>
    </row>
    <row r="3889" spans="1:18" ht="19.5" hidden="1" thickBot="1" x14ac:dyDescent="0.3">
      <c r="A3889" s="967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10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  <c r="Q3889" s="2"/>
      <c r="R3889" s="2"/>
    </row>
    <row r="3890" spans="1:18" ht="19.5" hidden="1" thickBot="1" x14ac:dyDescent="0.3">
      <c r="A3890" s="954">
        <f t="shared" si="116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10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  <c r="Q3890" s="2"/>
      <c r="R3890" s="2"/>
    </row>
    <row r="3891" spans="1:18" ht="19.5" hidden="1" thickBot="1" x14ac:dyDescent="0.3">
      <c r="A3891" s="1025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10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  <c r="Q3891" s="2"/>
      <c r="R3891" s="2"/>
    </row>
    <row r="3892" spans="1:18" ht="19.5" hidden="1" thickBot="1" x14ac:dyDescent="0.3">
      <c r="A3892" s="503">
        <f t="shared" si="116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10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  <c r="Q3892" s="2"/>
      <c r="R3892" s="2"/>
    </row>
    <row r="3893" spans="1:18" ht="19.5" hidden="1" thickBot="1" x14ac:dyDescent="0.3">
      <c r="A3893" s="513">
        <f t="shared" si="116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10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  <c r="Q3893" s="2"/>
      <c r="R3893" s="2"/>
    </row>
    <row r="3894" spans="1:18" ht="19.5" hidden="1" thickBot="1" x14ac:dyDescent="0.3">
      <c r="A3894" s="551">
        <f t="shared" si="116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10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  <c r="Q3894" s="2"/>
      <c r="R3894" s="2"/>
    </row>
    <row r="3895" spans="1:18" ht="19.5" hidden="1" thickBot="1" x14ac:dyDescent="0.3">
      <c r="A3895" s="954">
        <f t="shared" si="116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963" t="s">
        <v>72</v>
      </c>
      <c r="H3895" s="483" t="s">
        <v>876</v>
      </c>
      <c r="I3895" s="484" t="s">
        <v>876</v>
      </c>
      <c r="J3895" s="485"/>
      <c r="K3895" s="483" t="str">
        <f t="shared" si="110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  <c r="Q3895" s="2"/>
      <c r="R3895" s="2"/>
    </row>
    <row r="3896" spans="1:18" ht="19.5" hidden="1" thickBot="1" x14ac:dyDescent="0.3">
      <c r="A3896" s="1025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1026"/>
      <c r="H3896" s="491" t="s">
        <v>876</v>
      </c>
      <c r="I3896" s="492" t="s">
        <v>876</v>
      </c>
      <c r="J3896" s="493"/>
      <c r="K3896" s="491" t="str">
        <f t="shared" si="110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  <c r="Q3896" s="2"/>
      <c r="R3896" s="2"/>
    </row>
    <row r="3897" spans="1:18" ht="19.5" hidden="1" thickBot="1" x14ac:dyDescent="0.3">
      <c r="A3897" s="966">
        <f t="shared" si="116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10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  <c r="Q3897" s="2"/>
      <c r="R3897" s="2"/>
    </row>
    <row r="3898" spans="1:18" ht="19.5" hidden="1" thickBot="1" x14ac:dyDescent="0.3">
      <c r="A3898" s="967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10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  <c r="Q3898" s="2"/>
      <c r="R3898" s="2"/>
    </row>
    <row r="3899" spans="1:18" ht="19.5" hidden="1" thickBot="1" x14ac:dyDescent="0.3">
      <c r="A3899" s="1024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10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  <c r="Q3899" s="2"/>
      <c r="R3899" s="2"/>
    </row>
    <row r="3900" spans="1:18" ht="19.5" hidden="1" thickBot="1" x14ac:dyDescent="0.3">
      <c r="A3900" s="954">
        <f t="shared" si="116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10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  <c r="Q3900" s="2"/>
      <c r="R3900" s="2"/>
    </row>
    <row r="3901" spans="1:18" ht="19.5" hidden="1" thickBot="1" x14ac:dyDescent="0.3">
      <c r="A3901" s="955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10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  <c r="Q3901" s="2"/>
      <c r="R3901" s="2"/>
    </row>
    <row r="3902" spans="1:18" ht="19.5" hidden="1" thickBot="1" x14ac:dyDescent="0.3">
      <c r="A3902" s="955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10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  <c r="Q3902" s="2"/>
      <c r="R3902" s="2"/>
    </row>
    <row r="3903" spans="1:18" ht="19.5" hidden="1" thickBot="1" x14ac:dyDescent="0.3">
      <c r="A3903" s="1025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10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  <c r="Q3903" s="2"/>
      <c r="R3903" s="2"/>
    </row>
    <row r="3904" spans="1:18" ht="38.25" hidden="1" thickBot="1" x14ac:dyDescent="0.3">
      <c r="A3904" s="551">
        <f t="shared" si="116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10"/>
        <v>05,25</v>
      </c>
      <c r="L3904" s="556" t="s">
        <v>266</v>
      </c>
      <c r="M3904" s="556">
        <v>17013.72</v>
      </c>
      <c r="N3904" s="560">
        <v>0.5</v>
      </c>
      <c r="O3904" s="2"/>
      <c r="P3904" s="2"/>
      <c r="Q3904" s="2"/>
      <c r="R3904" s="2"/>
    </row>
    <row r="3905" spans="1:18" ht="19.5" hidden="1" thickBot="1" x14ac:dyDescent="0.3">
      <c r="A3905" s="513">
        <f t="shared" si="116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10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  <c r="Q3905" s="2"/>
      <c r="R3905" s="2"/>
    </row>
    <row r="3906" spans="1:18" ht="19.5" hidden="1" thickBot="1" x14ac:dyDescent="0.3">
      <c r="A3906" s="966">
        <f t="shared" si="116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10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  <c r="Q3906" s="2"/>
      <c r="R3906" s="2"/>
    </row>
    <row r="3907" spans="1:18" ht="19.5" hidden="1" thickBot="1" x14ac:dyDescent="0.3">
      <c r="A3907" s="967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10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  <c r="Q3907" s="2"/>
      <c r="R3907" s="2"/>
    </row>
    <row r="3908" spans="1:18" ht="19.5" hidden="1" thickBot="1" x14ac:dyDescent="0.3">
      <c r="A3908" s="1024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10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  <c r="Q3908" s="2"/>
      <c r="R3908" s="2"/>
    </row>
    <row r="3909" spans="1:18" ht="19.5" hidden="1" thickBot="1" x14ac:dyDescent="0.3">
      <c r="A3909" s="954">
        <f t="shared" si="116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963" t="s">
        <v>879</v>
      </c>
      <c r="H3909" s="483" t="s">
        <v>878</v>
      </c>
      <c r="I3909" s="484" t="s">
        <v>878</v>
      </c>
      <c r="J3909" s="485"/>
      <c r="K3909" s="491" t="str">
        <f t="shared" si="110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  <c r="Q3909" s="2"/>
      <c r="R3909" s="2"/>
    </row>
    <row r="3910" spans="1:18" ht="19.5" hidden="1" thickBot="1" x14ac:dyDescent="0.3">
      <c r="A3910" s="955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964"/>
      <c r="H3910" s="527" t="s">
        <v>878</v>
      </c>
      <c r="I3910" s="528" t="s">
        <v>878</v>
      </c>
      <c r="J3910" s="529"/>
      <c r="K3910" s="491" t="str">
        <f t="shared" si="110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  <c r="Q3910" s="2"/>
      <c r="R3910" s="2"/>
    </row>
    <row r="3911" spans="1:18" ht="19.5" hidden="1" thickBot="1" x14ac:dyDescent="0.3">
      <c r="A3911" s="1025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1026"/>
      <c r="H3911" s="491" t="s">
        <v>878</v>
      </c>
      <c r="I3911" s="492" t="s">
        <v>878</v>
      </c>
      <c r="J3911" s="493"/>
      <c r="K3911" s="491" t="str">
        <f t="shared" si="110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  <c r="Q3911" s="2"/>
      <c r="R3911" s="2"/>
    </row>
    <row r="3912" spans="1:18" ht="28.5" hidden="1" customHeight="1" thickBot="1" x14ac:dyDescent="0.3">
      <c r="A3912" s="966">
        <f t="shared" si="116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976" t="s">
        <v>880</v>
      </c>
      <c r="H3912" s="535" t="s">
        <v>877</v>
      </c>
      <c r="I3912" s="537" t="s">
        <v>878</v>
      </c>
      <c r="J3912" s="538"/>
      <c r="K3912" s="491" t="str">
        <f t="shared" si="110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  <c r="Q3912" s="2"/>
      <c r="R3912" s="2"/>
    </row>
    <row r="3913" spans="1:18" ht="28.5" hidden="1" customHeight="1" thickBot="1" x14ac:dyDescent="0.3">
      <c r="A3913" s="1024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1027"/>
      <c r="H3913" s="544" t="s">
        <v>877</v>
      </c>
      <c r="I3913" s="546" t="s">
        <v>878</v>
      </c>
      <c r="J3913" s="547"/>
      <c r="K3913" s="491" t="str">
        <f t="shared" si="110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  <c r="Q3913" s="2"/>
      <c r="R3913" s="2"/>
    </row>
    <row r="3914" spans="1:18" ht="19.5" hidden="1" thickBot="1" x14ac:dyDescent="0.3">
      <c r="A3914" s="954">
        <f t="shared" si="116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10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  <c r="Q3914" s="2"/>
      <c r="R3914" s="2"/>
    </row>
    <row r="3915" spans="1:18" ht="19.5" hidden="1" thickBot="1" x14ac:dyDescent="0.3">
      <c r="A3915" s="1025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10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  <c r="Q3915" s="2"/>
      <c r="R3915" s="2"/>
    </row>
    <row r="3916" spans="1:18" ht="57" hidden="1" thickBot="1" x14ac:dyDescent="0.3">
      <c r="A3916" s="503">
        <f t="shared" si="116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10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  <c r="Q3916" s="2"/>
      <c r="R3916" s="2"/>
    </row>
    <row r="3917" spans="1:18" ht="38.25" hidden="1" thickBot="1" x14ac:dyDescent="0.3">
      <c r="A3917" s="572">
        <f t="shared" si="116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10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  <c r="Q3917" s="2"/>
      <c r="R3917" s="2"/>
    </row>
    <row r="3918" spans="1:18" ht="19.5" hidden="1" thickBot="1" x14ac:dyDescent="0.3">
      <c r="A3918" s="503">
        <f t="shared" si="116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10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  <c r="Q3918" s="2"/>
      <c r="R3918" s="2"/>
    </row>
    <row r="3919" spans="1:18" ht="19.5" hidden="1" thickBot="1" x14ac:dyDescent="0.3">
      <c r="A3919" s="513">
        <f t="shared" si="116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10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  <c r="Q3919" s="2"/>
      <c r="R3919" s="2"/>
    </row>
    <row r="3920" spans="1:18" ht="19.5" hidden="1" thickBot="1" x14ac:dyDescent="0.3">
      <c r="A3920" s="966">
        <f t="shared" si="116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10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  <c r="Q3920" s="2"/>
      <c r="R3920" s="2"/>
    </row>
    <row r="3921" spans="1:18" ht="19.5" hidden="1" thickBot="1" x14ac:dyDescent="0.3">
      <c r="A3921" s="1024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10"/>
        <v>05,25</v>
      </c>
      <c r="L3921" s="544" t="s">
        <v>266</v>
      </c>
      <c r="M3921" s="544">
        <v>6024.6</v>
      </c>
      <c r="N3921" s="548">
        <v>0.5</v>
      </c>
      <c r="O3921" s="2"/>
      <c r="P3921" s="2"/>
      <c r="Q3921" s="2"/>
      <c r="R3921" s="2"/>
    </row>
    <row r="3922" spans="1:18" ht="19.5" hidden="1" thickBot="1" x14ac:dyDescent="0.3">
      <c r="A3922" s="954">
        <f t="shared" si="116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10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  <c r="Q3922" s="2"/>
      <c r="R3922" s="2"/>
    </row>
    <row r="3923" spans="1:18" ht="19.5" hidden="1" thickBot="1" x14ac:dyDescent="0.3">
      <c r="A3923" s="955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10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  <c r="Q3923" s="2"/>
      <c r="R3923" s="2"/>
    </row>
    <row r="3924" spans="1:18" ht="19.5" hidden="1" thickBot="1" x14ac:dyDescent="0.3">
      <c r="A3924" s="955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10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  <c r="Q3924" s="2"/>
      <c r="R3924" s="2"/>
    </row>
    <row r="3925" spans="1:18" ht="19.5" hidden="1" thickBot="1" x14ac:dyDescent="0.3">
      <c r="A3925" s="955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10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  <c r="Q3925" s="2"/>
      <c r="R3925" s="2"/>
    </row>
    <row r="3926" spans="1:18" ht="19.5" hidden="1" thickBot="1" x14ac:dyDescent="0.3">
      <c r="A3926" s="955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10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  <c r="Q3926" s="2"/>
      <c r="R3926" s="2"/>
    </row>
    <row r="3927" spans="1:18" ht="19.5" hidden="1" thickBot="1" x14ac:dyDescent="0.3">
      <c r="A3927" s="955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10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  <c r="Q3927" s="2"/>
      <c r="R3927" s="2"/>
    </row>
    <row r="3928" spans="1:18" ht="19.5" hidden="1" thickBot="1" x14ac:dyDescent="0.3">
      <c r="A3928" s="966">
        <f t="shared" ref="A3928:A3985" si="117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10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  <c r="Q3928" s="2"/>
      <c r="R3928" s="2"/>
    </row>
    <row r="3929" spans="1:18" ht="19.5" hidden="1" thickBot="1" x14ac:dyDescent="0.3">
      <c r="A3929" s="1024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10"/>
        <v>05,25</v>
      </c>
      <c r="L3929" s="544" t="s">
        <v>265</v>
      </c>
      <c r="M3929" s="544">
        <v>4426.5</v>
      </c>
      <c r="N3929" s="548">
        <v>0.375</v>
      </c>
      <c r="O3929" s="2"/>
      <c r="P3929" s="2"/>
      <c r="Q3929" s="2"/>
      <c r="R3929" s="2"/>
    </row>
    <row r="3930" spans="1:18" ht="19.5" hidden="1" thickBot="1" x14ac:dyDescent="0.3">
      <c r="A3930" s="513">
        <f t="shared" si="117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10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  <c r="Q3930" s="2"/>
      <c r="R3930" s="2"/>
    </row>
    <row r="3931" spans="1:18" ht="19.5" hidden="1" thickBot="1" x14ac:dyDescent="0.3">
      <c r="A3931" s="503">
        <f t="shared" si="117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10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  <c r="Q3931" s="2"/>
      <c r="R3931" s="2"/>
    </row>
    <row r="3932" spans="1:18" ht="19.5" hidden="1" thickBot="1" x14ac:dyDescent="0.3">
      <c r="A3932" s="513">
        <f t="shared" si="117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10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  <c r="Q3932" s="2"/>
      <c r="R3932" s="2"/>
    </row>
    <row r="3933" spans="1:18" ht="19.5" hidden="1" thickBot="1" x14ac:dyDescent="0.3">
      <c r="A3933" s="551">
        <f t="shared" si="117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10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  <c r="Q3933" s="2"/>
      <c r="R3933" s="2"/>
    </row>
    <row r="3934" spans="1:18" ht="19.5" hidden="1" thickBot="1" x14ac:dyDescent="0.3">
      <c r="A3934" s="954">
        <f t="shared" si="117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10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  <c r="Q3934" s="2"/>
      <c r="R3934" s="2"/>
    </row>
    <row r="3935" spans="1:18" ht="57" hidden="1" thickBot="1" x14ac:dyDescent="0.3">
      <c r="A3935" s="1025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10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  <c r="Q3935" s="2"/>
      <c r="R3935" s="2"/>
    </row>
    <row r="3936" spans="1:18" ht="19.5" hidden="1" thickBot="1" x14ac:dyDescent="0.3">
      <c r="A3936" s="966">
        <f t="shared" si="117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10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  <c r="Q3936" s="2"/>
      <c r="R3936" s="2"/>
    </row>
    <row r="3937" spans="1:18" ht="19.5" hidden="1" thickBot="1" x14ac:dyDescent="0.3">
      <c r="A3937" s="967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10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  <c r="Q3937" s="2"/>
      <c r="R3937" s="2"/>
    </row>
    <row r="3938" spans="1:18" ht="19.5" hidden="1" thickBot="1" x14ac:dyDescent="0.3">
      <c r="A3938" s="1024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10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  <c r="Q3938" s="2"/>
      <c r="R3938" s="2"/>
    </row>
    <row r="3939" spans="1:18" ht="19.5" hidden="1" thickBot="1" x14ac:dyDescent="0.3">
      <c r="A3939" s="954">
        <f t="shared" si="117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10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  <c r="Q3939" s="2"/>
      <c r="R3939" s="2"/>
    </row>
    <row r="3940" spans="1:18" ht="19.5" hidden="1" thickBot="1" x14ac:dyDescent="0.3">
      <c r="A3940" s="955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10"/>
        <v>05,25</v>
      </c>
      <c r="L3940" s="527" t="s">
        <v>28</v>
      </c>
      <c r="M3940" s="527">
        <v>4204.8</v>
      </c>
      <c r="N3940" s="530">
        <v>0.5</v>
      </c>
      <c r="O3940" s="2"/>
      <c r="P3940" s="2"/>
      <c r="Q3940" s="2"/>
      <c r="R3940" s="2"/>
    </row>
    <row r="3941" spans="1:18" ht="19.5" hidden="1" thickBot="1" x14ac:dyDescent="0.3">
      <c r="A3941" s="955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10"/>
        <v>05,25</v>
      </c>
      <c r="L3941" s="527" t="s">
        <v>28</v>
      </c>
      <c r="M3941" s="527">
        <v>6234.95</v>
      </c>
      <c r="N3941" s="530">
        <v>0.5</v>
      </c>
      <c r="O3941" s="2"/>
      <c r="P3941" s="2"/>
      <c r="Q3941" s="2"/>
      <c r="R3941" s="2"/>
    </row>
    <row r="3942" spans="1:18" ht="19.5" hidden="1" thickBot="1" x14ac:dyDescent="0.3">
      <c r="A3942" s="1025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10"/>
        <v>05,25</v>
      </c>
      <c r="L3942" s="491" t="s">
        <v>28</v>
      </c>
      <c r="M3942" s="491">
        <v>2505</v>
      </c>
      <c r="N3942" s="494">
        <v>0.5</v>
      </c>
      <c r="O3942" s="2"/>
      <c r="P3942" s="2"/>
      <c r="Q3942" s="2"/>
      <c r="R3942" s="2"/>
    </row>
    <row r="3943" spans="1:18" ht="19.5" hidden="1" thickBot="1" x14ac:dyDescent="0.3">
      <c r="A3943" s="503">
        <f t="shared" si="117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10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  <c r="Q3943" s="2"/>
      <c r="R3943" s="2"/>
    </row>
    <row r="3944" spans="1:18" ht="19.5" hidden="1" thickBot="1" x14ac:dyDescent="0.3">
      <c r="A3944" s="513">
        <f t="shared" si="117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10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  <c r="Q3944" s="2"/>
      <c r="R3944" s="2"/>
    </row>
    <row r="3945" spans="1:18" ht="19.5" hidden="1" thickBot="1" x14ac:dyDescent="0.3">
      <c r="A3945" s="966">
        <f t="shared" si="117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10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  <c r="Q3945" s="2"/>
      <c r="R3945" s="2"/>
    </row>
    <row r="3946" spans="1:18" ht="19.5" hidden="1" thickBot="1" x14ac:dyDescent="0.3">
      <c r="A3946" s="1024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10"/>
        <v>05,25</v>
      </c>
      <c r="L3946" s="544" t="s">
        <v>28</v>
      </c>
      <c r="M3946" s="544">
        <v>4524</v>
      </c>
      <c r="N3946" s="548">
        <v>0.625</v>
      </c>
      <c r="O3946" s="2"/>
      <c r="P3946" s="2"/>
      <c r="Q3946" s="2"/>
      <c r="R3946" s="2"/>
    </row>
    <row r="3947" spans="1:18" ht="19.5" hidden="1" thickBot="1" x14ac:dyDescent="0.3">
      <c r="A3947" s="513">
        <f t="shared" si="117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10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  <c r="Q3947" s="2"/>
      <c r="R3947" s="2"/>
    </row>
    <row r="3948" spans="1:18" ht="19.5" hidden="1" thickBot="1" x14ac:dyDescent="0.3">
      <c r="A3948" s="503">
        <f t="shared" si="117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10"/>
        <v>05,25</v>
      </c>
      <c r="L3948" s="508" t="s">
        <v>28</v>
      </c>
      <c r="M3948" s="508">
        <v>15262.96</v>
      </c>
      <c r="N3948" s="512">
        <v>0.5</v>
      </c>
      <c r="O3948" s="2"/>
      <c r="P3948" s="2"/>
      <c r="Q3948" s="2"/>
      <c r="R3948" s="2"/>
    </row>
    <row r="3949" spans="1:18" ht="19.5" hidden="1" thickBot="1" x14ac:dyDescent="0.3">
      <c r="A3949" s="954">
        <f t="shared" si="117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963" t="s">
        <v>72</v>
      </c>
      <c r="H3949" s="483" t="s">
        <v>887</v>
      </c>
      <c r="I3949" s="484" t="s">
        <v>887</v>
      </c>
      <c r="J3949" s="485"/>
      <c r="K3949" s="491" t="str">
        <f t="shared" si="110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  <c r="Q3949" s="2"/>
      <c r="R3949" s="2"/>
    </row>
    <row r="3950" spans="1:18" ht="19.5" hidden="1" thickBot="1" x14ac:dyDescent="0.3">
      <c r="A3950" s="1025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1026"/>
      <c r="H3950" s="491" t="s">
        <v>887</v>
      </c>
      <c r="I3950" s="492" t="s">
        <v>887</v>
      </c>
      <c r="J3950" s="493"/>
      <c r="K3950" s="491" t="str">
        <f t="shared" si="110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  <c r="Q3950" s="2"/>
      <c r="R3950" s="2"/>
    </row>
    <row r="3951" spans="1:18" ht="19.5" hidden="1" thickBot="1" x14ac:dyDescent="0.3">
      <c r="A3951" s="551">
        <f t="shared" si="117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10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  <c r="Q3951" s="2"/>
      <c r="R3951" s="2"/>
    </row>
    <row r="3952" spans="1:18" ht="19.5" hidden="1" thickBot="1" x14ac:dyDescent="0.3">
      <c r="A3952" s="513">
        <f t="shared" si="117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10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  <c r="Q3952" s="2"/>
      <c r="R3952" s="2"/>
    </row>
    <row r="3953" spans="1:18" ht="19.5" hidden="1" thickBot="1" x14ac:dyDescent="0.3">
      <c r="A3953" s="503">
        <f t="shared" si="117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10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  <c r="Q3953" s="2"/>
      <c r="R3953" s="2"/>
    </row>
    <row r="3954" spans="1:18" ht="19.5" hidden="1" thickBot="1" x14ac:dyDescent="0.3">
      <c r="A3954" s="954">
        <f t="shared" si="117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10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  <c r="Q3954" s="2"/>
      <c r="R3954" s="2"/>
    </row>
    <row r="3955" spans="1:18" ht="19.5" hidden="1" thickBot="1" x14ac:dyDescent="0.3">
      <c r="A3955" s="1025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10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  <c r="Q3955" s="2"/>
      <c r="R3955" s="2"/>
    </row>
    <row r="3956" spans="1:18" ht="19.5" hidden="1" thickBot="1" x14ac:dyDescent="0.3">
      <c r="A3956" s="966">
        <f t="shared" si="117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10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  <c r="Q3956" s="2"/>
      <c r="R3956" s="2"/>
    </row>
    <row r="3957" spans="1:18" ht="19.5" hidden="1" thickBot="1" x14ac:dyDescent="0.3">
      <c r="A3957" s="967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10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  <c r="Q3957" s="2"/>
      <c r="R3957" s="2"/>
    </row>
    <row r="3958" spans="1:18" ht="19.5" hidden="1" thickBot="1" x14ac:dyDescent="0.3">
      <c r="A3958" s="1024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10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  <c r="Q3958" s="2"/>
      <c r="R3958" s="2"/>
    </row>
    <row r="3959" spans="1:18" ht="57" hidden="1" thickBot="1" x14ac:dyDescent="0.3">
      <c r="A3959" s="513">
        <f t="shared" si="117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10"/>
        <v>05,25</v>
      </c>
      <c r="L3959" s="518" t="s">
        <v>28</v>
      </c>
      <c r="M3959" s="518">
        <v>5049.3</v>
      </c>
      <c r="N3959" s="522">
        <v>0.5</v>
      </c>
      <c r="O3959" s="2"/>
      <c r="P3959" s="2"/>
      <c r="Q3959" s="2"/>
      <c r="R3959" s="2"/>
    </row>
    <row r="3960" spans="1:18" ht="19.5" hidden="1" thickBot="1" x14ac:dyDescent="0.3">
      <c r="A3960" s="966">
        <f t="shared" si="117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10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  <c r="Q3960" s="2"/>
      <c r="R3960" s="2"/>
    </row>
    <row r="3961" spans="1:18" ht="19.5" hidden="1" thickBot="1" x14ac:dyDescent="0.3">
      <c r="A3961" s="1024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8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  <c r="Q3961" s="2"/>
      <c r="R3961" s="2"/>
    </row>
    <row r="3962" spans="1:18" ht="19.5" hidden="1" thickBot="1" x14ac:dyDescent="0.3">
      <c r="A3962" s="954">
        <f t="shared" si="117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8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  <c r="Q3962" s="2"/>
      <c r="R3962" s="2"/>
    </row>
    <row r="3963" spans="1:18" ht="19.5" hidden="1" thickBot="1" x14ac:dyDescent="0.3">
      <c r="A3963" s="955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8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  <c r="Q3963" s="2"/>
      <c r="R3963" s="2"/>
    </row>
    <row r="3964" spans="1:18" ht="38.25" hidden="1" thickBot="1" x14ac:dyDescent="0.3">
      <c r="A3964" s="503">
        <f t="shared" si="117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8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  <c r="Q3964" s="2"/>
      <c r="R3964" s="2"/>
    </row>
    <row r="3965" spans="1:18" ht="57" hidden="1" thickBot="1" x14ac:dyDescent="0.3">
      <c r="A3965" s="513">
        <f t="shared" si="117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8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  <c r="Q3965" s="2"/>
      <c r="R3965" s="2"/>
    </row>
    <row r="3966" spans="1:18" ht="19.5" hidden="1" thickBot="1" x14ac:dyDescent="0.3">
      <c r="A3966" s="966">
        <f t="shared" si="117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8"/>
        <v>05,25</v>
      </c>
      <c r="L3966" s="535" t="s">
        <v>266</v>
      </c>
      <c r="M3966" s="535">
        <v>13301.5</v>
      </c>
      <c r="N3966" s="539">
        <v>0.5</v>
      </c>
      <c r="O3966" s="2"/>
      <c r="P3966" s="2"/>
      <c r="Q3966" s="2"/>
      <c r="R3966" s="2"/>
    </row>
    <row r="3967" spans="1:18" ht="19.5" hidden="1" thickBot="1" x14ac:dyDescent="0.3">
      <c r="A3967" s="967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8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  <c r="Q3967" s="2"/>
      <c r="R3967" s="2"/>
    </row>
    <row r="3968" spans="1:18" ht="19.5" hidden="1" thickBot="1" x14ac:dyDescent="0.3">
      <c r="A3968" s="513">
        <f t="shared" si="117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8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  <c r="Q3968" s="2"/>
      <c r="R3968" s="2"/>
    </row>
    <row r="3969" spans="1:18" ht="19.5" hidden="1" thickBot="1" x14ac:dyDescent="0.3">
      <c r="A3969" s="503">
        <f t="shared" si="117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8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  <c r="Q3969" s="2"/>
      <c r="R3969" s="2"/>
    </row>
    <row r="3970" spans="1:18" ht="19.5" hidden="1" thickBot="1" x14ac:dyDescent="0.3">
      <c r="A3970" s="513">
        <f t="shared" si="117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8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  <c r="Q3970" s="2"/>
      <c r="R3970" s="2"/>
    </row>
    <row r="3971" spans="1:18" ht="19.5" hidden="1" thickBot="1" x14ac:dyDescent="0.3">
      <c r="A3971" s="966">
        <f t="shared" si="117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8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  <c r="Q3971" s="2"/>
      <c r="R3971" s="2"/>
    </row>
    <row r="3972" spans="1:18" ht="19.5" hidden="1" thickBot="1" x14ac:dyDescent="0.3">
      <c r="A3972" s="967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8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  <c r="Q3972" s="2"/>
      <c r="R3972" s="2"/>
    </row>
    <row r="3973" spans="1:18" ht="19.5" hidden="1" thickBot="1" x14ac:dyDescent="0.3">
      <c r="A3973" s="967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8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  <c r="Q3973" s="2"/>
      <c r="R3973" s="2"/>
    </row>
    <row r="3974" spans="1:18" ht="19.5" hidden="1" thickBot="1" x14ac:dyDescent="0.3">
      <c r="A3974" s="967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8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  <c r="Q3974" s="2"/>
      <c r="R3974" s="2"/>
    </row>
    <row r="3975" spans="1:18" ht="19.5" hidden="1" thickBot="1" x14ac:dyDescent="0.3">
      <c r="A3975" s="967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8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  <c r="Q3975" s="2"/>
      <c r="R3975" s="2"/>
    </row>
    <row r="3976" spans="1:18" ht="19.5" hidden="1" thickBot="1" x14ac:dyDescent="0.3">
      <c r="A3976" s="954">
        <f t="shared" si="117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8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  <c r="Q3976" s="2"/>
      <c r="R3976" s="2"/>
    </row>
    <row r="3977" spans="1:18" ht="19.5" hidden="1" thickBot="1" x14ac:dyDescent="0.3">
      <c r="A3977" s="1025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8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  <c r="Q3977" s="2"/>
      <c r="R3977" s="2"/>
    </row>
    <row r="3978" spans="1:18" ht="19.5" hidden="1" thickBot="1" x14ac:dyDescent="0.3">
      <c r="A3978" s="503">
        <f t="shared" si="117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8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  <c r="Q3978" s="2"/>
      <c r="R3978" s="2"/>
    </row>
    <row r="3979" spans="1:18" ht="19.5" hidden="1" thickBot="1" x14ac:dyDescent="0.3">
      <c r="A3979" s="513">
        <f t="shared" si="117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8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  <c r="Q3979" s="2"/>
      <c r="R3979" s="2"/>
    </row>
    <row r="3980" spans="1:18" ht="19.5" hidden="1" thickBot="1" x14ac:dyDescent="0.3">
      <c r="A3980" s="503">
        <f t="shared" si="117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8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  <c r="Q3980" s="2"/>
      <c r="R3980" s="2"/>
    </row>
    <row r="3981" spans="1:18" ht="19.5" hidden="1" thickBot="1" x14ac:dyDescent="0.3">
      <c r="A3981" s="954">
        <f t="shared" si="117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8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  <c r="Q3981" s="2"/>
      <c r="R3981" s="2"/>
    </row>
    <row r="3982" spans="1:18" ht="19.5" hidden="1" thickBot="1" x14ac:dyDescent="0.3">
      <c r="A3982" s="955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8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  <c r="Q3982" s="2"/>
      <c r="R3982" s="2"/>
    </row>
    <row r="3983" spans="1:18" ht="19.5" hidden="1" thickBot="1" x14ac:dyDescent="0.3">
      <c r="A3983" s="966">
        <f t="shared" si="117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976" t="s">
        <v>72</v>
      </c>
      <c r="H3983" s="535" t="s">
        <v>895</v>
      </c>
      <c r="I3983" s="537" t="s">
        <v>894</v>
      </c>
      <c r="J3983" s="538"/>
      <c r="K3983" s="535" t="str">
        <f t="shared" si="118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  <c r="Q3983" s="2"/>
      <c r="R3983" s="2"/>
    </row>
    <row r="3984" spans="1:18" ht="19.5" hidden="1" thickBot="1" x14ac:dyDescent="0.3">
      <c r="A3984" s="1024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1027"/>
      <c r="H3984" s="544" t="s">
        <v>895</v>
      </c>
      <c r="I3984" s="546" t="s">
        <v>895</v>
      </c>
      <c r="J3984" s="547"/>
      <c r="K3984" s="544" t="str">
        <f t="shared" si="118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  <c r="Q3984" s="2"/>
      <c r="R3984" s="2"/>
    </row>
    <row r="3985" spans="1:18" ht="19.5" hidden="1" thickBot="1" x14ac:dyDescent="0.3">
      <c r="A3985" s="954">
        <f t="shared" si="117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8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  <c r="Q3985" s="2"/>
      <c r="R3985" s="2"/>
    </row>
    <row r="3986" spans="1:18" ht="19.5" hidden="1" thickBot="1" x14ac:dyDescent="0.3">
      <c r="A3986" s="955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8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  <c r="Q3986" s="2"/>
      <c r="R3986" s="2"/>
    </row>
    <row r="3987" spans="1:18" ht="19.5" hidden="1" thickBot="1" x14ac:dyDescent="0.3">
      <c r="A3987" s="955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8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  <c r="Q3987" s="2"/>
      <c r="R3987" s="2"/>
    </row>
    <row r="3988" spans="1:18" ht="19.5" hidden="1" thickBot="1" x14ac:dyDescent="0.3">
      <c r="A3988" s="955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8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  <c r="Q3988" s="2"/>
      <c r="R3988" s="2"/>
    </row>
    <row r="3989" spans="1:18" ht="19.5" hidden="1" thickBot="1" x14ac:dyDescent="0.3">
      <c r="A3989" s="955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8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  <c r="Q3989" s="2"/>
      <c r="R3989" s="2"/>
    </row>
    <row r="3990" spans="1:18" ht="19.5" hidden="1" thickBot="1" x14ac:dyDescent="0.3">
      <c r="A3990" s="955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8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  <c r="Q3990" s="2"/>
      <c r="R3990" s="2"/>
    </row>
    <row r="3991" spans="1:18" ht="19.5" hidden="1" thickBot="1" x14ac:dyDescent="0.3">
      <c r="A3991" s="1025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8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  <c r="Q3991" s="2"/>
      <c r="R3991" s="2"/>
    </row>
    <row r="3992" spans="1:18" ht="19.5" hidden="1" thickBot="1" x14ac:dyDescent="0.3">
      <c r="A3992" s="966">
        <f t="shared" ref="A3992:A4055" si="119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8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  <c r="Q3992" s="2"/>
      <c r="R3992" s="2"/>
    </row>
    <row r="3993" spans="1:18" ht="19.5" hidden="1" thickBot="1" x14ac:dyDescent="0.3">
      <c r="A3993" s="967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8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  <c r="Q3993" s="2"/>
      <c r="R3993" s="2"/>
    </row>
    <row r="3994" spans="1:18" ht="19.5" hidden="1" thickBot="1" x14ac:dyDescent="0.3">
      <c r="A3994" s="967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8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  <c r="Q3994" s="2"/>
      <c r="R3994" s="2"/>
    </row>
    <row r="3995" spans="1:18" ht="19.5" hidden="1" thickBot="1" x14ac:dyDescent="0.3">
      <c r="A3995" s="967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8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  <c r="Q3995" s="2"/>
      <c r="R3995" s="2"/>
    </row>
    <row r="3996" spans="1:18" ht="19.5" hidden="1" thickBot="1" x14ac:dyDescent="0.3">
      <c r="A3996" s="954">
        <f t="shared" si="119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8"/>
        <v>05,25</v>
      </c>
      <c r="L3996" s="483" t="s">
        <v>266</v>
      </c>
      <c r="M3996" s="483">
        <v>1833.48</v>
      </c>
      <c r="N3996" s="486">
        <v>0.5</v>
      </c>
      <c r="O3996" s="2"/>
      <c r="P3996" s="2"/>
      <c r="Q3996" s="2"/>
      <c r="R3996" s="2"/>
    </row>
    <row r="3997" spans="1:18" ht="19.5" hidden="1" thickBot="1" x14ac:dyDescent="0.3">
      <c r="A3997" s="955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8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  <c r="Q3997" s="2"/>
      <c r="R3997" s="2"/>
    </row>
    <row r="3998" spans="1:18" ht="19.5" hidden="1" thickBot="1" x14ac:dyDescent="0.3">
      <c r="A3998" s="1025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8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  <c r="Q3998" s="2"/>
      <c r="R3998" s="2"/>
    </row>
    <row r="3999" spans="1:18" ht="19.5" hidden="1" thickBot="1" x14ac:dyDescent="0.3">
      <c r="A3999" s="503">
        <f t="shared" si="119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8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  <c r="Q3999" s="2"/>
      <c r="R3999" s="2"/>
    </row>
    <row r="4000" spans="1:18" ht="94.5" hidden="1" thickBot="1" x14ac:dyDescent="0.3">
      <c r="A4000" s="513">
        <f t="shared" si="119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8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  <c r="Q4000" s="2"/>
      <c r="R4000" s="2"/>
    </row>
    <row r="4001" spans="1:18" ht="19.5" hidden="1" thickBot="1" x14ac:dyDescent="0.3">
      <c r="A4001" s="503">
        <f t="shared" si="119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8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  <c r="Q4001" s="2"/>
      <c r="R4001" s="2"/>
    </row>
    <row r="4002" spans="1:18" ht="19.5" hidden="1" thickBot="1" x14ac:dyDescent="0.3">
      <c r="A4002" s="954">
        <f t="shared" si="119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8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  <c r="Q4002" s="2"/>
      <c r="R4002" s="2"/>
    </row>
    <row r="4003" spans="1:18" ht="19.5" hidden="1" thickBot="1" x14ac:dyDescent="0.3">
      <c r="A4003" s="1025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8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  <c r="Q4003" s="2"/>
      <c r="R4003" s="2"/>
    </row>
    <row r="4004" spans="1:18" ht="19.5" hidden="1" thickBot="1" x14ac:dyDescent="0.3">
      <c r="A4004" s="966">
        <f t="shared" si="119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8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  <c r="Q4004" s="2"/>
      <c r="R4004" s="2"/>
    </row>
    <row r="4005" spans="1:18" ht="19.5" hidden="1" thickBot="1" x14ac:dyDescent="0.3">
      <c r="A4005" s="1024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8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  <c r="Q4005" s="2"/>
      <c r="R4005" s="2"/>
    </row>
    <row r="4006" spans="1:18" ht="19.5" hidden="1" thickBot="1" x14ac:dyDescent="0.3">
      <c r="A4006" s="954">
        <f t="shared" si="119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8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  <c r="Q4006" s="2"/>
      <c r="R4006" s="2"/>
    </row>
    <row r="4007" spans="1:18" ht="19.5" hidden="1" thickBot="1" x14ac:dyDescent="0.3">
      <c r="A4007" s="955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8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  <c r="Q4007" s="2"/>
      <c r="R4007" s="2"/>
    </row>
    <row r="4008" spans="1:18" ht="19.5" hidden="1" thickBot="1" x14ac:dyDescent="0.3">
      <c r="A4008" s="1025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8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  <c r="Q4008" s="2"/>
      <c r="R4008" s="2"/>
    </row>
    <row r="4009" spans="1:18" ht="19.5" hidden="1" thickBot="1" x14ac:dyDescent="0.3">
      <c r="A4009" s="551">
        <f t="shared" si="119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8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  <c r="Q4009" s="2"/>
      <c r="R4009" s="2"/>
    </row>
    <row r="4010" spans="1:18" ht="19.5" hidden="1" thickBot="1" x14ac:dyDescent="0.3">
      <c r="A4010" s="954">
        <f t="shared" si="119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8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  <c r="Q4010" s="2"/>
      <c r="R4010" s="2"/>
    </row>
    <row r="4011" spans="1:18" ht="19.5" hidden="1" thickBot="1" x14ac:dyDescent="0.3">
      <c r="A4011" s="1025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8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  <c r="Q4011" s="2"/>
      <c r="R4011" s="2"/>
    </row>
    <row r="4012" spans="1:18" ht="19.5" hidden="1" thickBot="1" x14ac:dyDescent="0.3">
      <c r="A4012" s="973">
        <f t="shared" si="119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8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  <c r="Q4012" s="2"/>
      <c r="R4012" s="2"/>
    </row>
    <row r="4013" spans="1:18" ht="19.5" hidden="1" thickBot="1" x14ac:dyDescent="0.3">
      <c r="A4013" s="1028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8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  <c r="Q4013" s="2"/>
      <c r="R4013" s="2"/>
    </row>
    <row r="4014" spans="1:18" ht="19.5" hidden="1" thickBot="1" x14ac:dyDescent="0.3">
      <c r="A4014" s="1029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8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  <c r="Q4014" s="2"/>
      <c r="R4014" s="2"/>
    </row>
    <row r="4015" spans="1:18" ht="57" hidden="1" thickBot="1" x14ac:dyDescent="0.3">
      <c r="A4015" s="572">
        <f t="shared" si="119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8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  <c r="Q4015" s="2"/>
      <c r="R4015" s="2"/>
    </row>
    <row r="4016" spans="1:18" ht="19.5" hidden="1" thickBot="1" x14ac:dyDescent="0.3">
      <c r="A4016" s="503">
        <f t="shared" si="119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8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  <c r="Q4016" s="2"/>
      <c r="R4016" s="2"/>
    </row>
    <row r="4017" spans="1:18" ht="19.5" hidden="1" thickBot="1" x14ac:dyDescent="0.3">
      <c r="A4017" s="513">
        <f t="shared" si="119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8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  <c r="Q4017" s="2"/>
      <c r="R4017" s="2"/>
    </row>
    <row r="4018" spans="1:18" ht="19.5" hidden="1" thickBot="1" x14ac:dyDescent="0.3">
      <c r="A4018" s="503">
        <f t="shared" si="119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8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  <c r="Q4018" s="2"/>
      <c r="R4018" s="2"/>
    </row>
    <row r="4019" spans="1:18" ht="19.5" hidden="1" thickBot="1" x14ac:dyDescent="0.3">
      <c r="A4019" s="954">
        <f t="shared" si="119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8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  <c r="Q4019" s="2"/>
      <c r="R4019" s="2"/>
    </row>
    <row r="4020" spans="1:18" ht="19.5" hidden="1" thickBot="1" x14ac:dyDescent="0.3">
      <c r="A4020" s="955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8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  <c r="Q4020" s="2"/>
      <c r="R4020" s="2"/>
    </row>
    <row r="4021" spans="1:18" ht="19.5" hidden="1" thickBot="1" x14ac:dyDescent="0.3">
      <c r="A4021" s="955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8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  <c r="Q4021" s="2"/>
      <c r="R4021" s="2"/>
    </row>
    <row r="4022" spans="1:18" ht="19.5" hidden="1" thickBot="1" x14ac:dyDescent="0.3">
      <c r="A4022" s="955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8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  <c r="Q4022" s="2"/>
      <c r="R4022" s="2"/>
    </row>
    <row r="4023" spans="1:18" ht="19.5" hidden="1" thickBot="1" x14ac:dyDescent="0.3">
      <c r="A4023" s="955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8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  <c r="Q4023" s="2"/>
      <c r="R4023" s="2"/>
    </row>
    <row r="4024" spans="1:18" ht="19.5" hidden="1" thickBot="1" x14ac:dyDescent="0.3">
      <c r="A4024" s="1025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8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  <c r="Q4024" s="2"/>
      <c r="R4024" s="2"/>
    </row>
    <row r="4025" spans="1:18" ht="38.25" hidden="1" thickBot="1" x14ac:dyDescent="0.3">
      <c r="A4025" s="503">
        <f t="shared" si="119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8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  <c r="Q4025" s="2"/>
      <c r="R4025" s="2"/>
    </row>
    <row r="4026" spans="1:18" ht="38.25" hidden="1" thickBot="1" x14ac:dyDescent="0.3">
      <c r="A4026" s="572">
        <f t="shared" si="119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8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  <c r="Q4026" s="2"/>
      <c r="R4026" s="2"/>
    </row>
    <row r="4027" spans="1:18" ht="19.5" hidden="1" thickBot="1" x14ac:dyDescent="0.3">
      <c r="A4027" s="966">
        <f t="shared" si="119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8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  <c r="Q4027" s="2"/>
      <c r="R4027" s="2"/>
    </row>
    <row r="4028" spans="1:18" ht="19.5" hidden="1" thickBot="1" x14ac:dyDescent="0.3">
      <c r="A4028" s="1024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8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  <c r="Q4028" s="2"/>
      <c r="R4028" s="2"/>
    </row>
    <row r="4029" spans="1:18" ht="19.5" hidden="1" thickBot="1" x14ac:dyDescent="0.3">
      <c r="A4029" s="513">
        <f t="shared" si="119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8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  <c r="Q4029" s="2"/>
      <c r="R4029" s="2"/>
    </row>
    <row r="4030" spans="1:18" ht="19.5" hidden="1" thickBot="1" x14ac:dyDescent="0.3">
      <c r="A4030" s="551">
        <f t="shared" si="119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8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  <c r="Q4030" s="2"/>
      <c r="R4030" s="2"/>
    </row>
    <row r="4031" spans="1:18" ht="19.5" hidden="1" thickBot="1" x14ac:dyDescent="0.3">
      <c r="A4031" s="954">
        <f t="shared" si="119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8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  <c r="Q4031" s="2"/>
      <c r="R4031" s="2"/>
    </row>
    <row r="4032" spans="1:18" ht="19.5" hidden="1" thickBot="1" x14ac:dyDescent="0.3">
      <c r="A4032" s="955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8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  <c r="Q4032" s="2"/>
      <c r="R4032" s="2"/>
    </row>
    <row r="4033" spans="1:18" ht="19.5" hidden="1" thickBot="1" x14ac:dyDescent="0.3">
      <c r="A4033" s="1025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8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  <c r="Q4033" s="2"/>
      <c r="R4033" s="2"/>
    </row>
    <row r="4034" spans="1:18" ht="19.5" hidden="1" thickBot="1" x14ac:dyDescent="0.3">
      <c r="A4034" s="966">
        <f t="shared" si="119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8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  <c r="Q4034" s="2"/>
      <c r="R4034" s="2"/>
    </row>
    <row r="4035" spans="1:18" ht="19.5" hidden="1" thickBot="1" x14ac:dyDescent="0.3">
      <c r="A4035" s="1024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8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  <c r="Q4035" s="2"/>
      <c r="R4035" s="2"/>
    </row>
    <row r="4036" spans="1:18" ht="19.5" hidden="1" thickBot="1" x14ac:dyDescent="0.3">
      <c r="A4036" s="954">
        <f t="shared" si="119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8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  <c r="Q4036" s="2"/>
      <c r="R4036" s="2"/>
    </row>
    <row r="4037" spans="1:18" ht="19.5" hidden="1" thickBot="1" x14ac:dyDescent="0.3">
      <c r="A4037" s="1025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8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  <c r="Q4037" s="2"/>
      <c r="R4037" s="2"/>
    </row>
    <row r="4038" spans="1:18" ht="19.5" hidden="1" thickBot="1" x14ac:dyDescent="0.3">
      <c r="A4038" s="503">
        <f t="shared" si="119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8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  <c r="Q4038" s="2"/>
      <c r="R4038" s="2"/>
    </row>
    <row r="4039" spans="1:18" ht="19.5" hidden="1" thickBot="1" x14ac:dyDescent="0.3">
      <c r="A4039" s="954">
        <f t="shared" si="119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8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  <c r="Q4039" s="2"/>
      <c r="R4039" s="2"/>
    </row>
    <row r="4040" spans="1:18" ht="19.5" hidden="1" thickBot="1" x14ac:dyDescent="0.3">
      <c r="A4040" s="1025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8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  <c r="Q4040" s="2"/>
      <c r="R4040" s="2"/>
    </row>
    <row r="4041" spans="1:18" ht="19.5" hidden="1" thickBot="1" x14ac:dyDescent="0.3">
      <c r="A4041" s="503">
        <f t="shared" si="119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8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  <c r="Q4041" s="2"/>
      <c r="R4041" s="2"/>
    </row>
    <row r="4042" spans="1:18" ht="19.5" hidden="1" thickBot="1" x14ac:dyDescent="0.3">
      <c r="A4042" s="572">
        <f t="shared" si="119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8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  <c r="Q4042" s="2"/>
      <c r="R4042" s="2"/>
    </row>
    <row r="4043" spans="1:18" ht="19.5" hidden="1" thickBot="1" x14ac:dyDescent="0.3">
      <c r="A4043" s="503">
        <f t="shared" si="119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8"/>
        <v>05,25</v>
      </c>
      <c r="L4043" s="508" t="s">
        <v>28</v>
      </c>
      <c r="M4043" s="508">
        <v>15579.08</v>
      </c>
      <c r="N4043" s="512">
        <v>0.5</v>
      </c>
      <c r="O4043" s="2"/>
      <c r="P4043" s="2"/>
      <c r="Q4043" s="2"/>
      <c r="R4043" s="2"/>
    </row>
    <row r="4044" spans="1:18" ht="19.5" hidden="1" thickBot="1" x14ac:dyDescent="0.3">
      <c r="A4044" s="513">
        <f t="shared" si="119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8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  <c r="Q4044" s="2"/>
      <c r="R4044" s="2"/>
    </row>
    <row r="4045" spans="1:18" ht="19.5" hidden="1" thickBot="1" x14ac:dyDescent="0.3">
      <c r="A4045" s="966">
        <f t="shared" si="119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8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  <c r="Q4045" s="2"/>
      <c r="R4045" s="2"/>
    </row>
    <row r="4046" spans="1:18" ht="19.5" hidden="1" thickBot="1" x14ac:dyDescent="0.3">
      <c r="A4046" s="967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8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  <c r="Q4046" s="2"/>
      <c r="R4046" s="2"/>
    </row>
    <row r="4047" spans="1:18" ht="19.5" hidden="1" thickBot="1" x14ac:dyDescent="0.3">
      <c r="A4047" s="968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8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  <c r="Q4047" s="2"/>
      <c r="R4047" s="2"/>
    </row>
    <row r="4048" spans="1:18" ht="19.5" hidden="1" thickBot="1" x14ac:dyDescent="0.3">
      <c r="A4048" s="954">
        <f t="shared" si="119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8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  <c r="Q4048" s="2"/>
      <c r="R4048" s="2"/>
    </row>
    <row r="4049" spans="1:18" ht="19.5" hidden="1" thickBot="1" x14ac:dyDescent="0.3">
      <c r="A4049" s="955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8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  <c r="Q4049" s="2"/>
      <c r="R4049" s="2"/>
    </row>
    <row r="4050" spans="1:18" ht="19.5" hidden="1" thickBot="1" x14ac:dyDescent="0.3">
      <c r="A4050" s="956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8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  <c r="Q4050" s="2"/>
      <c r="R4050" s="2"/>
    </row>
    <row r="4051" spans="1:18" ht="57" hidden="1" thickBot="1" x14ac:dyDescent="0.3">
      <c r="A4051" s="503">
        <f t="shared" si="119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8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  <c r="Q4051" s="2"/>
      <c r="R4051" s="2"/>
    </row>
    <row r="4052" spans="1:18" ht="19.5" hidden="1" thickBot="1" x14ac:dyDescent="0.3">
      <c r="A4052" s="513">
        <f t="shared" si="119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8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  <c r="Q4052" s="2"/>
      <c r="R4052" s="2"/>
    </row>
    <row r="4053" spans="1:18" ht="19.5" hidden="1" thickBot="1" x14ac:dyDescent="0.3">
      <c r="A4053" s="966">
        <f t="shared" si="119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8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  <c r="Q4053" s="2"/>
      <c r="R4053" s="2"/>
    </row>
    <row r="4054" spans="1:18" ht="19.5" hidden="1" thickBot="1" x14ac:dyDescent="0.3">
      <c r="A4054" s="968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8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  <c r="Q4054" s="2"/>
      <c r="R4054" s="2"/>
    </row>
    <row r="4055" spans="1:18" ht="19.5" hidden="1" thickBot="1" x14ac:dyDescent="0.3">
      <c r="A4055" s="954">
        <f t="shared" si="119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963" t="s">
        <v>906</v>
      </c>
      <c r="H4055" s="483" t="s">
        <v>904</v>
      </c>
      <c r="I4055" s="484" t="s">
        <v>904</v>
      </c>
      <c r="J4055" s="485"/>
      <c r="K4055" s="483" t="str">
        <f t="shared" si="118"/>
        <v>05,25</v>
      </c>
      <c r="L4055" s="483" t="s">
        <v>28</v>
      </c>
      <c r="M4055" s="483">
        <v>7603.92</v>
      </c>
      <c r="N4055" s="486">
        <v>0.5</v>
      </c>
      <c r="O4055" s="2"/>
      <c r="P4055" s="2"/>
      <c r="Q4055" s="2"/>
      <c r="R4055" s="2"/>
    </row>
    <row r="4056" spans="1:18" ht="19.5" hidden="1" thickBot="1" x14ac:dyDescent="0.3">
      <c r="A4056" s="956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965"/>
      <c r="H4056" s="649" t="s">
        <v>904</v>
      </c>
      <c r="I4056" s="651" t="s">
        <v>904</v>
      </c>
      <c r="J4056" s="652"/>
      <c r="K4056" s="649" t="str">
        <f t="shared" si="118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  <c r="Q4056" s="2"/>
      <c r="R4056" s="2"/>
    </row>
    <row r="4057" spans="1:18" ht="19.5" hidden="1" thickBot="1" x14ac:dyDescent="0.3">
      <c r="A4057" s="503">
        <f t="shared" ref="A4057:A4120" si="120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8"/>
        <v>05,25</v>
      </c>
      <c r="L4057" s="508" t="s">
        <v>266</v>
      </c>
      <c r="M4057" s="508">
        <v>8250.35</v>
      </c>
      <c r="N4057" s="512">
        <v>0.5</v>
      </c>
      <c r="O4057" s="2"/>
      <c r="P4057" s="2"/>
      <c r="Q4057" s="2"/>
      <c r="R4057" s="2"/>
    </row>
    <row r="4058" spans="1:18" ht="19.5" hidden="1" thickBot="1" x14ac:dyDescent="0.3">
      <c r="A4058" s="954">
        <f t="shared" si="120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8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  <c r="Q4058" s="2"/>
      <c r="R4058" s="2"/>
    </row>
    <row r="4059" spans="1:18" ht="19.5" hidden="1" thickBot="1" x14ac:dyDescent="0.3">
      <c r="A4059" s="955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8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  <c r="Q4059" s="2"/>
      <c r="R4059" s="2"/>
    </row>
    <row r="4060" spans="1:18" ht="19.5" hidden="1" thickBot="1" x14ac:dyDescent="0.3">
      <c r="A4060" s="503">
        <f t="shared" si="120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8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  <c r="Q4060" s="2"/>
      <c r="R4060" s="2"/>
    </row>
    <row r="4061" spans="1:18" ht="19.5" hidden="1" thickBot="1" x14ac:dyDescent="0.3">
      <c r="A4061" s="513">
        <f t="shared" si="120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8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  <c r="Q4061" s="2"/>
      <c r="R4061" s="2"/>
    </row>
    <row r="4062" spans="1:18" ht="19.5" hidden="1" thickBot="1" x14ac:dyDescent="0.3">
      <c r="A4062" s="503">
        <f t="shared" si="120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8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  <c r="Q4062" s="2"/>
      <c r="R4062" s="2"/>
    </row>
    <row r="4063" spans="1:18" ht="38.25" hidden="1" thickBot="1" x14ac:dyDescent="0.3">
      <c r="A4063" s="513">
        <f t="shared" si="120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8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  <c r="Q4063" s="2"/>
      <c r="R4063" s="2"/>
    </row>
    <row r="4064" spans="1:18" ht="19.5" hidden="1" thickBot="1" x14ac:dyDescent="0.3">
      <c r="A4064" s="966">
        <f t="shared" si="120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976" t="s">
        <v>467</v>
      </c>
      <c r="H4064" s="535" t="s">
        <v>909</v>
      </c>
      <c r="I4064" s="537" t="s">
        <v>909</v>
      </c>
      <c r="J4064" s="538"/>
      <c r="K4064" s="535" t="str">
        <f t="shared" si="118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  <c r="Q4064" s="2"/>
      <c r="R4064" s="2"/>
    </row>
    <row r="4065" spans="1:18" ht="19.5" hidden="1" thickBot="1" x14ac:dyDescent="0.3">
      <c r="A4065" s="968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975"/>
      <c r="H4065" s="640" t="s">
        <v>909</v>
      </c>
      <c r="I4065" s="642" t="s">
        <v>909</v>
      </c>
      <c r="J4065" s="643"/>
      <c r="K4065" s="640" t="str">
        <f t="shared" si="118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  <c r="Q4065" s="2"/>
      <c r="R4065" s="2"/>
    </row>
    <row r="4066" spans="1:18" ht="19.5" hidden="1" thickBot="1" x14ac:dyDescent="0.3">
      <c r="A4066" s="954">
        <f t="shared" si="120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8"/>
        <v>05,25</v>
      </c>
      <c r="L4066" s="483" t="s">
        <v>266</v>
      </c>
      <c r="M4066" s="483">
        <v>3015</v>
      </c>
      <c r="N4066" s="486">
        <v>0.625</v>
      </c>
      <c r="O4066" s="2"/>
      <c r="P4066" s="2"/>
      <c r="Q4066" s="2"/>
      <c r="R4066" s="2"/>
    </row>
    <row r="4067" spans="1:18" ht="19.5" hidden="1" thickBot="1" x14ac:dyDescent="0.3">
      <c r="A4067" s="955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8"/>
        <v>05,25</v>
      </c>
      <c r="L4067" s="527" t="s">
        <v>266</v>
      </c>
      <c r="M4067" s="527">
        <v>7028.4</v>
      </c>
      <c r="N4067" s="530">
        <v>0.625</v>
      </c>
      <c r="O4067" s="2"/>
      <c r="P4067" s="2"/>
      <c r="Q4067" s="2"/>
      <c r="R4067" s="2"/>
    </row>
    <row r="4068" spans="1:18" ht="19.5" hidden="1" thickBot="1" x14ac:dyDescent="0.3">
      <c r="A4068" s="955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8"/>
        <v>05,25</v>
      </c>
      <c r="L4068" s="527" t="s">
        <v>266</v>
      </c>
      <c r="M4068" s="527">
        <v>831.8</v>
      </c>
      <c r="N4068" s="530">
        <v>0.625</v>
      </c>
      <c r="O4068" s="2"/>
      <c r="P4068" s="2"/>
      <c r="Q4068" s="2"/>
      <c r="R4068" s="2"/>
    </row>
    <row r="4069" spans="1:18" ht="19.5" hidden="1" thickBot="1" x14ac:dyDescent="0.3">
      <c r="A4069" s="955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8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  <c r="Q4069" s="2"/>
      <c r="R4069" s="2"/>
    </row>
    <row r="4070" spans="1:18" ht="19.5" hidden="1" thickBot="1" x14ac:dyDescent="0.3">
      <c r="A4070" s="955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8"/>
        <v>05,25</v>
      </c>
      <c r="L4070" s="499" t="s">
        <v>266</v>
      </c>
      <c r="M4070" s="499">
        <v>1428</v>
      </c>
      <c r="N4070" s="502">
        <v>0.625</v>
      </c>
      <c r="O4070" s="2"/>
      <c r="P4070" s="2"/>
      <c r="Q4070" s="2"/>
      <c r="R4070" s="2"/>
    </row>
    <row r="4071" spans="1:18" ht="19.5" hidden="1" thickBot="1" x14ac:dyDescent="0.3">
      <c r="A4071" s="966">
        <f t="shared" si="120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8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  <c r="Q4071" s="2"/>
      <c r="R4071" s="2"/>
    </row>
    <row r="4072" spans="1:18" ht="19.5" hidden="1" thickBot="1" x14ac:dyDescent="0.3">
      <c r="A4072" s="968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8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  <c r="Q4072" s="2"/>
      <c r="R4072" s="2"/>
    </row>
    <row r="4073" spans="1:18" ht="19.5" hidden="1" thickBot="1" x14ac:dyDescent="0.3">
      <c r="A4073" s="513">
        <f t="shared" si="120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8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  <c r="Q4073" s="2"/>
      <c r="R4073" s="2"/>
    </row>
    <row r="4074" spans="1:18" ht="19.5" hidden="1" thickBot="1" x14ac:dyDescent="0.3">
      <c r="A4074" s="503">
        <f t="shared" si="120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8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  <c r="Q4074" s="2"/>
      <c r="R4074" s="2"/>
    </row>
    <row r="4075" spans="1:18" ht="19.5" hidden="1" thickBot="1" x14ac:dyDescent="0.3">
      <c r="A4075" s="572">
        <f t="shared" si="120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8"/>
        <v>05,25</v>
      </c>
      <c r="L4075" s="577" t="s">
        <v>28</v>
      </c>
      <c r="M4075" s="577">
        <v>11197.56</v>
      </c>
      <c r="N4075" s="581">
        <v>0.5</v>
      </c>
      <c r="O4075" s="2"/>
      <c r="P4075" s="2"/>
      <c r="Q4075" s="2"/>
      <c r="R4075" s="2"/>
    </row>
    <row r="4076" spans="1:18" ht="19.5" hidden="1" thickBot="1" x14ac:dyDescent="0.3">
      <c r="A4076" s="503">
        <f t="shared" si="120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8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  <c r="Q4076" s="2"/>
      <c r="R4076" s="2"/>
    </row>
    <row r="4077" spans="1:18" ht="19.5" hidden="1" thickBot="1" x14ac:dyDescent="0.3">
      <c r="A4077" s="954">
        <f t="shared" si="120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8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  <c r="Q4077" s="2"/>
      <c r="R4077" s="2"/>
    </row>
    <row r="4078" spans="1:18" ht="57" hidden="1" thickBot="1" x14ac:dyDescent="0.3">
      <c r="A4078" s="956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8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  <c r="Q4078" s="2"/>
      <c r="R4078" s="2"/>
    </row>
    <row r="4079" spans="1:18" ht="19.5" hidden="1" thickBot="1" x14ac:dyDescent="0.3">
      <c r="A4079" s="503">
        <f t="shared" si="120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8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  <c r="Q4079" s="2"/>
      <c r="R4079" s="2"/>
    </row>
    <row r="4080" spans="1:18" ht="19.5" hidden="1" thickBot="1" x14ac:dyDescent="0.3">
      <c r="A4080" s="513">
        <f t="shared" si="120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8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  <c r="Q4080" s="2"/>
      <c r="R4080" s="2"/>
    </row>
    <row r="4081" spans="1:18" ht="19.5" hidden="1" thickBot="1" x14ac:dyDescent="0.3">
      <c r="A4081" s="503">
        <f t="shared" si="120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8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  <c r="Q4081" s="2"/>
      <c r="R4081" s="2"/>
    </row>
    <row r="4082" spans="1:18" ht="19.5" hidden="1" thickBot="1" x14ac:dyDescent="0.3">
      <c r="A4082" s="954">
        <f t="shared" si="120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8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  <c r="Q4082" s="2"/>
      <c r="R4082" s="2"/>
    </row>
    <row r="4083" spans="1:18" ht="19.5" hidden="1" thickBot="1" x14ac:dyDescent="0.3">
      <c r="A4083" s="955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8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  <c r="Q4083" s="2"/>
      <c r="R4083" s="2"/>
    </row>
    <row r="4084" spans="1:18" ht="19.5" hidden="1" thickBot="1" x14ac:dyDescent="0.3">
      <c r="A4084" s="956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8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  <c r="Q4084" s="2"/>
      <c r="R4084" s="2"/>
    </row>
    <row r="4085" spans="1:18" ht="19.5" hidden="1" thickBot="1" x14ac:dyDescent="0.3">
      <c r="A4085" s="966">
        <f t="shared" si="120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8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  <c r="Q4085" s="2"/>
      <c r="R4085" s="2"/>
    </row>
    <row r="4086" spans="1:18" ht="19.5" hidden="1" thickBot="1" x14ac:dyDescent="0.3">
      <c r="A4086" s="968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8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  <c r="Q4086" s="2"/>
      <c r="R4086" s="2"/>
    </row>
    <row r="4087" spans="1:18" ht="19.5" hidden="1" thickBot="1" x14ac:dyDescent="0.3">
      <c r="A4087" s="954">
        <f t="shared" si="120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8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  <c r="Q4087" s="2"/>
      <c r="R4087" s="2"/>
    </row>
    <row r="4088" spans="1:18" ht="19.5" hidden="1" thickBot="1" x14ac:dyDescent="0.3">
      <c r="A4088" s="955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8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  <c r="Q4088" s="2"/>
      <c r="R4088" s="2"/>
    </row>
    <row r="4089" spans="1:18" ht="19.5" hidden="1" thickBot="1" x14ac:dyDescent="0.3">
      <c r="A4089" s="955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8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  <c r="Q4089" s="2"/>
      <c r="R4089" s="2"/>
    </row>
    <row r="4090" spans="1:18" ht="25.5" hidden="1" customHeight="1" x14ac:dyDescent="0.25">
      <c r="A4090" s="966">
        <f t="shared" si="120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976" t="s">
        <v>916</v>
      </c>
      <c r="H4090" s="535" t="s">
        <v>911</v>
      </c>
      <c r="I4090" s="537" t="s">
        <v>915</v>
      </c>
      <c r="J4090" s="538"/>
      <c r="K4090" s="535" t="str">
        <f t="shared" si="118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  <c r="Q4090" s="2"/>
      <c r="R4090" s="2"/>
    </row>
    <row r="4091" spans="1:18" ht="25.5" hidden="1" customHeight="1" x14ac:dyDescent="0.25">
      <c r="A4091" s="967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969"/>
      <c r="H4091" s="567" t="s">
        <v>911</v>
      </c>
      <c r="I4091" s="569" t="s">
        <v>915</v>
      </c>
      <c r="J4091" s="570"/>
      <c r="K4091" s="567" t="str">
        <f t="shared" si="118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  <c r="Q4091" s="2"/>
      <c r="R4091" s="2"/>
    </row>
    <row r="4092" spans="1:18" ht="25.5" hidden="1" customHeight="1" thickBot="1" x14ac:dyDescent="0.3">
      <c r="A4092" s="968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975"/>
      <c r="H4092" s="640" t="s">
        <v>911</v>
      </c>
      <c r="I4092" s="642" t="s">
        <v>915</v>
      </c>
      <c r="J4092" s="643"/>
      <c r="K4092" s="640" t="str">
        <f t="shared" si="118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  <c r="Q4092" s="2"/>
      <c r="R4092" s="2"/>
    </row>
    <row r="4093" spans="1:18" ht="19.5" hidden="1" thickBot="1" x14ac:dyDescent="0.3">
      <c r="A4093" s="513">
        <f t="shared" si="120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8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  <c r="Q4093" s="2"/>
      <c r="R4093" s="2"/>
    </row>
    <row r="4094" spans="1:18" ht="19.5" hidden="1" thickBot="1" x14ac:dyDescent="0.3">
      <c r="A4094" s="503">
        <f t="shared" si="120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8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  <c r="Q4094" s="2"/>
      <c r="R4094" s="2"/>
    </row>
    <row r="4095" spans="1:18" ht="19.5" hidden="1" thickBot="1" x14ac:dyDescent="0.3">
      <c r="A4095" s="513">
        <f t="shared" si="120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8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  <c r="Q4095" s="2"/>
      <c r="R4095" s="2"/>
    </row>
    <row r="4096" spans="1:18" ht="19.5" hidden="1" thickBot="1" x14ac:dyDescent="0.3">
      <c r="A4096" s="966">
        <f t="shared" si="120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8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  <c r="Q4096" s="2"/>
      <c r="R4096" s="2"/>
    </row>
    <row r="4097" spans="1:18" ht="19.5" hidden="1" thickBot="1" x14ac:dyDescent="0.3">
      <c r="A4097" s="968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8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  <c r="Q4097" s="2"/>
      <c r="R4097" s="2"/>
    </row>
    <row r="4098" spans="1:18" ht="19.5" hidden="1" thickBot="1" x14ac:dyDescent="0.3">
      <c r="A4098" s="513">
        <f t="shared" si="120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8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  <c r="Q4098" s="2"/>
      <c r="R4098" s="2"/>
    </row>
    <row r="4099" spans="1:18" ht="19.5" hidden="1" thickBot="1" x14ac:dyDescent="0.3">
      <c r="A4099" s="966">
        <f t="shared" si="120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8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  <c r="Q4099" s="2"/>
      <c r="R4099" s="2"/>
    </row>
    <row r="4100" spans="1:18" ht="19.5" hidden="1" thickBot="1" x14ac:dyDescent="0.3">
      <c r="A4100" s="967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8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  <c r="Q4100" s="2"/>
      <c r="R4100" s="2"/>
    </row>
    <row r="4101" spans="1:18" ht="19.5" hidden="1" thickBot="1" x14ac:dyDescent="0.3">
      <c r="A4101" s="968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8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  <c r="Q4101" s="2"/>
      <c r="R4101" s="2"/>
    </row>
    <row r="4102" spans="1:18" ht="19.5" hidden="1" thickBot="1" x14ac:dyDescent="0.3">
      <c r="A4102" s="513">
        <f t="shared" si="120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8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  <c r="Q4102" s="2"/>
      <c r="R4102" s="2"/>
    </row>
    <row r="4103" spans="1:18" ht="38.25" hidden="1" thickBot="1" x14ac:dyDescent="0.3">
      <c r="A4103" s="551">
        <f t="shared" si="120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8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  <c r="Q4103" s="2"/>
      <c r="R4103" s="2"/>
    </row>
    <row r="4104" spans="1:18" ht="19.5" hidden="1" thickBot="1" x14ac:dyDescent="0.3">
      <c r="A4104" s="513">
        <f t="shared" si="120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8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  <c r="Q4104" s="2"/>
      <c r="R4104" s="2"/>
    </row>
    <row r="4105" spans="1:18" ht="19.5" hidden="1" thickBot="1" x14ac:dyDescent="0.3">
      <c r="A4105" s="503">
        <f t="shared" si="120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8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  <c r="Q4105" s="2"/>
      <c r="R4105" s="2"/>
    </row>
    <row r="4106" spans="1:18" ht="19.5" hidden="1" thickBot="1" x14ac:dyDescent="0.3">
      <c r="A4106" s="954">
        <f t="shared" si="120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8"/>
        <v>06,25</v>
      </c>
      <c r="L4106" s="483" t="s">
        <v>266</v>
      </c>
      <c r="M4106" s="483">
        <v>5229.3</v>
      </c>
      <c r="N4106" s="486">
        <v>0.5</v>
      </c>
      <c r="O4106" s="2"/>
      <c r="P4106" s="2"/>
      <c r="Q4106" s="2"/>
      <c r="R4106" s="2"/>
    </row>
    <row r="4107" spans="1:18" ht="19.5" hidden="1" thickBot="1" x14ac:dyDescent="0.3">
      <c r="A4107" s="955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8"/>
        <v>06,25</v>
      </c>
      <c r="L4107" s="527" t="s">
        <v>266</v>
      </c>
      <c r="M4107" s="527">
        <v>7640.03</v>
      </c>
      <c r="N4107" s="530">
        <v>0.5</v>
      </c>
      <c r="O4107" s="2"/>
      <c r="P4107" s="2"/>
      <c r="Q4107" s="2"/>
      <c r="R4107" s="2"/>
    </row>
    <row r="4108" spans="1:18" ht="19.5" hidden="1" thickBot="1" x14ac:dyDescent="0.3">
      <c r="A4108" s="956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8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  <c r="Q4108" s="2"/>
      <c r="R4108" s="2"/>
    </row>
    <row r="4109" spans="1:18" ht="19.5" hidden="1" thickBot="1" x14ac:dyDescent="0.3">
      <c r="A4109" s="966">
        <f t="shared" si="120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8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  <c r="Q4109" s="2"/>
      <c r="R4109" s="2"/>
    </row>
    <row r="4110" spans="1:18" ht="19.5" hidden="1" thickBot="1" x14ac:dyDescent="0.3">
      <c r="A4110" s="967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8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  <c r="Q4110" s="2"/>
      <c r="R4110" s="2"/>
    </row>
    <row r="4111" spans="1:18" ht="19.5" hidden="1" thickBot="1" x14ac:dyDescent="0.3">
      <c r="A4111" s="967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8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  <c r="Q4111" s="2"/>
      <c r="R4111" s="2"/>
    </row>
    <row r="4112" spans="1:18" ht="19.5" hidden="1" thickBot="1" x14ac:dyDescent="0.3">
      <c r="A4112" s="967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8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  <c r="Q4112" s="2"/>
      <c r="R4112" s="2"/>
    </row>
    <row r="4113" spans="1:18" ht="19.5" hidden="1" thickBot="1" x14ac:dyDescent="0.3">
      <c r="A4113" s="967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8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  <c r="Q4113" s="2"/>
      <c r="R4113" s="2"/>
    </row>
    <row r="4114" spans="1:18" ht="19.5" hidden="1" thickBot="1" x14ac:dyDescent="0.3">
      <c r="A4114" s="954">
        <f t="shared" si="120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8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  <c r="Q4114" s="2"/>
      <c r="R4114" s="2"/>
    </row>
    <row r="4115" spans="1:18" ht="19.5" hidden="1" thickBot="1" x14ac:dyDescent="0.3">
      <c r="A4115" s="956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8"/>
        <v>06,25</v>
      </c>
      <c r="L4115" s="649" t="s">
        <v>265</v>
      </c>
      <c r="M4115" s="649">
        <v>8655.4</v>
      </c>
      <c r="N4115" s="653">
        <v>0.375</v>
      </c>
      <c r="O4115" s="2"/>
      <c r="P4115" s="2"/>
      <c r="Q4115" s="2"/>
      <c r="R4115" s="2"/>
    </row>
    <row r="4116" spans="1:18" ht="19.5" hidden="1" thickBot="1" x14ac:dyDescent="0.3">
      <c r="A4116" s="503">
        <f t="shared" si="120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8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  <c r="Q4116" s="2"/>
      <c r="R4116" s="2"/>
    </row>
    <row r="4117" spans="1:18" ht="19.5" hidden="1" thickBot="1" x14ac:dyDescent="0.3">
      <c r="A4117" s="513">
        <f t="shared" si="120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8"/>
        <v>06,25</v>
      </c>
      <c r="L4117" s="518" t="s">
        <v>265</v>
      </c>
      <c r="M4117" s="518">
        <v>12661</v>
      </c>
      <c r="N4117" s="522">
        <v>0.375</v>
      </c>
      <c r="O4117" s="2"/>
      <c r="P4117" s="2"/>
      <c r="Q4117" s="2"/>
      <c r="R4117" s="2"/>
    </row>
    <row r="4118" spans="1:18" ht="19.5" hidden="1" thickBot="1" x14ac:dyDescent="0.3">
      <c r="A4118" s="551">
        <f t="shared" si="120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8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  <c r="Q4118" s="2"/>
      <c r="R4118" s="2"/>
    </row>
    <row r="4119" spans="1:18" ht="19.5" hidden="1" thickBot="1" x14ac:dyDescent="0.3">
      <c r="A4119" s="513">
        <f t="shared" si="120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8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  <c r="Q4119" s="2"/>
      <c r="R4119" s="2"/>
    </row>
    <row r="4120" spans="1:18" ht="19.5" hidden="1" thickBot="1" x14ac:dyDescent="0.3">
      <c r="A4120" s="966">
        <f t="shared" si="120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8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  <c r="Q4120" s="2"/>
      <c r="R4120" s="2"/>
    </row>
    <row r="4121" spans="1:18" ht="19.5" hidden="1" thickBot="1" x14ac:dyDescent="0.3">
      <c r="A4121" s="967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8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  <c r="Q4121" s="2"/>
      <c r="R4121" s="2"/>
    </row>
    <row r="4122" spans="1:18" ht="19.5" hidden="1" thickBot="1" x14ac:dyDescent="0.3">
      <c r="A4122" s="968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8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  <c r="Q4122" s="2"/>
      <c r="R4122" s="2"/>
    </row>
    <row r="4123" spans="1:18" ht="19.5" hidden="1" thickBot="1" x14ac:dyDescent="0.3">
      <c r="A4123" s="954">
        <f t="shared" ref="A4123:A4186" si="121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8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  <c r="Q4123" s="2"/>
      <c r="R4123" s="2"/>
    </row>
    <row r="4124" spans="1:18" ht="19.5" hidden="1" thickBot="1" x14ac:dyDescent="0.3">
      <c r="A4124" s="955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8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  <c r="Q4124" s="2"/>
      <c r="R4124" s="2"/>
    </row>
    <row r="4125" spans="1:18" ht="19.5" hidden="1" thickBot="1" x14ac:dyDescent="0.3">
      <c r="A4125" s="955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8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  <c r="Q4125" s="2"/>
      <c r="R4125" s="2"/>
    </row>
    <row r="4126" spans="1:18" ht="19.5" hidden="1" thickBot="1" x14ac:dyDescent="0.3">
      <c r="A4126" s="956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8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  <c r="Q4126" s="2"/>
      <c r="R4126" s="2"/>
    </row>
    <row r="4127" spans="1:18" ht="19.5" hidden="1" thickBot="1" x14ac:dyDescent="0.3">
      <c r="A4127" s="503">
        <f t="shared" si="121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8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  <c r="Q4127" s="2"/>
      <c r="R4127" s="2"/>
    </row>
    <row r="4128" spans="1:18" ht="19.5" hidden="1" thickBot="1" x14ac:dyDescent="0.3">
      <c r="A4128" s="572">
        <f t="shared" si="121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8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  <c r="Q4128" s="2"/>
      <c r="R4128" s="2"/>
    </row>
    <row r="4129" spans="1:18" ht="19.5" hidden="1" thickBot="1" x14ac:dyDescent="0.3">
      <c r="A4129" s="503">
        <f t="shared" si="121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8"/>
        <v>06,25</v>
      </c>
      <c r="L4129" s="508" t="s">
        <v>28</v>
      </c>
      <c r="M4129" s="508">
        <v>12558.6</v>
      </c>
      <c r="N4129" s="512">
        <v>0.5</v>
      </c>
      <c r="O4129" s="2"/>
      <c r="P4129" s="2"/>
      <c r="Q4129" s="2"/>
      <c r="R4129" s="2"/>
    </row>
    <row r="4130" spans="1:18" ht="19.5" hidden="1" thickBot="1" x14ac:dyDescent="0.3">
      <c r="A4130" s="513">
        <f t="shared" si="121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8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  <c r="Q4130" s="2"/>
      <c r="R4130" s="2"/>
    </row>
    <row r="4131" spans="1:18" ht="19.5" hidden="1" thickBot="1" x14ac:dyDescent="0.3">
      <c r="A4131" s="966">
        <f t="shared" si="121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8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  <c r="Q4131" s="2"/>
      <c r="R4131" s="2"/>
    </row>
    <row r="4132" spans="1:18" ht="19.5" hidden="1" thickBot="1" x14ac:dyDescent="0.3">
      <c r="A4132" s="968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8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  <c r="Q4132" s="2"/>
      <c r="R4132" s="2"/>
    </row>
    <row r="4133" spans="1:18" ht="19.5" hidden="1" thickBot="1" x14ac:dyDescent="0.3">
      <c r="A4133" s="954">
        <f t="shared" si="121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8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  <c r="Q4133" s="2"/>
      <c r="R4133" s="2"/>
    </row>
    <row r="4134" spans="1:18" ht="19.5" hidden="1" thickBot="1" x14ac:dyDescent="0.3">
      <c r="A4134" s="955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8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  <c r="Q4134" s="2"/>
      <c r="R4134" s="2"/>
    </row>
    <row r="4135" spans="1:18" ht="19.5" hidden="1" thickBot="1" x14ac:dyDescent="0.3">
      <c r="A4135" s="955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8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  <c r="Q4135" s="2"/>
      <c r="R4135" s="2"/>
    </row>
    <row r="4136" spans="1:18" ht="19.5" hidden="1" thickBot="1" x14ac:dyDescent="0.3">
      <c r="A4136" s="956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8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  <c r="Q4136" s="2"/>
      <c r="R4136" s="2"/>
    </row>
    <row r="4137" spans="1:18" ht="19.5" hidden="1" thickBot="1" x14ac:dyDescent="0.3">
      <c r="A4137" s="503">
        <f t="shared" si="121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8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  <c r="Q4137" s="2"/>
      <c r="R4137" s="2"/>
    </row>
    <row r="4138" spans="1:18" ht="19.5" hidden="1" thickBot="1" x14ac:dyDescent="0.3">
      <c r="A4138" s="954">
        <f t="shared" si="121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8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  <c r="Q4138" s="2"/>
      <c r="R4138" s="2"/>
    </row>
    <row r="4139" spans="1:18" ht="19.5" hidden="1" thickBot="1" x14ac:dyDescent="0.3">
      <c r="A4139" s="956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8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  <c r="Q4139" s="2"/>
      <c r="R4139" s="2"/>
    </row>
    <row r="4140" spans="1:18" ht="19.5" hidden="1" thickBot="1" x14ac:dyDescent="0.3">
      <c r="A4140" s="966">
        <f t="shared" si="121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8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  <c r="Q4140" s="2"/>
      <c r="R4140" s="2"/>
    </row>
    <row r="4141" spans="1:18" ht="19.5" hidden="1" thickBot="1" x14ac:dyDescent="0.3">
      <c r="A4141" s="967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8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  <c r="Q4141" s="2"/>
      <c r="R4141" s="2"/>
    </row>
    <row r="4142" spans="1:18" ht="19.5" hidden="1" thickBot="1" x14ac:dyDescent="0.3">
      <c r="A4142" s="967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8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  <c r="Q4142" s="2"/>
      <c r="R4142" s="2"/>
    </row>
    <row r="4143" spans="1:18" ht="38.25" hidden="1" thickBot="1" x14ac:dyDescent="0.3">
      <c r="A4143" s="513">
        <f t="shared" si="121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8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  <c r="Q4143" s="2"/>
      <c r="R4143" s="2"/>
    </row>
    <row r="4144" spans="1:18" ht="38.25" hidden="1" thickBot="1" x14ac:dyDescent="0.3">
      <c r="A4144" s="503">
        <f t="shared" si="121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8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  <c r="Q4144" s="2"/>
      <c r="R4144" s="2"/>
    </row>
    <row r="4145" spans="1:18" ht="19.5" hidden="1" thickBot="1" x14ac:dyDescent="0.3">
      <c r="A4145" s="954">
        <f t="shared" si="121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8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  <c r="Q4145" s="2"/>
      <c r="R4145" s="2"/>
    </row>
    <row r="4146" spans="1:18" ht="19.5" hidden="1" thickBot="1" x14ac:dyDescent="0.3">
      <c r="A4146" s="956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8"/>
        <v>06,25</v>
      </c>
      <c r="L4146" s="649" t="s">
        <v>266</v>
      </c>
      <c r="M4146" s="649">
        <v>3180.04</v>
      </c>
      <c r="N4146" s="653">
        <v>0.5</v>
      </c>
      <c r="O4146" s="2"/>
      <c r="P4146" s="2"/>
      <c r="Q4146" s="2"/>
      <c r="R4146" s="2"/>
    </row>
    <row r="4147" spans="1:18" ht="57" hidden="1" thickBot="1" x14ac:dyDescent="0.3">
      <c r="A4147" s="503">
        <f t="shared" si="121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8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  <c r="Q4147" s="2"/>
      <c r="R4147" s="2"/>
    </row>
    <row r="4148" spans="1:18" ht="19.5" hidden="1" thickBot="1" x14ac:dyDescent="0.3">
      <c r="A4148" s="572">
        <f t="shared" si="121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8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  <c r="Q4148" s="2"/>
      <c r="R4148" s="2"/>
    </row>
    <row r="4149" spans="1:18" ht="19.5" hidden="1" thickBot="1" x14ac:dyDescent="0.3">
      <c r="A4149" s="503">
        <f t="shared" si="121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8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  <c r="Q4149" s="2"/>
      <c r="R4149" s="2"/>
    </row>
    <row r="4150" spans="1:18" ht="19.5" hidden="1" thickBot="1" x14ac:dyDescent="0.3">
      <c r="A4150" s="513">
        <f t="shared" si="121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8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  <c r="Q4150" s="2"/>
      <c r="R4150" s="2"/>
    </row>
    <row r="4151" spans="1:18" ht="19.5" hidden="1" thickBot="1" x14ac:dyDescent="0.3">
      <c r="A4151" s="503">
        <f t="shared" si="121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8"/>
        <v>06,25</v>
      </c>
      <c r="L4151" s="508" t="s">
        <v>266</v>
      </c>
      <c r="M4151" s="508">
        <v>18009</v>
      </c>
      <c r="N4151" s="512">
        <v>0.5</v>
      </c>
      <c r="O4151" s="2"/>
      <c r="P4151" s="2"/>
      <c r="Q4151" s="2"/>
      <c r="R4151" s="2"/>
    </row>
    <row r="4152" spans="1:18" ht="19.5" hidden="1" thickBot="1" x14ac:dyDescent="0.3">
      <c r="A4152" s="513">
        <f t="shared" si="121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8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  <c r="Q4152" s="2"/>
      <c r="R4152" s="2"/>
    </row>
    <row r="4153" spans="1:18" ht="19.5" hidden="1" thickBot="1" x14ac:dyDescent="0.3">
      <c r="A4153" s="966">
        <f t="shared" si="121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8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  <c r="Q4153" s="2"/>
      <c r="R4153" s="2"/>
    </row>
    <row r="4154" spans="1:18" ht="19.5" hidden="1" thickBot="1" x14ac:dyDescent="0.3">
      <c r="A4154" s="967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8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  <c r="Q4154" s="2"/>
      <c r="R4154" s="2"/>
    </row>
    <row r="4155" spans="1:18" ht="19.5" hidden="1" thickBot="1" x14ac:dyDescent="0.3">
      <c r="A4155" s="967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8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  <c r="Q4155" s="2"/>
      <c r="R4155" s="2"/>
    </row>
    <row r="4156" spans="1:18" ht="19.5" hidden="1" thickBot="1" x14ac:dyDescent="0.3">
      <c r="A4156" s="967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8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  <c r="Q4156" s="2"/>
      <c r="R4156" s="2"/>
    </row>
    <row r="4157" spans="1:18" ht="19.5" hidden="1" thickBot="1" x14ac:dyDescent="0.3">
      <c r="A4157" s="967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8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  <c r="Q4157" s="2"/>
      <c r="R4157" s="2"/>
    </row>
    <row r="4158" spans="1:18" ht="19.5" hidden="1" thickBot="1" x14ac:dyDescent="0.3">
      <c r="A4158" s="954">
        <f t="shared" si="121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8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  <c r="Q4158" s="2"/>
      <c r="R4158" s="2"/>
    </row>
    <row r="4159" spans="1:18" ht="19.5" hidden="1" thickBot="1" x14ac:dyDescent="0.3">
      <c r="A4159" s="956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8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  <c r="Q4159" s="2"/>
      <c r="R4159" s="2"/>
    </row>
    <row r="4160" spans="1:18" ht="19.5" hidden="1" thickBot="1" x14ac:dyDescent="0.3">
      <c r="A4160" s="503">
        <f t="shared" si="121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8"/>
        <v>06,25</v>
      </c>
      <c r="L4160" s="508" t="s">
        <v>265</v>
      </c>
      <c r="M4160" s="508">
        <v>17728</v>
      </c>
      <c r="N4160" s="512">
        <v>0.375</v>
      </c>
      <c r="O4160" s="2"/>
      <c r="P4160" s="2"/>
      <c r="Q4160" s="2"/>
      <c r="R4160" s="2"/>
    </row>
    <row r="4161" spans="1:18" ht="19.5" hidden="1" thickBot="1" x14ac:dyDescent="0.3">
      <c r="A4161" s="513">
        <f t="shared" si="121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8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  <c r="Q4161" s="2"/>
      <c r="R4161" s="2"/>
    </row>
    <row r="4162" spans="1:18" ht="19.5" hidden="1" thickBot="1" x14ac:dyDescent="0.3">
      <c r="A4162" s="551">
        <f t="shared" si="121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8"/>
        <v>06,25</v>
      </c>
      <c r="L4162" s="556" t="s">
        <v>28</v>
      </c>
      <c r="M4162" s="556">
        <v>9242.16</v>
      </c>
      <c r="N4162" s="560">
        <v>0.5</v>
      </c>
      <c r="O4162" s="2"/>
      <c r="P4162" s="2"/>
      <c r="Q4162" s="2"/>
      <c r="R4162" s="2"/>
    </row>
    <row r="4163" spans="1:18" ht="19.5" hidden="1" thickBot="1" x14ac:dyDescent="0.3">
      <c r="A4163" s="513">
        <f t="shared" si="121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8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  <c r="Q4163" s="2"/>
      <c r="R4163" s="2"/>
    </row>
    <row r="4164" spans="1:18" ht="19.5" hidden="1" thickBot="1" x14ac:dyDescent="0.3">
      <c r="A4164" s="966">
        <f t="shared" si="121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8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  <c r="Q4164" s="2"/>
      <c r="R4164" s="2"/>
    </row>
    <row r="4165" spans="1:18" ht="19.5" hidden="1" thickBot="1" x14ac:dyDescent="0.3">
      <c r="A4165" s="967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8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  <c r="Q4165" s="2"/>
      <c r="R4165" s="2"/>
    </row>
    <row r="4166" spans="1:18" ht="19.5" hidden="1" thickBot="1" x14ac:dyDescent="0.3">
      <c r="A4166" s="968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8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  <c r="Q4166" s="2"/>
      <c r="R4166" s="2"/>
    </row>
    <row r="4167" spans="1:18" ht="19.5" hidden="1" thickBot="1" x14ac:dyDescent="0.3">
      <c r="A4167" s="954">
        <f t="shared" si="121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8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  <c r="Q4167" s="2"/>
      <c r="R4167" s="2"/>
    </row>
    <row r="4168" spans="1:18" ht="19.5" hidden="1" thickBot="1" x14ac:dyDescent="0.3">
      <c r="A4168" s="956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8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  <c r="Q4168" s="2"/>
      <c r="R4168" s="2"/>
    </row>
    <row r="4169" spans="1:18" ht="19.5" hidden="1" thickBot="1" x14ac:dyDescent="0.3">
      <c r="A4169" s="966">
        <f t="shared" si="121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8"/>
        <v>06,25</v>
      </c>
      <c r="L4169" s="535" t="s">
        <v>28</v>
      </c>
      <c r="M4169" s="535">
        <v>15468.61</v>
      </c>
      <c r="N4169" s="539">
        <v>0.5</v>
      </c>
      <c r="O4169" s="2"/>
      <c r="P4169" s="2"/>
      <c r="Q4169" s="2"/>
      <c r="R4169" s="2"/>
    </row>
    <row r="4170" spans="1:18" ht="19.5" hidden="1" thickBot="1" x14ac:dyDescent="0.3">
      <c r="A4170" s="968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8"/>
        <v>06,25</v>
      </c>
      <c r="L4170" s="640" t="s">
        <v>28</v>
      </c>
      <c r="M4170" s="640">
        <v>1806.6</v>
      </c>
      <c r="N4170" s="644">
        <v>0.5</v>
      </c>
      <c r="O4170" s="2"/>
      <c r="P4170" s="2"/>
      <c r="Q4170" s="2"/>
      <c r="R4170" s="2"/>
    </row>
    <row r="4171" spans="1:18" ht="19.5" hidden="1" thickBot="1" x14ac:dyDescent="0.3">
      <c r="A4171" s="954">
        <f t="shared" si="121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8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  <c r="Q4171" s="2"/>
      <c r="R4171" s="2"/>
    </row>
    <row r="4172" spans="1:18" ht="19.5" hidden="1" thickBot="1" x14ac:dyDescent="0.3">
      <c r="A4172" s="956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8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  <c r="Q4172" s="2"/>
      <c r="R4172" s="2"/>
    </row>
    <row r="4173" spans="1:18" ht="19.5" hidden="1" thickBot="1" x14ac:dyDescent="0.3">
      <c r="A4173" s="503">
        <f t="shared" si="121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8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  <c r="Q4173" s="2"/>
      <c r="R4173" s="2"/>
    </row>
    <row r="4174" spans="1:18" ht="19.5" hidden="1" thickBot="1" x14ac:dyDescent="0.3">
      <c r="A4174" s="572">
        <f t="shared" si="121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8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  <c r="Q4174" s="2"/>
      <c r="R4174" s="2"/>
    </row>
    <row r="4175" spans="1:18" ht="19.5" hidden="1" thickBot="1" x14ac:dyDescent="0.3">
      <c r="A4175" s="503">
        <f t="shared" si="121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8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  <c r="Q4175" s="2"/>
      <c r="R4175" s="2"/>
    </row>
    <row r="4176" spans="1:18" ht="19.5" hidden="1" thickBot="1" x14ac:dyDescent="0.3">
      <c r="A4176" s="513">
        <f t="shared" si="121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8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  <c r="Q4176" s="2"/>
      <c r="R4176" s="2"/>
    </row>
    <row r="4177" spans="1:18" ht="19.5" hidden="1" thickBot="1" x14ac:dyDescent="0.3">
      <c r="A4177" s="503">
        <f t="shared" si="121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8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  <c r="Q4177" s="2"/>
      <c r="R4177" s="2"/>
    </row>
    <row r="4178" spans="1:18" ht="19.5" hidden="1" thickBot="1" x14ac:dyDescent="0.3">
      <c r="A4178" s="954">
        <f t="shared" si="121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8"/>
        <v>06,25</v>
      </c>
      <c r="L4178" s="483" t="s">
        <v>28</v>
      </c>
      <c r="M4178" s="483">
        <v>3541.32</v>
      </c>
      <c r="N4178" s="486">
        <v>0.5</v>
      </c>
      <c r="O4178" s="2"/>
      <c r="P4178" s="2"/>
      <c r="Q4178" s="2"/>
      <c r="R4178" s="2"/>
    </row>
    <row r="4179" spans="1:18" ht="19.5" hidden="1" thickBot="1" x14ac:dyDescent="0.3">
      <c r="A4179" s="955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8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  <c r="Q4179" s="2"/>
      <c r="R4179" s="2"/>
    </row>
    <row r="4180" spans="1:18" ht="19.5" hidden="1" thickBot="1" x14ac:dyDescent="0.3">
      <c r="A4180" s="956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8"/>
        <v>06,25</v>
      </c>
      <c r="L4180" s="649" t="s">
        <v>28</v>
      </c>
      <c r="M4180" s="649">
        <v>8735.4</v>
      </c>
      <c r="N4180" s="653">
        <v>0.5</v>
      </c>
      <c r="O4180" s="2"/>
      <c r="P4180" s="2"/>
      <c r="Q4180" s="2"/>
      <c r="R4180" s="2"/>
    </row>
    <row r="4181" spans="1:18" ht="19.5" hidden="1" thickBot="1" x14ac:dyDescent="0.3">
      <c r="A4181" s="503">
        <f t="shared" si="121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8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  <c r="Q4181" s="2"/>
      <c r="R4181" s="2"/>
    </row>
    <row r="4182" spans="1:18" ht="19.5" hidden="1" thickBot="1" x14ac:dyDescent="0.3">
      <c r="A4182" s="954">
        <f t="shared" si="121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8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  <c r="Q4182" s="2"/>
      <c r="R4182" s="2"/>
    </row>
    <row r="4183" spans="1:18" ht="19.5" hidden="1" thickBot="1" x14ac:dyDescent="0.3">
      <c r="A4183" s="956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8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  <c r="Q4183" s="2"/>
      <c r="R4183" s="2"/>
    </row>
    <row r="4184" spans="1:18" ht="19.5" hidden="1" thickBot="1" x14ac:dyDescent="0.3">
      <c r="A4184" s="966">
        <f t="shared" si="121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8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  <c r="Q4184" s="2"/>
      <c r="R4184" s="2"/>
    </row>
    <row r="4185" spans="1:18" ht="19.5" hidden="1" thickBot="1" x14ac:dyDescent="0.3">
      <c r="A4185" s="968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8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  <c r="Q4185" s="2"/>
      <c r="R4185" s="2"/>
    </row>
    <row r="4186" spans="1:18" ht="19.5" hidden="1" thickBot="1" x14ac:dyDescent="0.3">
      <c r="A4186" s="513">
        <f t="shared" si="121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8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  <c r="Q4186" s="2"/>
      <c r="R4186" s="2"/>
    </row>
    <row r="4187" spans="1:18" ht="19.5" hidden="1" thickBot="1" x14ac:dyDescent="0.3">
      <c r="A4187" s="503">
        <f t="shared" ref="A4187:A4250" si="122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8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  <c r="Q4187" s="2"/>
      <c r="R4187" s="2"/>
    </row>
    <row r="4188" spans="1:18" ht="57" hidden="1" thickBot="1" x14ac:dyDescent="0.3">
      <c r="A4188" s="572">
        <f t="shared" si="122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8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  <c r="Q4188" s="2"/>
      <c r="R4188" s="2"/>
    </row>
    <row r="4189" spans="1:18" ht="19.5" hidden="1" thickBot="1" x14ac:dyDescent="0.3">
      <c r="A4189" s="503">
        <f t="shared" si="122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8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  <c r="Q4189" s="2"/>
      <c r="R4189" s="2"/>
    </row>
    <row r="4190" spans="1:18" ht="19.5" hidden="1" thickBot="1" x14ac:dyDescent="0.3">
      <c r="A4190" s="513">
        <f t="shared" si="122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8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  <c r="Q4190" s="2"/>
      <c r="R4190" s="2"/>
    </row>
    <row r="4191" spans="1:18" ht="19.5" hidden="1" thickBot="1" x14ac:dyDescent="0.3">
      <c r="A4191" s="503">
        <f t="shared" si="122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8"/>
        <v>06,25</v>
      </c>
      <c r="L4191" s="508" t="s">
        <v>266</v>
      </c>
      <c r="M4191" s="508">
        <v>18019.8</v>
      </c>
      <c r="N4191" s="512">
        <v>0.5</v>
      </c>
      <c r="O4191" s="2"/>
      <c r="P4191" s="2"/>
      <c r="Q4191" s="2"/>
      <c r="R4191" s="2"/>
    </row>
    <row r="4192" spans="1:18" ht="19.5" hidden="1" thickBot="1" x14ac:dyDescent="0.3">
      <c r="A4192" s="513">
        <f t="shared" si="122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8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  <c r="Q4192" s="2"/>
      <c r="R4192" s="2"/>
    </row>
    <row r="4193" spans="1:18" ht="19.5" hidden="1" thickBot="1" x14ac:dyDescent="0.3">
      <c r="A4193" s="966">
        <f t="shared" si="122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8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  <c r="Q4193" s="2"/>
      <c r="R4193" s="2"/>
    </row>
    <row r="4194" spans="1:18" ht="19.5" hidden="1" thickBot="1" x14ac:dyDescent="0.3">
      <c r="A4194" s="967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8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  <c r="Q4194" s="2"/>
      <c r="R4194" s="2"/>
    </row>
    <row r="4195" spans="1:18" ht="19.5" hidden="1" thickBot="1" x14ac:dyDescent="0.3">
      <c r="A4195" s="968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8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  <c r="Q4195" s="2"/>
      <c r="R4195" s="2"/>
    </row>
    <row r="4196" spans="1:18" ht="19.5" hidden="1" thickBot="1" x14ac:dyDescent="0.3">
      <c r="A4196" s="954">
        <f t="shared" si="122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8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  <c r="Q4196" s="2"/>
      <c r="R4196" s="2"/>
    </row>
    <row r="4197" spans="1:18" ht="19.5" hidden="1" thickBot="1" x14ac:dyDescent="0.3">
      <c r="A4197" s="955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8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  <c r="Q4197" s="2"/>
      <c r="R4197" s="2"/>
    </row>
    <row r="4198" spans="1:18" ht="19.5" hidden="1" thickBot="1" x14ac:dyDescent="0.3">
      <c r="A4198" s="955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8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  <c r="Q4198" s="2"/>
      <c r="R4198" s="2"/>
    </row>
    <row r="4199" spans="1:18" ht="19.5" hidden="1" thickBot="1" x14ac:dyDescent="0.3">
      <c r="A4199" s="955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8"/>
        <v>06,25</v>
      </c>
      <c r="L4199" s="527" t="s">
        <v>266</v>
      </c>
      <c r="M4199" s="527">
        <v>4553.2</v>
      </c>
      <c r="N4199" s="530">
        <v>0.625</v>
      </c>
      <c r="O4199" s="2"/>
      <c r="P4199" s="2"/>
      <c r="Q4199" s="2"/>
      <c r="R4199" s="2"/>
    </row>
    <row r="4200" spans="1:18" ht="19.5" hidden="1" thickBot="1" x14ac:dyDescent="0.3">
      <c r="A4200" s="956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8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  <c r="Q4200" s="2"/>
      <c r="R4200" s="2"/>
    </row>
    <row r="4201" spans="1:18" ht="38.25" hidden="1" thickBot="1" x14ac:dyDescent="0.3">
      <c r="A4201" s="503">
        <f t="shared" si="122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8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  <c r="Q4201" s="2"/>
      <c r="R4201" s="2"/>
    </row>
    <row r="4202" spans="1:18" ht="19.5" hidden="1" thickBot="1" x14ac:dyDescent="0.3">
      <c r="A4202" s="954">
        <f t="shared" si="122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8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  <c r="Q4202" s="2"/>
      <c r="R4202" s="2"/>
    </row>
    <row r="4203" spans="1:18" ht="19.5" hidden="1" thickBot="1" x14ac:dyDescent="0.3">
      <c r="A4203" s="955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8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  <c r="Q4203" s="2"/>
      <c r="R4203" s="2"/>
    </row>
    <row r="4204" spans="1:18" ht="19.5" hidden="1" thickBot="1" x14ac:dyDescent="0.3">
      <c r="A4204" s="966">
        <f t="shared" si="122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8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  <c r="Q4204" s="2"/>
      <c r="R4204" s="2"/>
    </row>
    <row r="4205" spans="1:18" ht="19.5" hidden="1" thickBot="1" x14ac:dyDescent="0.3">
      <c r="A4205" s="968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8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  <c r="Q4205" s="2"/>
      <c r="R4205" s="2"/>
    </row>
    <row r="4206" spans="1:18" ht="19.5" hidden="1" thickBot="1" x14ac:dyDescent="0.3">
      <c r="A4206" s="513">
        <f t="shared" si="122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8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  <c r="Q4206" s="2"/>
      <c r="R4206" s="2"/>
    </row>
    <row r="4207" spans="1:18" ht="19.5" hidden="1" thickBot="1" x14ac:dyDescent="0.3">
      <c r="A4207" s="503">
        <f t="shared" si="122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8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  <c r="Q4207" s="2"/>
      <c r="R4207" s="2"/>
    </row>
    <row r="4208" spans="1:18" ht="19.5" hidden="1" thickBot="1" x14ac:dyDescent="0.3">
      <c r="A4208" s="572">
        <f t="shared" si="122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8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  <c r="Q4208" s="2"/>
      <c r="R4208" s="2"/>
    </row>
    <row r="4209" spans="1:18" ht="57" hidden="1" thickBot="1" x14ac:dyDescent="0.3">
      <c r="A4209" s="966">
        <f t="shared" si="122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8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  <c r="Q4209" s="2"/>
      <c r="R4209" s="2"/>
    </row>
    <row r="4210" spans="1:18" ht="19.5" hidden="1" thickBot="1" x14ac:dyDescent="0.3">
      <c r="A4210" s="968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8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  <c r="Q4210" s="2"/>
      <c r="R4210" s="2"/>
    </row>
    <row r="4211" spans="1:18" ht="19.5" hidden="1" thickBot="1" x14ac:dyDescent="0.3">
      <c r="A4211" s="513">
        <f t="shared" si="122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8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  <c r="Q4211" s="2"/>
      <c r="R4211" s="2"/>
    </row>
    <row r="4212" spans="1:18" ht="19.5" hidden="1" thickBot="1" x14ac:dyDescent="0.3">
      <c r="A4212" s="966">
        <f t="shared" si="122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8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  <c r="Q4212" s="2"/>
      <c r="R4212" s="2"/>
    </row>
    <row r="4213" spans="1:18" ht="19.5" hidden="1" thickBot="1" x14ac:dyDescent="0.3">
      <c r="A4213" s="968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8"/>
        <v>06,25</v>
      </c>
      <c r="L4213" s="640" t="s">
        <v>28</v>
      </c>
      <c r="M4213" s="640">
        <v>14629.57</v>
      </c>
      <c r="N4213" s="644">
        <v>0.5</v>
      </c>
      <c r="O4213" s="2"/>
      <c r="P4213" s="2"/>
      <c r="Q4213" s="2"/>
      <c r="R4213" s="2"/>
    </row>
    <row r="4214" spans="1:18" ht="19.5" hidden="1" thickBot="1" x14ac:dyDescent="0.3">
      <c r="A4214" s="954">
        <f t="shared" si="122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8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  <c r="Q4214" s="2"/>
      <c r="R4214" s="2"/>
    </row>
    <row r="4215" spans="1:18" ht="19.5" hidden="1" thickBot="1" x14ac:dyDescent="0.3">
      <c r="A4215" s="955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8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  <c r="Q4215" s="2"/>
      <c r="R4215" s="2"/>
    </row>
    <row r="4216" spans="1:18" ht="19.5" hidden="1" thickBot="1" x14ac:dyDescent="0.3">
      <c r="A4216" s="956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3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  <c r="Q4216" s="2"/>
      <c r="R4216" s="2"/>
    </row>
    <row r="4217" spans="1:18" ht="19.5" hidden="1" thickBot="1" x14ac:dyDescent="0.3">
      <c r="A4217" s="503">
        <f t="shared" si="122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3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  <c r="Q4217" s="2"/>
      <c r="R4217" s="2"/>
    </row>
    <row r="4218" spans="1:18" ht="19.5" hidden="1" thickBot="1" x14ac:dyDescent="0.3">
      <c r="A4218" s="513">
        <f t="shared" si="122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3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  <c r="Q4218" s="2"/>
      <c r="R4218" s="2"/>
    </row>
    <row r="4219" spans="1:18" ht="19.5" hidden="1" thickBot="1" x14ac:dyDescent="0.3">
      <c r="A4219" s="551">
        <f t="shared" si="122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3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  <c r="Q4219" s="2"/>
      <c r="R4219" s="2"/>
    </row>
    <row r="4220" spans="1:18" ht="19.5" hidden="1" thickBot="1" x14ac:dyDescent="0.3">
      <c r="A4220" s="513">
        <f t="shared" si="122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3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  <c r="Q4220" s="2"/>
      <c r="R4220" s="2"/>
    </row>
    <row r="4221" spans="1:18" ht="19.5" hidden="1" thickBot="1" x14ac:dyDescent="0.3">
      <c r="A4221" s="503">
        <f t="shared" si="122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3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  <c r="Q4221" s="2"/>
      <c r="R4221" s="2"/>
    </row>
    <row r="4222" spans="1:18" ht="19.5" hidden="1" thickBot="1" x14ac:dyDescent="0.3">
      <c r="A4222" s="513">
        <f t="shared" si="122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3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  <c r="Q4222" s="2"/>
      <c r="R4222" s="2"/>
    </row>
    <row r="4223" spans="1:18" ht="19.5" hidden="1" thickBot="1" x14ac:dyDescent="0.3">
      <c r="A4223" s="966">
        <f t="shared" si="122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3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  <c r="Q4223" s="2"/>
      <c r="R4223" s="2"/>
    </row>
    <row r="4224" spans="1:18" ht="19.5" hidden="1" thickBot="1" x14ac:dyDescent="0.3">
      <c r="A4224" s="967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3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  <c r="Q4224" s="2"/>
      <c r="R4224" s="2"/>
    </row>
    <row r="4225" spans="1:18" ht="19.5" hidden="1" thickBot="1" x14ac:dyDescent="0.3">
      <c r="A4225" s="967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3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  <c r="Q4225" s="2"/>
      <c r="R4225" s="2"/>
    </row>
    <row r="4226" spans="1:18" ht="19.5" hidden="1" thickBot="1" x14ac:dyDescent="0.3">
      <c r="A4226" s="968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3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  <c r="Q4226" s="2"/>
      <c r="R4226" s="2"/>
    </row>
    <row r="4227" spans="1:18" ht="19.5" hidden="1" thickBot="1" x14ac:dyDescent="0.3">
      <c r="A4227" s="954">
        <f t="shared" si="122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3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  <c r="Q4227" s="2"/>
      <c r="R4227" s="2"/>
    </row>
    <row r="4228" spans="1:18" ht="19.5" hidden="1" thickBot="1" x14ac:dyDescent="0.3">
      <c r="A4228" s="955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3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  <c r="Q4228" s="2"/>
      <c r="R4228" s="2"/>
    </row>
    <row r="4229" spans="1:18" ht="19.5" hidden="1" thickBot="1" x14ac:dyDescent="0.3">
      <c r="A4229" s="956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3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  <c r="Q4229" s="2"/>
      <c r="R4229" s="2"/>
    </row>
    <row r="4230" spans="1:18" ht="19.5" hidden="1" thickBot="1" x14ac:dyDescent="0.3">
      <c r="A4230" s="503">
        <f t="shared" si="122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3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  <c r="Q4230" s="2"/>
      <c r="R4230" s="2"/>
    </row>
    <row r="4231" spans="1:18" ht="37.5" hidden="1" customHeight="1" x14ac:dyDescent="0.25">
      <c r="A4231" s="954">
        <f t="shared" si="122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963" t="s">
        <v>939</v>
      </c>
      <c r="H4231" s="483" t="s">
        <v>938</v>
      </c>
      <c r="I4231" s="484" t="s">
        <v>938</v>
      </c>
      <c r="J4231" s="485"/>
      <c r="K4231" s="483" t="str">
        <f t="shared" si="123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  <c r="Q4231" s="2"/>
      <c r="R4231" s="2"/>
    </row>
    <row r="4232" spans="1:18" ht="37.5" hidden="1" customHeight="1" thickBot="1" x14ac:dyDescent="0.3">
      <c r="A4232" s="956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965"/>
      <c r="H4232" s="649" t="s">
        <v>938</v>
      </c>
      <c r="I4232" s="651" t="s">
        <v>938</v>
      </c>
      <c r="J4232" s="652"/>
      <c r="K4232" s="649" t="str">
        <f t="shared" si="123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  <c r="Q4232" s="2"/>
      <c r="R4232" s="2"/>
    </row>
    <row r="4233" spans="1:18" ht="19.5" hidden="1" thickBot="1" x14ac:dyDescent="0.3">
      <c r="A4233" s="966">
        <f t="shared" si="122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3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  <c r="Q4233" s="2"/>
      <c r="R4233" s="2"/>
    </row>
    <row r="4234" spans="1:18" ht="19.5" hidden="1" thickBot="1" x14ac:dyDescent="0.3">
      <c r="A4234" s="967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3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  <c r="Q4234" s="2"/>
      <c r="R4234" s="2"/>
    </row>
    <row r="4235" spans="1:18" ht="19.5" hidden="1" thickBot="1" x14ac:dyDescent="0.3">
      <c r="A4235" s="968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3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  <c r="Q4235" s="2"/>
      <c r="R4235" s="2"/>
    </row>
    <row r="4236" spans="1:18" ht="19.5" hidden="1" thickBot="1" x14ac:dyDescent="0.3">
      <c r="A4236" s="513">
        <f t="shared" si="122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3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  <c r="Q4236" s="2"/>
      <c r="R4236" s="2"/>
    </row>
    <row r="4237" spans="1:18" ht="19.5" hidden="1" thickBot="1" x14ac:dyDescent="0.3">
      <c r="A4237" s="966">
        <f t="shared" si="122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3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  <c r="Q4237" s="2"/>
      <c r="R4237" s="2"/>
    </row>
    <row r="4238" spans="1:18" ht="19.5" hidden="1" thickBot="1" x14ac:dyDescent="0.3">
      <c r="A4238" s="967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3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  <c r="Q4238" s="2"/>
      <c r="R4238" s="2"/>
    </row>
    <row r="4239" spans="1:18" ht="19.5" hidden="1" thickBot="1" x14ac:dyDescent="0.3">
      <c r="A4239" s="968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3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  <c r="Q4239" s="2"/>
      <c r="R4239" s="2"/>
    </row>
    <row r="4240" spans="1:18" ht="19.5" hidden="1" thickBot="1" x14ac:dyDescent="0.3">
      <c r="A4240" s="954">
        <f t="shared" si="122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3"/>
        <v>06,25</v>
      </c>
      <c r="L4240" s="483" t="s">
        <v>28</v>
      </c>
      <c r="M4240" s="483">
        <v>2854.8</v>
      </c>
      <c r="N4240" s="486">
        <v>0.5</v>
      </c>
      <c r="O4240" s="2"/>
      <c r="P4240" s="2"/>
      <c r="Q4240" s="2"/>
      <c r="R4240" s="2"/>
    </row>
    <row r="4241" spans="1:18" ht="19.5" hidden="1" thickBot="1" x14ac:dyDescent="0.3">
      <c r="A4241" s="955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3"/>
        <v>06,25</v>
      </c>
      <c r="L4241" s="527" t="s">
        <v>28</v>
      </c>
      <c r="M4241" s="527">
        <v>32.4</v>
      </c>
      <c r="N4241" s="530">
        <v>0.5</v>
      </c>
      <c r="O4241" s="2"/>
      <c r="P4241" s="2"/>
      <c r="Q4241" s="2"/>
      <c r="R4241" s="2"/>
    </row>
    <row r="4242" spans="1:18" ht="19.5" hidden="1" thickBot="1" x14ac:dyDescent="0.3">
      <c r="A4242" s="955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3"/>
        <v>06,25</v>
      </c>
      <c r="L4242" s="527" t="s">
        <v>28</v>
      </c>
      <c r="M4242" s="527">
        <v>8532.64</v>
      </c>
      <c r="N4242" s="530">
        <v>0.5</v>
      </c>
      <c r="O4242" s="2"/>
      <c r="P4242" s="2"/>
      <c r="Q4242" s="2"/>
      <c r="R4242" s="2"/>
    </row>
    <row r="4243" spans="1:18" ht="19.5" hidden="1" thickBot="1" x14ac:dyDescent="0.3">
      <c r="A4243" s="956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3"/>
        <v>06,25</v>
      </c>
      <c r="L4243" s="649" t="s">
        <v>28</v>
      </c>
      <c r="M4243" s="649">
        <v>32.4</v>
      </c>
      <c r="N4243" s="653">
        <v>0.5</v>
      </c>
      <c r="O4243" s="2"/>
      <c r="P4243" s="2"/>
      <c r="Q4243" s="2"/>
      <c r="R4243" s="2"/>
    </row>
    <row r="4244" spans="1:18" ht="19.5" hidden="1" thickBot="1" x14ac:dyDescent="0.3">
      <c r="A4244" s="503">
        <f t="shared" si="122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3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  <c r="Q4244" s="2"/>
      <c r="R4244" s="2"/>
    </row>
    <row r="4245" spans="1:18" ht="19.5" hidden="1" thickBot="1" x14ac:dyDescent="0.3">
      <c r="A4245" s="954">
        <f t="shared" si="122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3"/>
        <v>06,25</v>
      </c>
      <c r="L4245" s="483" t="s">
        <v>266</v>
      </c>
      <c r="M4245" s="483">
        <v>14117.48</v>
      </c>
      <c r="N4245" s="486">
        <v>0.5</v>
      </c>
      <c r="O4245" s="2"/>
      <c r="P4245" s="2"/>
      <c r="Q4245" s="2"/>
      <c r="R4245" s="2"/>
    </row>
    <row r="4246" spans="1:18" ht="19.5" hidden="1" thickBot="1" x14ac:dyDescent="0.3">
      <c r="A4246" s="956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3"/>
        <v>06,25</v>
      </c>
      <c r="L4246" s="649" t="s">
        <v>266</v>
      </c>
      <c r="M4246" s="649">
        <v>3217.04</v>
      </c>
      <c r="N4246" s="653">
        <v>0.5</v>
      </c>
      <c r="O4246" s="2"/>
      <c r="P4246" s="2"/>
      <c r="Q4246" s="2"/>
      <c r="R4246" s="2"/>
    </row>
    <row r="4247" spans="1:18" ht="57" hidden="1" thickBot="1" x14ac:dyDescent="0.3">
      <c r="A4247" s="551">
        <f t="shared" si="122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3"/>
        <v>06,25</v>
      </c>
      <c r="L4247" s="556" t="s">
        <v>28</v>
      </c>
      <c r="M4247" s="556">
        <v>7128.46</v>
      </c>
      <c r="N4247" s="560">
        <v>0.375</v>
      </c>
      <c r="O4247" s="2"/>
      <c r="P4247" s="2"/>
      <c r="Q4247" s="2"/>
      <c r="R4247" s="2"/>
    </row>
    <row r="4248" spans="1:18" ht="19.5" hidden="1" thickBot="1" x14ac:dyDescent="0.3">
      <c r="A4248" s="513">
        <f t="shared" si="122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3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  <c r="Q4248" s="2"/>
      <c r="R4248" s="2"/>
    </row>
    <row r="4249" spans="1:18" ht="19.5" hidden="1" thickBot="1" x14ac:dyDescent="0.3">
      <c r="A4249" s="503">
        <f t="shared" si="122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3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  <c r="Q4249" s="2"/>
      <c r="R4249" s="2"/>
    </row>
    <row r="4250" spans="1:18" ht="19.5" hidden="1" thickBot="1" x14ac:dyDescent="0.3">
      <c r="A4250" s="513">
        <f t="shared" si="122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3"/>
        <v>06,25</v>
      </c>
      <c r="L4250" s="518" t="s">
        <v>266</v>
      </c>
      <c r="M4250" s="518">
        <v>18009.72</v>
      </c>
      <c r="N4250" s="522">
        <v>0.5</v>
      </c>
      <c r="O4250" s="2"/>
      <c r="P4250" s="2"/>
      <c r="Q4250" s="2"/>
      <c r="R4250" s="2"/>
    </row>
    <row r="4251" spans="1:18" ht="24" hidden="1" customHeight="1" x14ac:dyDescent="0.25">
      <c r="A4251" s="966">
        <f t="shared" ref="A4251:A4311" si="124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976" t="s">
        <v>943</v>
      </c>
      <c r="H4251" s="535" t="s">
        <v>942</v>
      </c>
      <c r="I4251" s="537" t="s">
        <v>942</v>
      </c>
      <c r="J4251" s="538"/>
      <c r="K4251" s="535" t="str">
        <f t="shared" si="123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  <c r="Q4251" s="2"/>
      <c r="R4251" s="2"/>
    </row>
    <row r="4252" spans="1:18" ht="24" hidden="1" customHeight="1" x14ac:dyDescent="0.25">
      <c r="A4252" s="967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969"/>
      <c r="H4252" s="567" t="s">
        <v>942</v>
      </c>
      <c r="I4252" s="569" t="s">
        <v>942</v>
      </c>
      <c r="J4252" s="570"/>
      <c r="K4252" s="567" t="str">
        <f t="shared" si="123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  <c r="Q4252" s="2"/>
      <c r="R4252" s="2"/>
    </row>
    <row r="4253" spans="1:18" ht="24" hidden="1" customHeight="1" x14ac:dyDescent="0.25">
      <c r="A4253" s="967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969"/>
      <c r="H4253" s="567" t="s">
        <v>942</v>
      </c>
      <c r="I4253" s="569" t="s">
        <v>942</v>
      </c>
      <c r="J4253" s="570"/>
      <c r="K4253" s="567" t="str">
        <f t="shared" si="123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  <c r="Q4253" s="2"/>
      <c r="R4253" s="2"/>
    </row>
    <row r="4254" spans="1:18" ht="24" hidden="1" customHeight="1" thickBot="1" x14ac:dyDescent="0.3">
      <c r="A4254" s="968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975"/>
      <c r="H4254" s="640" t="s">
        <v>942</v>
      </c>
      <c r="I4254" s="642" t="s">
        <v>944</v>
      </c>
      <c r="J4254" s="643"/>
      <c r="K4254" s="640" t="str">
        <f t="shared" si="123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  <c r="Q4254" s="2"/>
      <c r="R4254" s="2"/>
    </row>
    <row r="4255" spans="1:18" ht="19.5" hidden="1" thickBot="1" x14ac:dyDescent="0.3">
      <c r="A4255" s="954">
        <f t="shared" si="124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3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  <c r="Q4255" s="2"/>
      <c r="R4255" s="2"/>
    </row>
    <row r="4256" spans="1:18" ht="19.5" hidden="1" thickBot="1" x14ac:dyDescent="0.3">
      <c r="A4256" s="955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3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  <c r="Q4256" s="2"/>
      <c r="R4256" s="2"/>
    </row>
    <row r="4257" spans="1:18" ht="19.5" hidden="1" thickBot="1" x14ac:dyDescent="0.3">
      <c r="A4257" s="956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3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  <c r="Q4257" s="2"/>
      <c r="R4257" s="2"/>
    </row>
    <row r="4258" spans="1:18" ht="38.25" hidden="1" thickBot="1" x14ac:dyDescent="0.3">
      <c r="A4258" s="551">
        <f t="shared" si="124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3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  <c r="Q4258" s="2"/>
      <c r="R4258" s="2"/>
    </row>
    <row r="4259" spans="1:18" ht="19.5" hidden="1" thickBot="1" x14ac:dyDescent="0.3">
      <c r="A4259" s="954">
        <f t="shared" si="124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3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  <c r="Q4259" s="2"/>
      <c r="R4259" s="2"/>
    </row>
    <row r="4260" spans="1:18" ht="19.5" hidden="1" thickBot="1" x14ac:dyDescent="0.3">
      <c r="A4260" s="956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3"/>
        <v>06,25</v>
      </c>
      <c r="L4260" s="649" t="s">
        <v>265</v>
      </c>
      <c r="M4260" s="649">
        <v>5962.8</v>
      </c>
      <c r="N4260" s="653">
        <v>0.375</v>
      </c>
      <c r="O4260" s="2"/>
      <c r="P4260" s="2"/>
      <c r="Q4260" s="2"/>
      <c r="R4260" s="2"/>
    </row>
    <row r="4261" spans="1:18" ht="19.5" hidden="1" thickBot="1" x14ac:dyDescent="0.3">
      <c r="A4261" s="503">
        <f t="shared" si="124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3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  <c r="Q4261" s="2"/>
      <c r="R4261" s="2"/>
    </row>
    <row r="4262" spans="1:18" ht="19.5" hidden="1" thickBot="1" x14ac:dyDescent="0.3">
      <c r="A4262" s="513">
        <f t="shared" si="124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3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  <c r="Q4262" s="2"/>
      <c r="R4262" s="2"/>
    </row>
    <row r="4263" spans="1:18" ht="19.5" hidden="1" thickBot="1" x14ac:dyDescent="0.3">
      <c r="A4263" s="551">
        <f t="shared" si="124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3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  <c r="Q4263" s="2"/>
      <c r="R4263" s="2"/>
    </row>
    <row r="4264" spans="1:18" ht="38.25" hidden="1" thickBot="1" x14ac:dyDescent="0.3">
      <c r="A4264" s="513">
        <f t="shared" si="124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3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  <c r="Q4264" s="2"/>
      <c r="R4264" s="2"/>
    </row>
    <row r="4265" spans="1:18" ht="19.5" hidden="1" thickBot="1" x14ac:dyDescent="0.3">
      <c r="A4265" s="503">
        <f t="shared" si="124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3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  <c r="Q4265" s="2"/>
      <c r="R4265" s="2"/>
    </row>
    <row r="4266" spans="1:18" ht="19.5" hidden="1" thickBot="1" x14ac:dyDescent="0.3">
      <c r="A4266" s="513">
        <f t="shared" si="124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3"/>
        <v>06,25</v>
      </c>
      <c r="L4266" s="518" t="s">
        <v>265</v>
      </c>
      <c r="M4266" s="518">
        <v>13744</v>
      </c>
      <c r="N4266" s="522">
        <v>0.375</v>
      </c>
      <c r="O4266" s="2"/>
      <c r="P4266" s="2"/>
      <c r="Q4266" s="2"/>
      <c r="R4266" s="2"/>
    </row>
    <row r="4267" spans="1:18" ht="19.5" hidden="1" thickBot="1" x14ac:dyDescent="0.3">
      <c r="A4267" s="966">
        <f t="shared" si="124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3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  <c r="Q4267" s="2"/>
      <c r="R4267" s="2"/>
    </row>
    <row r="4268" spans="1:18" ht="19.5" hidden="1" thickBot="1" x14ac:dyDescent="0.3">
      <c r="A4268" s="967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3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  <c r="Q4268" s="2"/>
      <c r="R4268" s="2"/>
    </row>
    <row r="4269" spans="1:18" ht="19.5" hidden="1" thickBot="1" x14ac:dyDescent="0.3">
      <c r="A4269" s="968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3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  <c r="Q4269" s="2"/>
      <c r="R4269" s="2"/>
    </row>
    <row r="4270" spans="1:18" ht="19.5" hidden="1" thickBot="1" x14ac:dyDescent="0.3">
      <c r="A4270" s="954">
        <f t="shared" si="124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3"/>
        <v>06,25</v>
      </c>
      <c r="L4270" s="483" t="s">
        <v>28</v>
      </c>
      <c r="M4270" s="483">
        <v>12523.94</v>
      </c>
      <c r="N4270" s="486">
        <v>0.5</v>
      </c>
      <c r="O4270" s="2"/>
      <c r="P4270" s="2"/>
      <c r="Q4270" s="2"/>
      <c r="R4270" s="2"/>
    </row>
    <row r="4271" spans="1:18" ht="19.5" hidden="1" thickBot="1" x14ac:dyDescent="0.3">
      <c r="A4271" s="956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3"/>
        <v>06,25</v>
      </c>
      <c r="L4271" s="649" t="s">
        <v>28</v>
      </c>
      <c r="M4271" s="649">
        <v>4844.78</v>
      </c>
      <c r="N4271" s="653">
        <v>0.5</v>
      </c>
      <c r="O4271" s="2"/>
      <c r="P4271" s="2"/>
      <c r="Q4271" s="2"/>
      <c r="R4271" s="2"/>
    </row>
    <row r="4272" spans="1:18" ht="19.5" hidden="1" thickBot="1" x14ac:dyDescent="0.3">
      <c r="A4272" s="966">
        <f t="shared" si="124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3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  <c r="Q4272" s="2"/>
      <c r="R4272" s="2"/>
    </row>
    <row r="4273" spans="1:18" ht="19.5" hidden="1" thickBot="1" x14ac:dyDescent="0.3">
      <c r="A4273" s="967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3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  <c r="Q4273" s="2"/>
      <c r="R4273" s="2"/>
    </row>
    <row r="4274" spans="1:18" ht="19.5" hidden="1" thickBot="1" x14ac:dyDescent="0.3">
      <c r="A4274" s="967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3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  <c r="Q4274" s="2"/>
      <c r="R4274" s="2"/>
    </row>
    <row r="4275" spans="1:18" ht="19.5" hidden="1" thickBot="1" x14ac:dyDescent="0.3">
      <c r="A4275" s="513">
        <f t="shared" si="124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3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  <c r="Q4275" s="2"/>
      <c r="R4275" s="2"/>
    </row>
    <row r="4276" spans="1:18" ht="19.5" hidden="1" thickBot="1" x14ac:dyDescent="0.3">
      <c r="A4276" s="503">
        <f t="shared" si="124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3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  <c r="Q4276" s="2"/>
      <c r="R4276" s="2"/>
    </row>
    <row r="4277" spans="1:18" ht="19.5" hidden="1" thickBot="1" x14ac:dyDescent="0.3">
      <c r="A4277" s="513">
        <f t="shared" si="124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3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  <c r="Q4277" s="2"/>
      <c r="R4277" s="2"/>
    </row>
    <row r="4278" spans="1:18" ht="38.25" hidden="1" customHeight="1" x14ac:dyDescent="0.25">
      <c r="A4278" s="966">
        <f t="shared" si="124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976" t="s">
        <v>916</v>
      </c>
      <c r="H4278" s="535" t="s">
        <v>946</v>
      </c>
      <c r="I4278" s="537" t="s">
        <v>946</v>
      </c>
      <c r="J4278" s="538"/>
      <c r="K4278" s="535" t="str">
        <f t="shared" si="123"/>
        <v>06,25</v>
      </c>
      <c r="L4278" s="535" t="s">
        <v>28</v>
      </c>
      <c r="M4278" s="535">
        <v>1088.22</v>
      </c>
      <c r="N4278" s="539">
        <v>0.5</v>
      </c>
      <c r="O4278" s="2"/>
      <c r="P4278" s="2"/>
      <c r="Q4278" s="2"/>
      <c r="R4278" s="2"/>
    </row>
    <row r="4279" spans="1:18" ht="38.25" hidden="1" customHeight="1" thickBot="1" x14ac:dyDescent="0.3">
      <c r="A4279" s="968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975"/>
      <c r="H4279" s="640" t="s">
        <v>946</v>
      </c>
      <c r="I4279" s="642" t="s">
        <v>946</v>
      </c>
      <c r="J4279" s="643"/>
      <c r="K4279" s="640" t="str">
        <f t="shared" si="123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  <c r="Q4279" s="2"/>
      <c r="R4279" s="2"/>
    </row>
    <row r="4280" spans="1:18" ht="19.5" hidden="1" thickBot="1" x14ac:dyDescent="0.3">
      <c r="A4280" s="513">
        <f t="shared" si="124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3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  <c r="Q4280" s="2"/>
      <c r="R4280" s="2"/>
    </row>
    <row r="4281" spans="1:18" ht="19.5" hidden="1" thickBot="1" x14ac:dyDescent="0.3">
      <c r="A4281" s="503">
        <f t="shared" si="124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3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  <c r="Q4281" s="2"/>
      <c r="R4281" s="2"/>
    </row>
    <row r="4282" spans="1:18" ht="19.5" hidden="1" thickBot="1" x14ac:dyDescent="0.3">
      <c r="A4282" s="954">
        <f t="shared" si="124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3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  <c r="Q4282" s="2"/>
      <c r="R4282" s="2"/>
    </row>
    <row r="4283" spans="1:18" ht="19.5" hidden="1" thickBot="1" x14ac:dyDescent="0.3">
      <c r="A4283" s="956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3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  <c r="Q4283" s="2"/>
      <c r="R4283" s="2"/>
    </row>
    <row r="4284" spans="1:18" ht="19.5" hidden="1" thickBot="1" x14ac:dyDescent="0.3">
      <c r="A4284" s="966">
        <f t="shared" si="124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3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  <c r="Q4284" s="2"/>
      <c r="R4284" s="2"/>
    </row>
    <row r="4285" spans="1:18" ht="19.5" hidden="1" thickBot="1" x14ac:dyDescent="0.3">
      <c r="A4285" s="967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3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  <c r="Q4285" s="2"/>
      <c r="R4285" s="2"/>
    </row>
    <row r="4286" spans="1:18" ht="19.5" hidden="1" thickBot="1" x14ac:dyDescent="0.3">
      <c r="A4286" s="968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3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  <c r="Q4286" s="2"/>
      <c r="R4286" s="2"/>
    </row>
    <row r="4287" spans="1:18" ht="19.5" hidden="1" thickBot="1" x14ac:dyDescent="0.3">
      <c r="A4287" s="513">
        <f t="shared" si="124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3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  <c r="Q4287" s="2"/>
      <c r="R4287" s="2"/>
    </row>
    <row r="4288" spans="1:18" ht="19.5" hidden="1" thickBot="1" x14ac:dyDescent="0.3">
      <c r="A4288" s="966">
        <f t="shared" si="124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3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  <c r="Q4288" s="2"/>
      <c r="R4288" s="2"/>
    </row>
    <row r="4289" spans="1:18" ht="19.5" hidden="1" thickBot="1" x14ac:dyDescent="0.3">
      <c r="A4289" s="968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3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  <c r="Q4289" s="2"/>
      <c r="R4289" s="2"/>
    </row>
    <row r="4290" spans="1:18" ht="19.5" hidden="1" thickBot="1" x14ac:dyDescent="0.3">
      <c r="A4290" s="954">
        <f t="shared" si="124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3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  <c r="Q4290" s="2"/>
      <c r="R4290" s="2"/>
    </row>
    <row r="4291" spans="1:18" ht="19.5" hidden="1" thickBot="1" x14ac:dyDescent="0.3">
      <c r="A4291" s="956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3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  <c r="Q4291" s="2"/>
      <c r="R4291" s="2"/>
    </row>
    <row r="4292" spans="1:18" ht="19.5" hidden="1" thickBot="1" x14ac:dyDescent="0.3">
      <c r="A4292" s="966">
        <f t="shared" si="124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3"/>
        <v>06,25</v>
      </c>
      <c r="L4292" s="535" t="s">
        <v>28</v>
      </c>
      <c r="M4292" s="535">
        <v>6562.8</v>
      </c>
      <c r="N4292" s="539">
        <v>0.5</v>
      </c>
      <c r="O4292" s="2"/>
      <c r="P4292" s="2"/>
      <c r="Q4292" s="2"/>
      <c r="R4292" s="2"/>
    </row>
    <row r="4293" spans="1:18" ht="19.5" hidden="1" thickBot="1" x14ac:dyDescent="0.3">
      <c r="A4293" s="967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3"/>
        <v>06,25</v>
      </c>
      <c r="L4293" s="594" t="s">
        <v>28</v>
      </c>
      <c r="M4293" s="594">
        <v>5117.04</v>
      </c>
      <c r="N4293" s="598">
        <v>0.5</v>
      </c>
      <c r="O4293" s="2"/>
      <c r="P4293" s="2"/>
      <c r="Q4293" s="2"/>
      <c r="R4293" s="2"/>
    </row>
    <row r="4294" spans="1:18" ht="19.5" hidden="1" thickBot="1" x14ac:dyDescent="0.3">
      <c r="A4294" s="513">
        <f t="shared" si="124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3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  <c r="Q4294" s="2"/>
      <c r="R4294" s="2"/>
    </row>
    <row r="4295" spans="1:18" ht="19.5" hidden="1" thickBot="1" x14ac:dyDescent="0.3">
      <c r="A4295" s="503">
        <f t="shared" si="124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3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  <c r="Q4295" s="2"/>
      <c r="R4295" s="2"/>
    </row>
    <row r="4296" spans="1:18" ht="38.25" hidden="1" thickBot="1" x14ac:dyDescent="0.3">
      <c r="A4296" s="513">
        <f t="shared" si="124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3"/>
        <v>07,25</v>
      </c>
      <c r="L4296" s="518" t="s">
        <v>28</v>
      </c>
      <c r="M4296" s="518">
        <v>17578.5</v>
      </c>
      <c r="N4296" s="522">
        <v>0.5</v>
      </c>
      <c r="O4296" s="2"/>
      <c r="P4296" s="2"/>
      <c r="Q4296" s="2"/>
      <c r="R4296" s="2"/>
    </row>
    <row r="4297" spans="1:18" ht="19.5" hidden="1" thickBot="1" x14ac:dyDescent="0.3">
      <c r="A4297" s="503">
        <f t="shared" si="124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3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  <c r="Q4297" s="2"/>
      <c r="R4297" s="2"/>
    </row>
    <row r="4298" spans="1:18" ht="19.5" hidden="1" thickBot="1" x14ac:dyDescent="0.3">
      <c r="A4298" s="954">
        <f t="shared" si="124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3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  <c r="Q4298" s="2"/>
      <c r="R4298" s="2"/>
    </row>
    <row r="4299" spans="1:18" ht="19.5" hidden="1" thickBot="1" x14ac:dyDescent="0.3">
      <c r="A4299" s="956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3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  <c r="Q4299" s="2"/>
      <c r="R4299" s="2"/>
    </row>
    <row r="4300" spans="1:18" ht="19.5" hidden="1" thickBot="1" x14ac:dyDescent="0.3">
      <c r="A4300" s="966">
        <f t="shared" si="124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3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  <c r="Q4300" s="2"/>
      <c r="R4300" s="2"/>
    </row>
    <row r="4301" spans="1:18" ht="19.5" hidden="1" thickBot="1" x14ac:dyDescent="0.3">
      <c r="A4301" s="967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3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  <c r="Q4301" s="2"/>
      <c r="R4301" s="2"/>
    </row>
    <row r="4302" spans="1:18" ht="19.5" hidden="1" thickBot="1" x14ac:dyDescent="0.3">
      <c r="A4302" s="967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3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  <c r="Q4302" s="2"/>
      <c r="R4302" s="2"/>
    </row>
    <row r="4303" spans="1:18" ht="19.5" hidden="1" thickBot="1" x14ac:dyDescent="0.3">
      <c r="A4303" s="967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3"/>
        <v>07,25</v>
      </c>
      <c r="L4303" s="567" t="s">
        <v>266</v>
      </c>
      <c r="M4303" s="567">
        <v>6011.4</v>
      </c>
      <c r="N4303" s="571">
        <v>0.625</v>
      </c>
      <c r="O4303" s="2"/>
      <c r="P4303" s="2"/>
      <c r="Q4303" s="2"/>
      <c r="R4303" s="2"/>
    </row>
    <row r="4304" spans="1:18" ht="19.5" hidden="1" thickBot="1" x14ac:dyDescent="0.3">
      <c r="A4304" s="967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3"/>
        <v>07,25</v>
      </c>
      <c r="L4304" s="594" t="s">
        <v>266</v>
      </c>
      <c r="M4304" s="594">
        <v>1234.5</v>
      </c>
      <c r="N4304" s="598">
        <v>0.625</v>
      </c>
      <c r="O4304" s="2"/>
      <c r="P4304" s="2"/>
      <c r="Q4304" s="2"/>
      <c r="R4304" s="2"/>
    </row>
    <row r="4305" spans="1:18" ht="19.5" hidden="1" thickBot="1" x14ac:dyDescent="0.3">
      <c r="A4305" s="954">
        <f t="shared" si="124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3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  <c r="Q4305" s="2"/>
      <c r="R4305" s="2"/>
    </row>
    <row r="4306" spans="1:18" ht="19.5" hidden="1" thickBot="1" x14ac:dyDescent="0.3">
      <c r="A4306" s="955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3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  <c r="Q4306" s="2"/>
      <c r="R4306" s="2"/>
    </row>
    <row r="4307" spans="1:18" ht="19.5" hidden="1" thickBot="1" x14ac:dyDescent="0.3">
      <c r="A4307" s="956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3"/>
        <v>07,25</v>
      </c>
      <c r="L4307" s="649" t="s">
        <v>265</v>
      </c>
      <c r="M4307" s="649">
        <v>1646.7</v>
      </c>
      <c r="N4307" s="653">
        <v>0.375</v>
      </c>
      <c r="O4307" s="2"/>
      <c r="P4307" s="2"/>
      <c r="Q4307" s="2"/>
      <c r="R4307" s="2"/>
    </row>
    <row r="4308" spans="1:18" ht="19.5" hidden="1" thickBot="1" x14ac:dyDescent="0.3">
      <c r="A4308" s="503">
        <f t="shared" si="124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3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  <c r="Q4308" s="2"/>
      <c r="R4308" s="2"/>
    </row>
    <row r="4309" spans="1:18" ht="19.5" hidden="1" thickBot="1" x14ac:dyDescent="0.3">
      <c r="A4309" s="572">
        <f t="shared" si="124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3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  <c r="Q4309" s="2"/>
      <c r="R4309" s="2"/>
    </row>
    <row r="4310" spans="1:18" ht="19.5" hidden="1" thickBot="1" x14ac:dyDescent="0.3">
      <c r="A4310" s="503">
        <f t="shared" si="124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3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  <c r="Q4310" s="2"/>
      <c r="R4310" s="2"/>
    </row>
    <row r="4311" spans="1:18" ht="19.5" hidden="1" thickBot="1" x14ac:dyDescent="0.3">
      <c r="A4311" s="954">
        <f t="shared" si="124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963" t="s">
        <v>955</v>
      </c>
      <c r="H4311" s="483" t="s">
        <v>953</v>
      </c>
      <c r="I4311" s="484" t="s">
        <v>953</v>
      </c>
      <c r="J4311" s="485"/>
      <c r="K4311" s="483" t="str">
        <f t="shared" si="123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  <c r="Q4311" s="2"/>
      <c r="R4311" s="2"/>
    </row>
    <row r="4312" spans="1:18" ht="19.5" hidden="1" thickBot="1" x14ac:dyDescent="0.3">
      <c r="A4312" s="955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964"/>
      <c r="H4312" s="527" t="s">
        <v>953</v>
      </c>
      <c r="I4312" s="528" t="s">
        <v>953</v>
      </c>
      <c r="J4312" s="529"/>
      <c r="K4312" s="527" t="str">
        <f t="shared" si="123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  <c r="Q4312" s="2"/>
      <c r="R4312" s="2"/>
    </row>
    <row r="4313" spans="1:18" ht="19.5" hidden="1" thickBot="1" x14ac:dyDescent="0.3">
      <c r="A4313" s="955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964"/>
      <c r="H4313" s="527" t="s">
        <v>953</v>
      </c>
      <c r="I4313" s="528" t="s">
        <v>953</v>
      </c>
      <c r="J4313" s="529"/>
      <c r="K4313" s="527" t="str">
        <f t="shared" si="123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  <c r="Q4313" s="2"/>
      <c r="R4313" s="2"/>
    </row>
    <row r="4314" spans="1:18" ht="19.5" hidden="1" thickBot="1" x14ac:dyDescent="0.3">
      <c r="A4314" s="956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965"/>
      <c r="H4314" s="649" t="s">
        <v>953</v>
      </c>
      <c r="I4314" s="651" t="s">
        <v>953</v>
      </c>
      <c r="J4314" s="652"/>
      <c r="K4314" s="649" t="str">
        <f t="shared" si="123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  <c r="Q4314" s="2"/>
      <c r="R4314" s="2"/>
    </row>
    <row r="4315" spans="1:18" ht="19.5" hidden="1" thickBot="1" x14ac:dyDescent="0.3">
      <c r="A4315" s="966">
        <f t="shared" ref="A4315:A4378" si="125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3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  <c r="Q4315" s="2"/>
      <c r="R4315" s="2"/>
    </row>
    <row r="4316" spans="1:18" ht="19.5" hidden="1" thickBot="1" x14ac:dyDescent="0.3">
      <c r="A4316" s="968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3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  <c r="Q4316" s="2"/>
      <c r="R4316" s="2"/>
    </row>
    <row r="4317" spans="1:18" ht="19.5" hidden="1" thickBot="1" x14ac:dyDescent="0.3">
      <c r="A4317" s="954">
        <f t="shared" si="125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3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  <c r="Q4317" s="2"/>
      <c r="R4317" s="2"/>
    </row>
    <row r="4318" spans="1:18" ht="19.5" hidden="1" thickBot="1" x14ac:dyDescent="0.3">
      <c r="A4318" s="956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3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  <c r="Q4318" s="2"/>
      <c r="R4318" s="2"/>
    </row>
    <row r="4319" spans="1:18" ht="19.5" hidden="1" thickBot="1" x14ac:dyDescent="0.3">
      <c r="A4319" s="551">
        <f t="shared" si="125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3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  <c r="Q4319" s="2"/>
      <c r="R4319" s="2"/>
    </row>
    <row r="4320" spans="1:18" ht="19.5" hidden="1" thickBot="1" x14ac:dyDescent="0.3">
      <c r="A4320" s="513">
        <f t="shared" si="125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3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  <c r="Q4320" s="2"/>
      <c r="R4320" s="2"/>
    </row>
    <row r="4321" spans="1:18" ht="19.5" hidden="1" thickBot="1" x14ac:dyDescent="0.3">
      <c r="A4321" s="503">
        <f t="shared" si="125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3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  <c r="Q4321" s="2"/>
      <c r="R4321" s="2"/>
    </row>
    <row r="4322" spans="1:18" ht="19.5" hidden="1" thickBot="1" x14ac:dyDescent="0.3">
      <c r="A4322" s="954">
        <f t="shared" si="125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3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  <c r="Q4322" s="2"/>
      <c r="R4322" s="2"/>
    </row>
    <row r="4323" spans="1:18" ht="19.5" hidden="1" thickBot="1" x14ac:dyDescent="0.3">
      <c r="A4323" s="956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3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  <c r="Q4323" s="2"/>
      <c r="R4323" s="2"/>
    </row>
    <row r="4324" spans="1:18" ht="19.5" hidden="1" thickBot="1" x14ac:dyDescent="0.3">
      <c r="A4324" s="966">
        <f t="shared" si="125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3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  <c r="Q4324" s="2"/>
      <c r="R4324" s="2"/>
    </row>
    <row r="4325" spans="1:18" ht="19.5" hidden="1" thickBot="1" x14ac:dyDescent="0.3">
      <c r="A4325" s="967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3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  <c r="Q4325" s="2"/>
      <c r="R4325" s="2"/>
    </row>
    <row r="4326" spans="1:18" ht="19.5" hidden="1" thickBot="1" x14ac:dyDescent="0.3">
      <c r="A4326" s="968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3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  <c r="Q4326" s="2"/>
      <c r="R4326" s="2"/>
    </row>
    <row r="4327" spans="1:18" ht="19.5" hidden="1" thickBot="1" x14ac:dyDescent="0.3">
      <c r="A4327" s="513">
        <f t="shared" si="125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3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  <c r="Q4327" s="2"/>
      <c r="R4327" s="2"/>
    </row>
    <row r="4328" spans="1:18" ht="19.5" hidden="1" thickBot="1" x14ac:dyDescent="0.3">
      <c r="A4328" s="503">
        <f t="shared" si="125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3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  <c r="Q4328" s="2"/>
      <c r="R4328" s="2"/>
    </row>
    <row r="4329" spans="1:18" ht="19.5" hidden="1" thickBot="1" x14ac:dyDescent="0.3">
      <c r="A4329" s="954">
        <f t="shared" si="125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3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  <c r="Q4329" s="2"/>
      <c r="R4329" s="2"/>
    </row>
    <row r="4330" spans="1:18" ht="19.5" hidden="1" thickBot="1" x14ac:dyDescent="0.3">
      <c r="A4330" s="956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3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  <c r="Q4330" s="2"/>
      <c r="R4330" s="2"/>
    </row>
    <row r="4331" spans="1:18" ht="29.25" hidden="1" customHeight="1" x14ac:dyDescent="0.25">
      <c r="A4331" s="966">
        <f t="shared" si="125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976" t="s">
        <v>958</v>
      </c>
      <c r="H4331" s="535" t="s">
        <v>956</v>
      </c>
      <c r="I4331" s="537" t="s">
        <v>960</v>
      </c>
      <c r="J4331" s="538"/>
      <c r="K4331" s="535" t="str">
        <f t="shared" si="123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  <c r="Q4331" s="2"/>
      <c r="R4331" s="2"/>
    </row>
    <row r="4332" spans="1:18" ht="29.25" hidden="1" customHeight="1" thickBot="1" x14ac:dyDescent="0.3">
      <c r="A4332" s="968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975"/>
      <c r="H4332" s="640" t="s">
        <v>956</v>
      </c>
      <c r="I4332" s="642" t="s">
        <v>960</v>
      </c>
      <c r="J4332" s="643"/>
      <c r="K4332" s="640" t="str">
        <f t="shared" si="123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  <c r="Q4332" s="2"/>
      <c r="R4332" s="2"/>
    </row>
    <row r="4333" spans="1:18" ht="57" hidden="1" thickBot="1" x14ac:dyDescent="0.3">
      <c r="A4333" s="513">
        <f t="shared" si="125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3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  <c r="Q4333" s="2"/>
      <c r="R4333" s="2"/>
    </row>
    <row r="4334" spans="1:18" ht="19.5" hidden="1" thickBot="1" x14ac:dyDescent="0.3">
      <c r="A4334" s="966">
        <f t="shared" si="125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3"/>
        <v>07,25</v>
      </c>
      <c r="L4334" s="535" t="s">
        <v>266</v>
      </c>
      <c r="M4334" s="535">
        <v>12392.85</v>
      </c>
      <c r="N4334" s="539">
        <v>0.5</v>
      </c>
      <c r="O4334" s="2"/>
      <c r="P4334" s="2"/>
      <c r="Q4334" s="2"/>
      <c r="R4334" s="2"/>
    </row>
    <row r="4335" spans="1:18" ht="19.5" hidden="1" thickBot="1" x14ac:dyDescent="0.3">
      <c r="A4335" s="967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3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  <c r="Q4335" s="2"/>
      <c r="R4335" s="2"/>
    </row>
    <row r="4336" spans="1:18" ht="19.5" hidden="1" thickBot="1" x14ac:dyDescent="0.3">
      <c r="A4336" s="513">
        <f t="shared" si="125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3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  <c r="Q4336" s="2"/>
      <c r="R4336" s="2"/>
    </row>
    <row r="4337" spans="1:18" ht="19.5" hidden="1" thickBot="1" x14ac:dyDescent="0.3">
      <c r="A4337" s="503">
        <f t="shared" si="125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3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  <c r="Q4337" s="2"/>
      <c r="R4337" s="2"/>
    </row>
    <row r="4338" spans="1:18" ht="19.5" hidden="1" thickBot="1" x14ac:dyDescent="0.3">
      <c r="A4338" s="513">
        <f t="shared" si="125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3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  <c r="Q4338" s="2"/>
      <c r="R4338" s="2"/>
    </row>
    <row r="4339" spans="1:18" ht="19.5" hidden="1" thickBot="1" x14ac:dyDescent="0.3">
      <c r="A4339" s="966">
        <f t="shared" si="125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3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  <c r="Q4339" s="2"/>
      <c r="R4339" s="2"/>
    </row>
    <row r="4340" spans="1:18" ht="19.5" hidden="1" thickBot="1" x14ac:dyDescent="0.3">
      <c r="A4340" s="967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3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  <c r="Q4340" s="2"/>
      <c r="R4340" s="2"/>
    </row>
    <row r="4341" spans="1:18" ht="19.5" hidden="1" thickBot="1" x14ac:dyDescent="0.3">
      <c r="A4341" s="967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3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  <c r="Q4341" s="2"/>
      <c r="R4341" s="2"/>
    </row>
    <row r="4342" spans="1:18" ht="19.5" hidden="1" thickBot="1" x14ac:dyDescent="0.3">
      <c r="A4342" s="967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3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  <c r="Q4342" s="2"/>
      <c r="R4342" s="2"/>
    </row>
    <row r="4343" spans="1:18" ht="19.5" hidden="1" thickBot="1" x14ac:dyDescent="0.3">
      <c r="A4343" s="967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3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  <c r="Q4343" s="2"/>
      <c r="R4343" s="2"/>
    </row>
    <row r="4344" spans="1:18" ht="19.5" hidden="1" thickBot="1" x14ac:dyDescent="0.3">
      <c r="A4344" s="968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3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  <c r="Q4344" s="2"/>
      <c r="R4344" s="2"/>
    </row>
    <row r="4345" spans="1:18" ht="19.5" hidden="1" thickBot="1" x14ac:dyDescent="0.3">
      <c r="A4345" s="954">
        <f t="shared" si="125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3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  <c r="Q4345" s="2"/>
      <c r="R4345" s="2"/>
    </row>
    <row r="4346" spans="1:18" ht="19.5" hidden="1" thickBot="1" x14ac:dyDescent="0.3">
      <c r="A4346" s="955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3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  <c r="Q4346" s="2"/>
      <c r="R4346" s="2"/>
    </row>
    <row r="4347" spans="1:18" ht="19.5" hidden="1" thickBot="1" x14ac:dyDescent="0.3">
      <c r="A4347" s="966">
        <f t="shared" si="125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3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  <c r="Q4347" s="2"/>
      <c r="R4347" s="2"/>
    </row>
    <row r="4348" spans="1:18" ht="19.5" hidden="1" thickBot="1" x14ac:dyDescent="0.3">
      <c r="A4348" s="967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3"/>
        <v>07,25</v>
      </c>
      <c r="L4348" s="567" t="s">
        <v>265</v>
      </c>
      <c r="M4348" s="567">
        <v>5849</v>
      </c>
      <c r="N4348" s="571">
        <v>0.375</v>
      </c>
      <c r="O4348" s="2"/>
      <c r="P4348" s="2"/>
      <c r="Q4348" s="2"/>
      <c r="R4348" s="2"/>
    </row>
    <row r="4349" spans="1:18" ht="19.5" hidden="1" thickBot="1" x14ac:dyDescent="0.3">
      <c r="A4349" s="968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3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  <c r="Q4349" s="2"/>
      <c r="R4349" s="2"/>
    </row>
    <row r="4350" spans="1:18" ht="38.25" hidden="1" thickBot="1" x14ac:dyDescent="0.3">
      <c r="A4350" s="513">
        <f t="shared" si="125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3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  <c r="Q4350" s="2"/>
      <c r="R4350" s="2"/>
    </row>
    <row r="4351" spans="1:18" ht="19.5" hidden="1" thickBot="1" x14ac:dyDescent="0.3">
      <c r="A4351" s="503">
        <f t="shared" si="125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3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  <c r="Q4351" s="2"/>
      <c r="R4351" s="2"/>
    </row>
    <row r="4352" spans="1:18" ht="19.5" hidden="1" thickBot="1" x14ac:dyDescent="0.3">
      <c r="A4352" s="513">
        <f t="shared" si="125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3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  <c r="Q4352" s="2"/>
      <c r="R4352" s="2"/>
    </row>
    <row r="4353" spans="1:18" ht="19.5" hidden="1" thickBot="1" x14ac:dyDescent="0.3">
      <c r="A4353" s="551">
        <f t="shared" si="125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3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  <c r="Q4353" s="2"/>
      <c r="R4353" s="2"/>
    </row>
    <row r="4354" spans="1:18" ht="57" hidden="1" thickBot="1" x14ac:dyDescent="0.3">
      <c r="A4354" s="954">
        <f t="shared" si="125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3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  <c r="Q4354" s="2"/>
      <c r="R4354" s="2"/>
    </row>
    <row r="4355" spans="1:18" ht="19.5" hidden="1" thickBot="1" x14ac:dyDescent="0.3">
      <c r="A4355" s="956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3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  <c r="Q4355" s="2"/>
      <c r="R4355" s="2"/>
    </row>
    <row r="4356" spans="1:18" ht="19.5" hidden="1" thickBot="1" x14ac:dyDescent="0.3">
      <c r="A4356" s="503">
        <f t="shared" si="125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3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  <c r="Q4356" s="2"/>
      <c r="R4356" s="2"/>
    </row>
    <row r="4357" spans="1:18" ht="19.5" hidden="1" thickBot="1" x14ac:dyDescent="0.3">
      <c r="A4357" s="954">
        <f t="shared" si="125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3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  <c r="Q4357" s="2"/>
      <c r="R4357" s="2"/>
    </row>
    <row r="4358" spans="1:18" ht="19.5" hidden="1" thickBot="1" x14ac:dyDescent="0.3">
      <c r="A4358" s="955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3"/>
        <v>07,25</v>
      </c>
      <c r="L4358" s="527" t="s">
        <v>28</v>
      </c>
      <c r="M4358" s="527">
        <v>1329.96</v>
      </c>
      <c r="N4358" s="530">
        <v>0.5</v>
      </c>
      <c r="O4358" s="2"/>
      <c r="P4358" s="2"/>
      <c r="Q4358" s="2"/>
      <c r="R4358" s="2"/>
    </row>
    <row r="4359" spans="1:18" ht="19.5" hidden="1" thickBot="1" x14ac:dyDescent="0.3">
      <c r="A4359" s="956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3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  <c r="Q4359" s="2"/>
      <c r="R4359" s="2"/>
    </row>
    <row r="4360" spans="1:18" ht="19.5" hidden="1" thickBot="1" x14ac:dyDescent="0.3">
      <c r="A4360" s="966">
        <f t="shared" si="125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3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  <c r="Q4360" s="2"/>
      <c r="R4360" s="2"/>
    </row>
    <row r="4361" spans="1:18" ht="19.5" hidden="1" thickBot="1" x14ac:dyDescent="0.3">
      <c r="A4361" s="967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3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  <c r="Q4361" s="2"/>
      <c r="R4361" s="2"/>
    </row>
    <row r="4362" spans="1:18" ht="19.5" hidden="1" thickBot="1" x14ac:dyDescent="0.3">
      <c r="A4362" s="968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3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  <c r="Q4362" s="2"/>
      <c r="R4362" s="2"/>
    </row>
    <row r="4363" spans="1:18" ht="19.5" hidden="1" thickBot="1" x14ac:dyDescent="0.3">
      <c r="A4363" s="513">
        <f t="shared" si="125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3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  <c r="Q4363" s="2"/>
      <c r="R4363" s="2"/>
    </row>
    <row r="4364" spans="1:18" ht="19.5" hidden="1" thickBot="1" x14ac:dyDescent="0.3">
      <c r="A4364" s="551">
        <f t="shared" si="125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3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  <c r="Q4364" s="2"/>
      <c r="R4364" s="2"/>
    </row>
    <row r="4365" spans="1:18" ht="19.5" hidden="1" thickBot="1" x14ac:dyDescent="0.3">
      <c r="A4365" s="513">
        <f t="shared" si="125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3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  <c r="Q4365" s="2"/>
      <c r="R4365" s="2"/>
    </row>
    <row r="4366" spans="1:18" ht="19.5" hidden="1" thickBot="1" x14ac:dyDescent="0.3">
      <c r="A4366" s="503">
        <f t="shared" si="125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3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  <c r="Q4366" s="2"/>
      <c r="R4366" s="2"/>
    </row>
    <row r="4367" spans="1:18" ht="19.5" hidden="1" thickBot="1" x14ac:dyDescent="0.3">
      <c r="A4367" s="954">
        <f t="shared" si="125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3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  <c r="Q4367" s="2"/>
      <c r="R4367" s="2"/>
    </row>
    <row r="4368" spans="1:18" ht="19.5" hidden="1" thickBot="1" x14ac:dyDescent="0.3">
      <c r="A4368" s="955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3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  <c r="Q4368" s="2"/>
      <c r="R4368" s="2"/>
    </row>
    <row r="4369" spans="1:18" ht="19.5" hidden="1" thickBot="1" x14ac:dyDescent="0.3">
      <c r="A4369" s="956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3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  <c r="Q4369" s="2"/>
      <c r="R4369" s="2"/>
    </row>
    <row r="4370" spans="1:18" ht="19.5" hidden="1" thickBot="1" x14ac:dyDescent="0.3">
      <c r="A4370" s="966">
        <f t="shared" si="125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3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  <c r="Q4370" s="2"/>
      <c r="R4370" s="2"/>
    </row>
    <row r="4371" spans="1:18" ht="19.5" hidden="1" thickBot="1" x14ac:dyDescent="0.3">
      <c r="A4371" s="967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3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  <c r="Q4371" s="2"/>
      <c r="R4371" s="2"/>
    </row>
    <row r="4372" spans="1:18" ht="19.5" hidden="1" thickBot="1" x14ac:dyDescent="0.3">
      <c r="A4372" s="968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3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  <c r="Q4372" s="2"/>
      <c r="R4372" s="2"/>
    </row>
    <row r="4373" spans="1:18" ht="19.5" hidden="1" thickBot="1" x14ac:dyDescent="0.3">
      <c r="A4373" s="513">
        <f t="shared" si="125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3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  <c r="Q4373" s="2"/>
      <c r="R4373" s="2"/>
    </row>
    <row r="4374" spans="1:18" ht="19.5" hidden="1" thickBot="1" x14ac:dyDescent="0.3">
      <c r="A4374" s="966">
        <f t="shared" si="125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3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  <c r="Q4374" s="2"/>
      <c r="R4374" s="2"/>
    </row>
    <row r="4375" spans="1:18" ht="19.5" hidden="1" thickBot="1" x14ac:dyDescent="0.3">
      <c r="A4375" s="968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3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  <c r="Q4375" s="2"/>
      <c r="R4375" s="2"/>
    </row>
    <row r="4376" spans="1:18" ht="19.5" hidden="1" thickBot="1" x14ac:dyDescent="0.3">
      <c r="A4376" s="954">
        <f t="shared" si="125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3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  <c r="Q4376" s="2"/>
      <c r="R4376" s="2"/>
    </row>
    <row r="4377" spans="1:18" ht="19.5" hidden="1" thickBot="1" x14ac:dyDescent="0.3">
      <c r="A4377" s="956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3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  <c r="Q4377" s="2"/>
      <c r="R4377" s="2"/>
    </row>
    <row r="4378" spans="1:18" ht="19.5" hidden="1" thickBot="1" x14ac:dyDescent="0.3">
      <c r="A4378" s="503">
        <f t="shared" si="125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3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  <c r="Q4378" s="2"/>
      <c r="R4378" s="2"/>
    </row>
    <row r="4379" spans="1:18" ht="19.5" hidden="1" thickBot="1" x14ac:dyDescent="0.3">
      <c r="A4379" s="513">
        <f t="shared" ref="A4379:A4406" si="126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3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  <c r="Q4379" s="2"/>
      <c r="R4379" s="2"/>
    </row>
    <row r="4380" spans="1:18" ht="57" hidden="1" thickBot="1" x14ac:dyDescent="0.3">
      <c r="A4380" s="551">
        <f t="shared" si="126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3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  <c r="Q4380" s="2"/>
      <c r="R4380" s="2"/>
    </row>
    <row r="4381" spans="1:18" ht="19.5" hidden="1" thickBot="1" x14ac:dyDescent="0.3">
      <c r="A4381" s="513">
        <f t="shared" si="126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3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  <c r="Q4381" s="2"/>
      <c r="R4381" s="2"/>
    </row>
    <row r="4382" spans="1:18" ht="19.5" hidden="1" thickBot="1" x14ac:dyDescent="0.3">
      <c r="A4382" s="503">
        <f t="shared" si="126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3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  <c r="Q4382" s="2"/>
      <c r="R4382" s="2"/>
    </row>
    <row r="4383" spans="1:18" ht="19.5" hidden="1" thickBot="1" x14ac:dyDescent="0.3">
      <c r="A4383" s="572">
        <f t="shared" si="126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3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  <c r="Q4383" s="2"/>
      <c r="R4383" s="2"/>
    </row>
    <row r="4384" spans="1:18" ht="57" hidden="1" thickBot="1" x14ac:dyDescent="0.3">
      <c r="A4384" s="966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3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  <c r="Q4384" s="2"/>
      <c r="R4384" s="2"/>
    </row>
    <row r="4385" spans="1:18" ht="57" hidden="1" thickBot="1" x14ac:dyDescent="0.3">
      <c r="A4385" s="967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3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  <c r="Q4385" s="2"/>
      <c r="R4385" s="2"/>
    </row>
    <row r="4386" spans="1:18" ht="57" hidden="1" thickBot="1" x14ac:dyDescent="0.3">
      <c r="A4386" s="968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3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  <c r="Q4386" s="2"/>
      <c r="R4386" s="2"/>
    </row>
    <row r="4387" spans="1:18" ht="57" hidden="1" thickBot="1" x14ac:dyDescent="0.3">
      <c r="A4387" s="954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3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  <c r="Q4387" s="2"/>
      <c r="R4387" s="2"/>
    </row>
    <row r="4388" spans="1:18" ht="57" hidden="1" thickBot="1" x14ac:dyDescent="0.3">
      <c r="A4388" s="955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3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  <c r="Q4388" s="2"/>
      <c r="R4388" s="2"/>
    </row>
    <row r="4389" spans="1:18" ht="57" hidden="1" thickBot="1" x14ac:dyDescent="0.3">
      <c r="A4389" s="955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3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  <c r="Q4389" s="2"/>
      <c r="R4389" s="2"/>
    </row>
    <row r="4390" spans="1:18" ht="57" hidden="1" thickBot="1" x14ac:dyDescent="0.3">
      <c r="A4390" s="956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3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  <c r="Q4390" s="2"/>
      <c r="R4390" s="2"/>
    </row>
    <row r="4391" spans="1:18" ht="57" hidden="1" thickBot="1" x14ac:dyDescent="0.3">
      <c r="A4391" s="966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976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3"/>
        <v>07,25</v>
      </c>
      <c r="L4391" s="535" t="s">
        <v>266</v>
      </c>
      <c r="M4391" s="535">
        <v>1234.5</v>
      </c>
      <c r="N4391" s="539">
        <v>0.625</v>
      </c>
      <c r="O4391" s="2"/>
      <c r="P4391" s="2"/>
      <c r="Q4391" s="2"/>
      <c r="R4391" s="2"/>
    </row>
    <row r="4392" spans="1:18" ht="57" hidden="1" thickBot="1" x14ac:dyDescent="0.3">
      <c r="A4392" s="967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975"/>
      <c r="H4392" s="594" t="s">
        <v>970</v>
      </c>
      <c r="I4392" s="596" t="s">
        <v>970</v>
      </c>
      <c r="J4392" s="597" t="s">
        <v>971</v>
      </c>
      <c r="K4392" s="594" t="str">
        <f t="shared" si="123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  <c r="Q4392" s="2"/>
      <c r="R4392" s="2"/>
    </row>
    <row r="4393" spans="1:18" ht="19.5" hidden="1" thickBot="1" x14ac:dyDescent="0.3">
      <c r="A4393" s="954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3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  <c r="Q4393" s="2"/>
      <c r="R4393" s="2"/>
    </row>
    <row r="4394" spans="1:18" ht="19.5" hidden="1" thickBot="1" x14ac:dyDescent="0.3">
      <c r="A4394" s="955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3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  <c r="Q4394" s="2"/>
      <c r="R4394" s="2"/>
    </row>
    <row r="4395" spans="1:18" ht="19.5" hidden="1" thickBot="1" x14ac:dyDescent="0.3">
      <c r="A4395" s="956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3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  <c r="Q4395" s="2"/>
      <c r="R4395" s="2"/>
    </row>
    <row r="4396" spans="1:18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3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  <c r="Q4396" s="2"/>
      <c r="R4396" s="2"/>
    </row>
    <row r="4397" spans="1:18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3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  <c r="Q4397" s="2"/>
      <c r="R4397" s="2"/>
    </row>
    <row r="4398" spans="1:18" ht="19.5" hidden="1" thickBot="1" x14ac:dyDescent="0.3">
      <c r="A4398" s="551">
        <f t="shared" si="126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3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  <c r="Q4398" s="2"/>
      <c r="R4398" s="2"/>
    </row>
    <row r="4399" spans="1:18" ht="19.5" hidden="1" thickBot="1" x14ac:dyDescent="0.3">
      <c r="A4399" s="513">
        <f t="shared" si="126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3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  <c r="Q4399" s="2"/>
      <c r="R4399" s="2"/>
    </row>
    <row r="4400" spans="1:18" ht="19.5" hidden="1" thickBot="1" x14ac:dyDescent="0.3">
      <c r="A4400" s="966">
        <f t="shared" si="126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3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  <c r="Q4400" s="2"/>
      <c r="R4400" s="2"/>
    </row>
    <row r="4401" spans="1:18" ht="19.5" hidden="1" thickBot="1" x14ac:dyDescent="0.3">
      <c r="A4401" s="968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3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  <c r="Q4401" s="2"/>
      <c r="R4401" s="2"/>
    </row>
    <row r="4402" spans="1:18" ht="19.5" hidden="1" thickBot="1" x14ac:dyDescent="0.3">
      <c r="A4402" s="954">
        <f t="shared" si="126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3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  <c r="Q4402" s="2"/>
      <c r="R4402" s="2"/>
    </row>
    <row r="4403" spans="1:18" ht="19.5" hidden="1" thickBot="1" x14ac:dyDescent="0.3">
      <c r="A4403" s="955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3"/>
        <v>07,25</v>
      </c>
      <c r="L4403" s="527" t="s">
        <v>28</v>
      </c>
      <c r="M4403" s="527">
        <v>1643.52</v>
      </c>
      <c r="N4403" s="530">
        <v>0.5</v>
      </c>
      <c r="O4403" s="2"/>
      <c r="P4403" s="2"/>
      <c r="Q4403" s="2"/>
      <c r="R4403" s="2"/>
    </row>
    <row r="4404" spans="1:18" ht="19.5" hidden="1" thickBot="1" x14ac:dyDescent="0.3">
      <c r="A4404" s="955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3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  <c r="Q4404" s="2"/>
      <c r="R4404" s="2"/>
    </row>
    <row r="4405" spans="1:18" ht="19.5" hidden="1" thickBot="1" x14ac:dyDescent="0.3">
      <c r="A4405" s="955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3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  <c r="Q4405" s="2"/>
      <c r="R4405" s="2"/>
    </row>
    <row r="4406" spans="1:18" ht="19.5" hidden="1" thickBot="1" x14ac:dyDescent="0.3">
      <c r="A4406" s="966">
        <f t="shared" si="126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3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  <c r="Q4406" s="2"/>
      <c r="R4406" s="2"/>
    </row>
    <row r="4407" spans="1:18" ht="19.5" hidden="1" thickBot="1" x14ac:dyDescent="0.3">
      <c r="A4407" s="968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3"/>
        <v>07,25</v>
      </c>
      <c r="L4407" s="640" t="s">
        <v>265</v>
      </c>
      <c r="M4407" s="640">
        <v>2028</v>
      </c>
      <c r="N4407" s="644">
        <v>0.375</v>
      </c>
      <c r="O4407" s="2"/>
      <c r="P4407" s="2"/>
      <c r="Q4407" s="2"/>
      <c r="R4407" s="2"/>
    </row>
    <row r="4408" spans="1:18" ht="19.5" hidden="1" thickBot="1" x14ac:dyDescent="0.3">
      <c r="A4408" s="513">
        <f t="shared" ref="A4408:A4416" si="127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3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  <c r="Q4408" s="2"/>
      <c r="R4408" s="2"/>
    </row>
    <row r="4409" spans="1:18" ht="38.25" hidden="1" thickBot="1" x14ac:dyDescent="0.3">
      <c r="A4409" s="503">
        <f t="shared" si="127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3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  <c r="Q4409" s="2"/>
      <c r="R4409" s="2"/>
    </row>
    <row r="4410" spans="1:18" ht="38.25" hidden="1" thickBot="1" x14ac:dyDescent="0.3">
      <c r="A4410" s="513">
        <f t="shared" si="127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3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  <c r="Q4410" s="2"/>
      <c r="R4410" s="2"/>
    </row>
    <row r="4411" spans="1:18" ht="19.5" hidden="1" thickBot="1" x14ac:dyDescent="0.3">
      <c r="A4411" s="503">
        <f t="shared" si="127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3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  <c r="Q4411" s="2"/>
      <c r="R4411" s="2"/>
    </row>
    <row r="4412" spans="1:18" ht="19.5" hidden="1" thickBot="1" x14ac:dyDescent="0.3">
      <c r="A4412" s="513">
        <f t="shared" si="127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3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  <c r="Q4412" s="2"/>
      <c r="R4412" s="2"/>
    </row>
    <row r="4413" spans="1:18" ht="19.5" hidden="1" thickBot="1" x14ac:dyDescent="0.3">
      <c r="A4413" s="503">
        <f t="shared" si="127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3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  <c r="Q4413" s="2"/>
      <c r="R4413" s="2"/>
    </row>
    <row r="4414" spans="1:18" ht="19.5" hidden="1" thickBot="1" x14ac:dyDescent="0.3">
      <c r="A4414" s="954">
        <f t="shared" si="127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3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  <c r="Q4414" s="2"/>
      <c r="R4414" s="2"/>
    </row>
    <row r="4415" spans="1:18" ht="19.5" hidden="1" thickBot="1" x14ac:dyDescent="0.3">
      <c r="A4415" s="956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3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  <c r="Q4415" s="2"/>
      <c r="R4415" s="2"/>
    </row>
    <row r="4416" spans="1:18" ht="19.5" hidden="1" thickBot="1" x14ac:dyDescent="0.3">
      <c r="A4416" s="966">
        <f t="shared" si="127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3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  <c r="Q4416" s="2"/>
      <c r="R4416" s="2"/>
    </row>
    <row r="4417" spans="1:18" ht="19.5" hidden="1" thickBot="1" x14ac:dyDescent="0.3">
      <c r="A4417" s="967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3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  <c r="Q4417" s="2"/>
      <c r="R4417" s="2"/>
    </row>
    <row r="4418" spans="1:18" ht="19.5" hidden="1" thickBot="1" x14ac:dyDescent="0.3">
      <c r="A4418" s="967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3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  <c r="Q4418" s="2"/>
      <c r="R4418" s="2"/>
    </row>
    <row r="4419" spans="1:18" ht="57" hidden="1" thickBot="1" x14ac:dyDescent="0.3">
      <c r="A4419" s="968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3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  <c r="Q4419" s="2"/>
      <c r="R4419" s="2"/>
    </row>
    <row r="4420" spans="1:18" ht="19.5" hidden="1" thickBot="1" x14ac:dyDescent="0.3">
      <c r="A4420" s="513">
        <f t="shared" ref="A4420:A4422" si="128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3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  <c r="Q4420" s="2"/>
      <c r="R4420" s="2"/>
    </row>
    <row r="4421" spans="1:18" ht="19.5" hidden="1" thickBot="1" x14ac:dyDescent="0.3">
      <c r="A4421" s="503">
        <f t="shared" si="128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3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  <c r="Q4421" s="2"/>
      <c r="R4421" s="2"/>
    </row>
    <row r="4422" spans="1:18" ht="19.5" hidden="1" thickBot="1" x14ac:dyDescent="0.3">
      <c r="A4422" s="954">
        <f t="shared" si="128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3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  <c r="Q4422" s="2"/>
      <c r="R4422" s="2"/>
    </row>
    <row r="4423" spans="1:18" ht="19.5" hidden="1" thickBot="1" x14ac:dyDescent="0.3">
      <c r="A4423" s="956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3"/>
        <v>07,25</v>
      </c>
      <c r="L4423" s="649" t="s">
        <v>265</v>
      </c>
      <c r="M4423" s="649">
        <v>1656</v>
      </c>
      <c r="N4423" s="653">
        <v>0.375</v>
      </c>
      <c r="O4423" s="2"/>
      <c r="P4423" s="2"/>
      <c r="Q4423" s="2"/>
      <c r="R4423" s="2"/>
    </row>
    <row r="4424" spans="1:18" ht="19.5" hidden="1" thickBot="1" x14ac:dyDescent="0.3">
      <c r="A4424" s="966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3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  <c r="Q4424" s="2"/>
      <c r="R4424" s="2"/>
    </row>
    <row r="4425" spans="1:18" ht="19.5" hidden="1" thickBot="1" x14ac:dyDescent="0.3">
      <c r="A4425" s="968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3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  <c r="Q4425" s="2"/>
      <c r="R4425" s="2"/>
    </row>
    <row r="4426" spans="1:18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3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  <c r="Q4426" s="2"/>
      <c r="R4426" s="2"/>
    </row>
    <row r="4427" spans="1:18" ht="19.5" hidden="1" thickBot="1" x14ac:dyDescent="0.3">
      <c r="A4427" s="966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3"/>
        <v>07,25</v>
      </c>
      <c r="L4427" s="535" t="s">
        <v>28</v>
      </c>
      <c r="M4427" s="535">
        <v>3900.44</v>
      </c>
      <c r="N4427" s="539">
        <v>0.5</v>
      </c>
      <c r="O4427" s="2"/>
      <c r="P4427" s="2"/>
      <c r="Q4427" s="2"/>
      <c r="R4427" s="2"/>
    </row>
    <row r="4428" spans="1:18" ht="19.5" hidden="1" thickBot="1" x14ac:dyDescent="0.3">
      <c r="A4428" s="968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3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  <c r="Q4428" s="2"/>
      <c r="R4428" s="2"/>
    </row>
    <row r="4429" spans="1:18" ht="19.5" hidden="1" thickBot="1" x14ac:dyDescent="0.3">
      <c r="A4429" s="954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3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  <c r="Q4429" s="2"/>
      <c r="R4429" s="2"/>
    </row>
    <row r="4430" spans="1:18" ht="19.5" hidden="1" thickBot="1" x14ac:dyDescent="0.3">
      <c r="A4430" s="956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3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  <c r="Q4430" s="2"/>
      <c r="R4430" s="2"/>
    </row>
    <row r="4431" spans="1:18" ht="19.5" hidden="1" thickBot="1" x14ac:dyDescent="0.3">
      <c r="A4431" s="966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3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  <c r="Q4431" s="2"/>
      <c r="R4431" s="2"/>
    </row>
    <row r="4432" spans="1:18" ht="19.5" hidden="1" thickBot="1" x14ac:dyDescent="0.3">
      <c r="A4432" s="967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3"/>
        <v>07,25</v>
      </c>
      <c r="L4432" s="594" t="s">
        <v>266</v>
      </c>
      <c r="M4432" s="594">
        <v>3445.67</v>
      </c>
      <c r="N4432" s="598">
        <v>0.5</v>
      </c>
      <c r="O4432" s="2"/>
      <c r="P4432" s="2"/>
      <c r="Q4432" s="2"/>
      <c r="R4432" s="2"/>
    </row>
    <row r="4433" spans="1:18" ht="19.5" hidden="1" thickBot="1" x14ac:dyDescent="0.3">
      <c r="A4433" s="513">
        <f t="shared" ref="A4433:A4496" si="129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3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  <c r="Q4433" s="2"/>
      <c r="R4433" s="2"/>
    </row>
    <row r="4434" spans="1:18" ht="19.5" hidden="1" thickBot="1" x14ac:dyDescent="0.3">
      <c r="A4434" s="503">
        <f t="shared" si="129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3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  <c r="Q4434" s="2"/>
      <c r="R4434" s="2"/>
    </row>
    <row r="4435" spans="1:18" ht="19.5" hidden="1" thickBot="1" x14ac:dyDescent="0.3">
      <c r="A4435" s="513">
        <f t="shared" si="129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3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  <c r="Q4435" s="2"/>
      <c r="R4435" s="2"/>
    </row>
    <row r="4436" spans="1:18" ht="19.5" hidden="1" thickBot="1" x14ac:dyDescent="0.3">
      <c r="A4436" s="503">
        <f t="shared" si="129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3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  <c r="Q4436" s="2"/>
      <c r="R4436" s="2"/>
    </row>
    <row r="4437" spans="1:18" ht="19.5" hidden="1" thickBot="1" x14ac:dyDescent="0.3">
      <c r="A4437" s="954">
        <f t="shared" si="129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3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  <c r="Q4437" s="2"/>
      <c r="R4437" s="2"/>
    </row>
    <row r="4438" spans="1:18" ht="19.5" hidden="1" thickBot="1" x14ac:dyDescent="0.3">
      <c r="A4438" s="955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3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  <c r="Q4438" s="2"/>
      <c r="R4438" s="2"/>
    </row>
    <row r="4439" spans="1:18" ht="19.5" hidden="1" thickBot="1" x14ac:dyDescent="0.3">
      <c r="A4439" s="955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3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  <c r="Q4439" s="2"/>
      <c r="R4439" s="2"/>
    </row>
    <row r="4440" spans="1:18" ht="19.5" hidden="1" thickBot="1" x14ac:dyDescent="0.3">
      <c r="A4440" s="956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3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  <c r="Q4440" s="2"/>
      <c r="R4440" s="2"/>
    </row>
    <row r="4441" spans="1:18" ht="19.5" hidden="1" thickBot="1" x14ac:dyDescent="0.3">
      <c r="A4441" s="503">
        <f t="shared" si="129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3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  <c r="Q4441" s="2"/>
      <c r="R4441" s="2"/>
    </row>
    <row r="4442" spans="1:18" ht="19.5" hidden="1" thickBot="1" x14ac:dyDescent="0.3">
      <c r="A4442" s="954">
        <f t="shared" si="129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3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  <c r="Q4442" s="2"/>
      <c r="R4442" s="2"/>
    </row>
    <row r="4443" spans="1:18" ht="19.5" hidden="1" thickBot="1" x14ac:dyDescent="0.3">
      <c r="A4443" s="956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3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  <c r="Q4443" s="2"/>
      <c r="R4443" s="2"/>
    </row>
    <row r="4444" spans="1:18" ht="19.5" hidden="1" thickBot="1" x14ac:dyDescent="0.3">
      <c r="A4444" s="551">
        <f t="shared" si="129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3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  <c r="Q4444" s="2"/>
      <c r="R4444" s="2"/>
    </row>
    <row r="4445" spans="1:18" ht="19.5" hidden="1" thickBot="1" x14ac:dyDescent="0.3">
      <c r="A4445" s="954">
        <f t="shared" si="129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3"/>
        <v>07,25</v>
      </c>
      <c r="L4445" s="483" t="s">
        <v>266</v>
      </c>
      <c r="M4445" s="483">
        <v>1599</v>
      </c>
      <c r="N4445" s="486">
        <v>0.375</v>
      </c>
      <c r="O4445" s="2"/>
      <c r="P4445" s="2"/>
      <c r="Q4445" s="2"/>
      <c r="R4445" s="2"/>
    </row>
    <row r="4446" spans="1:18" ht="19.5" hidden="1" thickBot="1" x14ac:dyDescent="0.3">
      <c r="A4446" s="955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3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  <c r="Q4446" s="2"/>
      <c r="R4446" s="2"/>
    </row>
    <row r="4447" spans="1:18" ht="19.5" hidden="1" thickBot="1" x14ac:dyDescent="0.3">
      <c r="A4447" s="955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3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  <c r="Q4447" s="2"/>
      <c r="R4447" s="2"/>
    </row>
    <row r="4448" spans="1:18" ht="19.5" hidden="1" thickBot="1" x14ac:dyDescent="0.3">
      <c r="A4448" s="956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3"/>
        <v>07,25</v>
      </c>
      <c r="L4448" s="649" t="s">
        <v>265</v>
      </c>
      <c r="M4448" s="649">
        <v>1.98</v>
      </c>
      <c r="N4448" s="653">
        <v>0.375</v>
      </c>
      <c r="O4448" s="2"/>
      <c r="P4448" s="2"/>
      <c r="Q4448" s="2"/>
      <c r="R4448" s="2"/>
    </row>
    <row r="4449" spans="1:18" ht="19.5" hidden="1" thickBot="1" x14ac:dyDescent="0.3">
      <c r="A4449" s="503">
        <f t="shared" ref="A4449:A4464" si="130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3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  <c r="Q4449" s="2"/>
      <c r="R4449" s="2"/>
    </row>
    <row r="4450" spans="1:18" ht="19.5" hidden="1" thickBot="1" x14ac:dyDescent="0.3">
      <c r="A4450" s="513">
        <f t="shared" si="130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3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  <c r="Q4450" s="2"/>
      <c r="R4450" s="2"/>
    </row>
    <row r="4451" spans="1:18" ht="19.5" hidden="1" thickBot="1" x14ac:dyDescent="0.3">
      <c r="A4451" s="551">
        <f t="shared" si="130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3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  <c r="Q4451" s="2"/>
      <c r="R4451" s="2"/>
    </row>
    <row r="4452" spans="1:18" ht="19.5" hidden="1" thickBot="1" x14ac:dyDescent="0.3">
      <c r="A4452" s="513">
        <f t="shared" si="130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3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  <c r="Q4452" s="2"/>
      <c r="R4452" s="2"/>
    </row>
    <row r="4453" spans="1:18" ht="19.5" hidden="1" thickBot="1" x14ac:dyDescent="0.3">
      <c r="A4453" s="966">
        <f t="shared" si="130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3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  <c r="Q4453" s="2"/>
      <c r="R4453" s="2"/>
    </row>
    <row r="4454" spans="1:18" ht="19.5" hidden="1" thickBot="1" x14ac:dyDescent="0.3">
      <c r="A4454" s="968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3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  <c r="Q4454" s="2"/>
      <c r="R4454" s="2"/>
    </row>
    <row r="4455" spans="1:18" ht="19.5" hidden="1" thickBot="1" x14ac:dyDescent="0.3">
      <c r="A4455" s="513">
        <f t="shared" si="130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3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  <c r="Q4455" s="2"/>
      <c r="R4455" s="2"/>
    </row>
    <row r="4456" spans="1:18" ht="19.5" hidden="1" thickBot="1" x14ac:dyDescent="0.3">
      <c r="A4456" s="966">
        <f t="shared" si="130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3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  <c r="Q4456" s="2"/>
      <c r="R4456" s="2"/>
    </row>
    <row r="4457" spans="1:18" ht="19.5" hidden="1" thickBot="1" x14ac:dyDescent="0.3">
      <c r="A4457" s="968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3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  <c r="Q4457" s="2"/>
      <c r="R4457" s="2"/>
    </row>
    <row r="4458" spans="1:18" ht="19.5" hidden="1" thickBot="1" x14ac:dyDescent="0.3">
      <c r="A4458" s="954">
        <f t="shared" si="130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3"/>
        <v>07,25</v>
      </c>
      <c r="L4458" s="483" t="s">
        <v>266</v>
      </c>
      <c r="M4458" s="483">
        <v>3178.74</v>
      </c>
      <c r="N4458" s="486">
        <v>0.5</v>
      </c>
      <c r="O4458" s="2"/>
      <c r="P4458" s="2"/>
      <c r="Q4458" s="2"/>
      <c r="R4458" s="2"/>
    </row>
    <row r="4459" spans="1:18" ht="19.5" hidden="1" thickBot="1" x14ac:dyDescent="0.3">
      <c r="A4459" s="955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3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  <c r="Q4459" s="2"/>
      <c r="R4459" s="2"/>
    </row>
    <row r="4460" spans="1:18" ht="19.5" hidden="1" thickBot="1" x14ac:dyDescent="0.3">
      <c r="A4460" s="956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3"/>
        <v>07,25</v>
      </c>
      <c r="L4460" s="649" t="s">
        <v>28</v>
      </c>
      <c r="M4460" s="649">
        <v>10436.59</v>
      </c>
      <c r="N4460" s="653">
        <v>0.5</v>
      </c>
      <c r="O4460" s="2"/>
      <c r="P4460" s="2"/>
      <c r="Q4460" s="2"/>
      <c r="R4460" s="2"/>
    </row>
    <row r="4461" spans="1:18" ht="19.5" hidden="1" thickBot="1" x14ac:dyDescent="0.3">
      <c r="A4461" s="966">
        <f t="shared" si="130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3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  <c r="Q4461" s="2"/>
      <c r="R4461" s="2"/>
    </row>
    <row r="4462" spans="1:18" ht="19.5" hidden="1" thickBot="1" x14ac:dyDescent="0.3">
      <c r="A4462" s="967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3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  <c r="Q4462" s="2"/>
      <c r="R4462" s="2"/>
    </row>
    <row r="4463" spans="1:18" ht="19.5" hidden="1" thickBot="1" x14ac:dyDescent="0.3">
      <c r="A4463" s="968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3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  <c r="Q4463" s="2"/>
      <c r="R4463" s="2"/>
    </row>
    <row r="4464" spans="1:18" ht="94.5" hidden="1" thickBot="1" x14ac:dyDescent="0.3">
      <c r="A4464" s="513">
        <f t="shared" si="130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3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  <c r="Q4464" s="2"/>
      <c r="R4464" s="2"/>
    </row>
    <row r="4465" spans="1:18" ht="19.5" hidden="1" thickBot="1" x14ac:dyDescent="0.3">
      <c r="A4465" s="551">
        <f t="shared" si="129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3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  <c r="Q4465" s="2"/>
      <c r="R4465" s="2"/>
    </row>
    <row r="4466" spans="1:18" ht="38.25" hidden="1" thickBot="1" x14ac:dyDescent="0.3">
      <c r="A4466" s="513">
        <f t="shared" si="129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3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  <c r="Q4466" s="2"/>
      <c r="R4466" s="2"/>
    </row>
    <row r="4467" spans="1:18" ht="19.5" hidden="1" thickBot="1" x14ac:dyDescent="0.3">
      <c r="A4467" s="503">
        <f t="shared" si="129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3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  <c r="Q4467" s="2"/>
      <c r="R4467" s="2"/>
    </row>
    <row r="4468" spans="1:18" ht="19.5" hidden="1" thickBot="1" x14ac:dyDescent="0.3">
      <c r="A4468" s="513">
        <f t="shared" si="129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3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  <c r="Q4468" s="2"/>
      <c r="R4468" s="2"/>
    </row>
    <row r="4469" spans="1:18" ht="19.5" hidden="1" thickBot="1" x14ac:dyDescent="0.3">
      <c r="A4469" s="503">
        <f t="shared" si="129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3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  <c r="Q4469" s="2"/>
      <c r="R4469" s="2"/>
    </row>
    <row r="4470" spans="1:18" ht="19.5" hidden="1" thickBot="1" x14ac:dyDescent="0.3">
      <c r="A4470" s="513">
        <f t="shared" si="129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3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  <c r="Q4470" s="2"/>
      <c r="R4470" s="2"/>
    </row>
    <row r="4471" spans="1:18" ht="19.5" hidden="1" thickBot="1" x14ac:dyDescent="0.3">
      <c r="A4471" s="503">
        <f t="shared" si="129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1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  <c r="Q4471" s="2"/>
      <c r="R4471" s="2"/>
    </row>
    <row r="4472" spans="1:18" ht="94.5" hidden="1" thickBot="1" x14ac:dyDescent="0.3">
      <c r="A4472" s="513">
        <f t="shared" si="129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1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  <c r="Q4472" s="2"/>
      <c r="R4472" s="2"/>
    </row>
    <row r="4473" spans="1:18" ht="19.5" hidden="1" thickBot="1" x14ac:dyDescent="0.3">
      <c r="A4473" s="966">
        <f t="shared" si="129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1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  <c r="Q4473" s="2"/>
      <c r="R4473" s="2"/>
    </row>
    <row r="4474" spans="1:18" ht="19.5" hidden="1" thickBot="1" x14ac:dyDescent="0.3">
      <c r="A4474" s="967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1"/>
        <v>07,25</v>
      </c>
      <c r="L4474" s="567" t="s">
        <v>28</v>
      </c>
      <c r="M4474" s="567">
        <v>2827.45</v>
      </c>
      <c r="N4474" s="571">
        <v>0.5</v>
      </c>
      <c r="O4474" s="2"/>
      <c r="P4474" s="2"/>
      <c r="Q4474" s="2"/>
      <c r="R4474" s="2"/>
    </row>
    <row r="4475" spans="1:18" ht="19.5" hidden="1" thickBot="1" x14ac:dyDescent="0.3">
      <c r="A4475" s="968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1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  <c r="Q4475" s="2"/>
      <c r="R4475" s="2"/>
    </row>
    <row r="4476" spans="1:18" ht="19.5" hidden="1" thickBot="1" x14ac:dyDescent="0.3">
      <c r="A4476" s="513">
        <f t="shared" si="129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1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  <c r="Q4476" s="2"/>
      <c r="R4476" s="2"/>
    </row>
    <row r="4477" spans="1:18" ht="19.5" hidden="1" thickBot="1" x14ac:dyDescent="0.3">
      <c r="A4477" s="966">
        <f t="shared" si="129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1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  <c r="Q4477" s="2"/>
      <c r="R4477" s="2"/>
    </row>
    <row r="4478" spans="1:18" ht="19.5" hidden="1" thickBot="1" x14ac:dyDescent="0.3">
      <c r="A4478" s="967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1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  <c r="Q4478" s="2"/>
      <c r="R4478" s="2"/>
    </row>
    <row r="4479" spans="1:18" ht="19.5" hidden="1" thickBot="1" x14ac:dyDescent="0.3">
      <c r="A4479" s="968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1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  <c r="Q4479" s="2"/>
      <c r="R4479" s="2"/>
    </row>
    <row r="4480" spans="1:18" ht="19.5" hidden="1" thickBot="1" x14ac:dyDescent="0.3">
      <c r="A4480" s="954">
        <f t="shared" si="129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1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  <c r="Q4480" s="2"/>
      <c r="R4480" s="2"/>
    </row>
    <row r="4481" spans="1:18" ht="19.5" hidden="1" thickBot="1" x14ac:dyDescent="0.3">
      <c r="A4481" s="956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1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  <c r="Q4481" s="2"/>
      <c r="R4481" s="2"/>
    </row>
    <row r="4482" spans="1:18" ht="55.5" hidden="1" customHeight="1" thickBot="1" x14ac:dyDescent="0.3">
      <c r="A4482" s="551">
        <f t="shared" si="129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1"/>
        <v>07,25</v>
      </c>
      <c r="L4482" s="556" t="s">
        <v>28</v>
      </c>
      <c r="M4482" s="556">
        <v>9728.08</v>
      </c>
      <c r="N4482" s="560">
        <v>0.5</v>
      </c>
      <c r="O4482" s="2"/>
      <c r="P4482" s="2"/>
      <c r="Q4482" s="2"/>
      <c r="R4482" s="2"/>
    </row>
    <row r="4483" spans="1:18" ht="38.25" hidden="1" thickBot="1" x14ac:dyDescent="0.3">
      <c r="A4483" s="513">
        <f t="shared" si="129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1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  <c r="Q4483" s="2"/>
      <c r="R4483" s="2"/>
    </row>
    <row r="4484" spans="1:18" ht="57" hidden="1" thickBot="1" x14ac:dyDescent="0.3">
      <c r="A4484" s="503">
        <f t="shared" si="129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1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  <c r="Q4484" s="2"/>
      <c r="R4484" s="2"/>
    </row>
    <row r="4485" spans="1:18" ht="19.5" hidden="1" thickBot="1" x14ac:dyDescent="0.3">
      <c r="A4485" s="572">
        <f t="shared" si="129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1"/>
        <v>07,25</v>
      </c>
      <c r="L4485" s="577" t="s">
        <v>266</v>
      </c>
      <c r="M4485" s="577">
        <v>17228.72</v>
      </c>
      <c r="N4485" s="581">
        <v>0.5</v>
      </c>
      <c r="O4485" s="2"/>
      <c r="P4485" s="2"/>
      <c r="Q4485" s="2"/>
      <c r="R4485" s="2"/>
    </row>
    <row r="4486" spans="1:18" ht="19.5" hidden="1" thickBot="1" x14ac:dyDescent="0.3">
      <c r="A4486" s="503">
        <f t="shared" si="129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1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  <c r="Q4486" s="2"/>
      <c r="R4486" s="2"/>
    </row>
    <row r="4487" spans="1:18" ht="19.5" hidden="1" thickBot="1" x14ac:dyDescent="0.3">
      <c r="A4487" s="513">
        <f t="shared" si="129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1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  <c r="Q4487" s="2"/>
      <c r="R4487" s="2"/>
    </row>
    <row r="4488" spans="1:18" ht="19.5" hidden="1" thickBot="1" x14ac:dyDescent="0.3">
      <c r="A4488" s="503">
        <f t="shared" si="129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1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  <c r="Q4488" s="2"/>
      <c r="R4488" s="2"/>
    </row>
    <row r="4489" spans="1:18" ht="19.5" hidden="1" thickBot="1" x14ac:dyDescent="0.3">
      <c r="A4489" s="954">
        <f t="shared" si="129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1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  <c r="Q4489" s="2"/>
      <c r="R4489" s="2"/>
    </row>
    <row r="4490" spans="1:18" ht="19.5" hidden="1" thickBot="1" x14ac:dyDescent="0.3">
      <c r="A4490" s="955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1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  <c r="Q4490" s="2"/>
      <c r="R4490" s="2"/>
    </row>
    <row r="4491" spans="1:18" ht="19.5" hidden="1" thickBot="1" x14ac:dyDescent="0.3">
      <c r="A4491" s="955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1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  <c r="Q4491" s="2"/>
      <c r="R4491" s="2"/>
    </row>
    <row r="4492" spans="1:18" ht="19.5" hidden="1" thickBot="1" x14ac:dyDescent="0.3">
      <c r="A4492" s="956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1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  <c r="Q4492" s="2"/>
      <c r="R4492" s="2"/>
    </row>
    <row r="4493" spans="1:18" ht="19.5" hidden="1" thickBot="1" x14ac:dyDescent="0.3">
      <c r="A4493" s="966">
        <f t="shared" si="129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976" t="s">
        <v>467</v>
      </c>
      <c r="H4493" s="535" t="s">
        <v>992</v>
      </c>
      <c r="I4493" s="537" t="s">
        <v>992</v>
      </c>
      <c r="J4493" s="538"/>
      <c r="K4493" s="535" t="str">
        <f t="shared" si="131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  <c r="Q4493" s="2"/>
      <c r="R4493" s="2"/>
    </row>
    <row r="4494" spans="1:18" ht="19.5" hidden="1" thickBot="1" x14ac:dyDescent="0.3">
      <c r="A4494" s="967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969"/>
      <c r="H4494" s="594" t="s">
        <v>992</v>
      </c>
      <c r="I4494" s="596" t="s">
        <v>992</v>
      </c>
      <c r="J4494" s="597"/>
      <c r="K4494" s="594" t="str">
        <f t="shared" si="131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  <c r="Q4494" s="2"/>
      <c r="R4494" s="2"/>
    </row>
    <row r="4495" spans="1:18" ht="19.5" hidden="1" thickBot="1" x14ac:dyDescent="0.3">
      <c r="A4495" s="513">
        <f t="shared" si="129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1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  <c r="Q4495" s="2"/>
      <c r="R4495" s="2"/>
    </row>
    <row r="4496" spans="1:18" ht="19.5" hidden="1" thickBot="1" x14ac:dyDescent="0.3">
      <c r="A4496" s="503">
        <f t="shared" si="129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1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  <c r="Q4496" s="2"/>
      <c r="R4496" s="2"/>
    </row>
    <row r="4497" spans="1:18" ht="19.5" hidden="1" thickBot="1" x14ac:dyDescent="0.3">
      <c r="A4497" s="513">
        <f t="shared" ref="A4497:A4560" si="132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1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  <c r="Q4497" s="2"/>
      <c r="R4497" s="2"/>
    </row>
    <row r="4498" spans="1:18" ht="19.5" hidden="1" thickBot="1" x14ac:dyDescent="0.3">
      <c r="A4498" s="551">
        <f t="shared" si="132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1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  <c r="Q4498" s="2"/>
      <c r="R4498" s="2"/>
    </row>
    <row r="4499" spans="1:18" ht="19.5" hidden="1" thickBot="1" x14ac:dyDescent="0.3">
      <c r="A4499" s="954">
        <f t="shared" si="132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1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  <c r="Q4499" s="2"/>
      <c r="R4499" s="2"/>
    </row>
    <row r="4500" spans="1:18" ht="19.5" hidden="1" thickBot="1" x14ac:dyDescent="0.3">
      <c r="A4500" s="956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1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  <c r="Q4500" s="2"/>
      <c r="R4500" s="2"/>
    </row>
    <row r="4501" spans="1:18" ht="19.5" hidden="1" thickBot="1" x14ac:dyDescent="0.3">
      <c r="A4501" s="966">
        <f t="shared" si="132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1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  <c r="Q4501" s="2"/>
      <c r="R4501" s="2"/>
    </row>
    <row r="4502" spans="1:18" ht="57" hidden="1" thickBot="1" x14ac:dyDescent="0.3">
      <c r="A4502" s="968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1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  <c r="Q4502" s="2"/>
      <c r="R4502" s="2"/>
    </row>
    <row r="4503" spans="1:18" ht="19.5" hidden="1" thickBot="1" x14ac:dyDescent="0.3">
      <c r="A4503" s="954">
        <f t="shared" si="132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1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  <c r="Q4503" s="2"/>
      <c r="R4503" s="2"/>
    </row>
    <row r="4504" spans="1:18" ht="19.5" hidden="1" thickBot="1" x14ac:dyDescent="0.3">
      <c r="A4504" s="956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1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  <c r="Q4504" s="2"/>
      <c r="R4504" s="2"/>
    </row>
    <row r="4505" spans="1:18" ht="19.5" hidden="1" thickBot="1" x14ac:dyDescent="0.3">
      <c r="A4505" s="966">
        <f t="shared" si="132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1"/>
        <v>08,25</v>
      </c>
      <c r="L4505" s="535" t="s">
        <v>28</v>
      </c>
      <c r="M4505" s="535">
        <v>2949.84</v>
      </c>
      <c r="N4505" s="539">
        <v>0.5</v>
      </c>
      <c r="O4505" s="2"/>
      <c r="P4505" s="2"/>
      <c r="Q4505" s="2"/>
      <c r="R4505" s="2"/>
    </row>
    <row r="4506" spans="1:18" ht="19.5" hidden="1" thickBot="1" x14ac:dyDescent="0.3">
      <c r="A4506" s="968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1"/>
        <v>08,25</v>
      </c>
      <c r="L4506" s="640" t="s">
        <v>28</v>
      </c>
      <c r="M4506" s="640">
        <v>14341.95</v>
      </c>
      <c r="N4506" s="644">
        <v>0.5</v>
      </c>
      <c r="O4506" s="2"/>
      <c r="P4506" s="2"/>
      <c r="Q4506" s="2"/>
      <c r="R4506" s="2"/>
    </row>
    <row r="4507" spans="1:18" ht="19.5" hidden="1" thickBot="1" x14ac:dyDescent="0.3">
      <c r="A4507" s="954">
        <f t="shared" si="132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1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  <c r="Q4507" s="2"/>
      <c r="R4507" s="2"/>
    </row>
    <row r="4508" spans="1:18" ht="19.5" hidden="1" thickBot="1" x14ac:dyDescent="0.3">
      <c r="A4508" s="956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1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  <c r="Q4508" s="2"/>
      <c r="R4508" s="2"/>
    </row>
    <row r="4509" spans="1:18" ht="19.5" hidden="1" thickBot="1" x14ac:dyDescent="0.3">
      <c r="A4509" s="551">
        <f t="shared" si="132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1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  <c r="Q4509" s="2"/>
      <c r="R4509" s="2"/>
    </row>
    <row r="4510" spans="1:18" ht="19.5" hidden="1" thickBot="1" x14ac:dyDescent="0.3">
      <c r="A4510" s="513">
        <f t="shared" si="132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1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  <c r="Q4510" s="2"/>
      <c r="R4510" s="2"/>
    </row>
    <row r="4511" spans="1:18" ht="19.5" hidden="1" thickBot="1" x14ac:dyDescent="0.3">
      <c r="A4511" s="503">
        <f t="shared" si="132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1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  <c r="Q4511" s="2"/>
      <c r="R4511" s="2"/>
    </row>
    <row r="4512" spans="1:18" ht="19.5" hidden="1" thickBot="1" x14ac:dyDescent="0.3">
      <c r="A4512" s="954">
        <f t="shared" si="132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1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  <c r="Q4512" s="2"/>
      <c r="R4512" s="2"/>
    </row>
    <row r="4513" spans="1:18" ht="19.5" hidden="1" thickBot="1" x14ac:dyDescent="0.3">
      <c r="A4513" s="955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1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  <c r="Q4513" s="2"/>
      <c r="R4513" s="2"/>
    </row>
    <row r="4514" spans="1:18" ht="19.5" hidden="1" thickBot="1" x14ac:dyDescent="0.3">
      <c r="A4514" s="956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1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  <c r="Q4514" s="2"/>
      <c r="R4514" s="2"/>
    </row>
    <row r="4515" spans="1:18" ht="19.5" hidden="1" thickBot="1" x14ac:dyDescent="0.3">
      <c r="A4515" s="966">
        <f t="shared" si="132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1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  <c r="Q4515" s="2"/>
      <c r="R4515" s="2"/>
    </row>
    <row r="4516" spans="1:18" ht="19.5" hidden="1" thickBot="1" x14ac:dyDescent="0.3">
      <c r="A4516" s="968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1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  <c r="Q4516" s="2"/>
      <c r="R4516" s="2"/>
    </row>
    <row r="4517" spans="1:18" ht="19.5" hidden="1" thickBot="1" x14ac:dyDescent="0.3">
      <c r="A4517" s="954">
        <f t="shared" si="132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1"/>
        <v>08,25</v>
      </c>
      <c r="L4517" s="483" t="s">
        <v>266</v>
      </c>
      <c r="M4517" s="483">
        <v>4584.82</v>
      </c>
      <c r="N4517" s="486">
        <v>0.5</v>
      </c>
      <c r="O4517" s="2"/>
      <c r="P4517" s="2"/>
      <c r="Q4517" s="2"/>
      <c r="R4517" s="2"/>
    </row>
    <row r="4518" spans="1:18" ht="19.5" hidden="1" thickBot="1" x14ac:dyDescent="0.3">
      <c r="A4518" s="956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1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  <c r="Q4518" s="2"/>
      <c r="R4518" s="2"/>
    </row>
    <row r="4519" spans="1:18" ht="19.5" hidden="1" thickBot="1" x14ac:dyDescent="0.3">
      <c r="A4519" s="503">
        <f t="shared" si="132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1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  <c r="Q4519" s="2"/>
      <c r="R4519" s="2"/>
    </row>
    <row r="4520" spans="1:18" ht="19.5" hidden="1" thickBot="1" x14ac:dyDescent="0.3">
      <c r="A4520" s="513">
        <f t="shared" si="132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1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  <c r="Q4520" s="2"/>
      <c r="R4520" s="2"/>
    </row>
    <row r="4521" spans="1:18" ht="19.5" hidden="1" thickBot="1" x14ac:dyDescent="0.3">
      <c r="A4521" s="966">
        <f t="shared" si="132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1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  <c r="Q4521" s="2"/>
      <c r="R4521" s="2"/>
    </row>
    <row r="4522" spans="1:18" ht="19.5" hidden="1" thickBot="1" x14ac:dyDescent="0.3">
      <c r="A4522" s="967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1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  <c r="Q4522" s="2"/>
      <c r="R4522" s="2"/>
    </row>
    <row r="4523" spans="1:18" ht="19.5" hidden="1" thickBot="1" x14ac:dyDescent="0.3">
      <c r="A4523" s="968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1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  <c r="Q4523" s="2"/>
      <c r="R4523" s="2"/>
    </row>
    <row r="4524" spans="1:18" ht="19.5" hidden="1" thickBot="1" x14ac:dyDescent="0.3">
      <c r="A4524" s="954">
        <f t="shared" si="132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1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  <c r="Q4524" s="2"/>
      <c r="R4524" s="2"/>
    </row>
    <row r="4525" spans="1:18" ht="19.5" hidden="1" thickBot="1" x14ac:dyDescent="0.3">
      <c r="A4525" s="955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1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  <c r="Q4525" s="2"/>
      <c r="R4525" s="2"/>
    </row>
    <row r="4526" spans="1:18" ht="19.5" hidden="1" thickBot="1" x14ac:dyDescent="0.3">
      <c r="A4526" s="956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1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  <c r="Q4526" s="2"/>
      <c r="R4526" s="2"/>
    </row>
    <row r="4527" spans="1:18" ht="19.5" hidden="1" thickBot="1" x14ac:dyDescent="0.3">
      <c r="A4527" s="966">
        <f t="shared" si="132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1"/>
        <v>08,25</v>
      </c>
      <c r="L4527" s="535" t="s">
        <v>28</v>
      </c>
      <c r="M4527" s="535">
        <v>1040.96</v>
      </c>
      <c r="N4527" s="539">
        <v>0.5</v>
      </c>
      <c r="O4527" s="2"/>
      <c r="P4527" s="2"/>
      <c r="Q4527" s="2"/>
      <c r="R4527" s="2"/>
    </row>
    <row r="4528" spans="1:18" ht="19.5" hidden="1" thickBot="1" x14ac:dyDescent="0.3">
      <c r="A4528" s="968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1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  <c r="Q4528" s="2"/>
      <c r="R4528" s="2"/>
    </row>
    <row r="4529" spans="1:18" ht="19.5" hidden="1" thickBot="1" x14ac:dyDescent="0.3">
      <c r="A4529" s="954">
        <f t="shared" si="132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1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  <c r="Q4529" s="2"/>
      <c r="R4529" s="2"/>
    </row>
    <row r="4530" spans="1:18" ht="19.5" hidden="1" thickBot="1" x14ac:dyDescent="0.3">
      <c r="A4530" s="956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1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  <c r="Q4530" s="2"/>
      <c r="R4530" s="2"/>
    </row>
    <row r="4531" spans="1:18" ht="38.25" hidden="1" thickBot="1" x14ac:dyDescent="0.3">
      <c r="A4531" s="503">
        <f t="shared" si="132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1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  <c r="Q4531" s="2"/>
      <c r="R4531" s="2"/>
    </row>
    <row r="4532" spans="1:18" ht="19.5" hidden="1" thickBot="1" x14ac:dyDescent="0.3">
      <c r="A4532" s="954">
        <f t="shared" si="132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1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  <c r="Q4532" s="2"/>
      <c r="R4532" s="2"/>
    </row>
    <row r="4533" spans="1:18" ht="19.5" hidden="1" thickBot="1" x14ac:dyDescent="0.3">
      <c r="A4533" s="955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1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  <c r="Q4533" s="2"/>
      <c r="R4533" s="2"/>
    </row>
    <row r="4534" spans="1:18" ht="19.5" hidden="1" thickBot="1" x14ac:dyDescent="0.3">
      <c r="A4534" s="503">
        <f t="shared" si="132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1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  <c r="Q4534" s="2"/>
      <c r="R4534" s="2"/>
    </row>
    <row r="4535" spans="1:18" ht="19.5" hidden="1" thickBot="1" x14ac:dyDescent="0.3">
      <c r="A4535" s="513">
        <f t="shared" si="132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1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  <c r="Q4535" s="2"/>
      <c r="R4535" s="2"/>
    </row>
    <row r="4536" spans="1:18" ht="19.5" hidden="1" thickBot="1" x14ac:dyDescent="0.3">
      <c r="A4536" s="966">
        <f t="shared" si="132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1"/>
        <v>08,25</v>
      </c>
      <c r="L4536" s="535" t="s">
        <v>266</v>
      </c>
      <c r="M4536" s="535">
        <v>1468.6</v>
      </c>
      <c r="N4536" s="539">
        <v>0.5</v>
      </c>
      <c r="O4536" s="2"/>
      <c r="P4536" s="2"/>
      <c r="Q4536" s="2"/>
      <c r="R4536" s="2"/>
    </row>
    <row r="4537" spans="1:18" ht="19.5" hidden="1" thickBot="1" x14ac:dyDescent="0.3">
      <c r="A4537" s="967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1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  <c r="Q4537" s="2"/>
      <c r="R4537" s="2"/>
    </row>
    <row r="4538" spans="1:18" ht="19.5" hidden="1" thickBot="1" x14ac:dyDescent="0.3">
      <c r="A4538" s="968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1"/>
        <v>08,25</v>
      </c>
      <c r="L4538" s="640" t="s">
        <v>266</v>
      </c>
      <c r="M4538" s="640">
        <v>5776.56</v>
      </c>
      <c r="N4538" s="644">
        <v>0.5</v>
      </c>
      <c r="O4538" s="2"/>
      <c r="P4538" s="2"/>
      <c r="Q4538" s="2"/>
      <c r="R4538" s="2"/>
    </row>
    <row r="4539" spans="1:18" ht="19.5" hidden="1" thickBot="1" x14ac:dyDescent="0.3">
      <c r="A4539" s="954">
        <f t="shared" si="132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1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  <c r="Q4539" s="2"/>
      <c r="R4539" s="2"/>
    </row>
    <row r="4540" spans="1:18" ht="19.5" hidden="1" thickBot="1" x14ac:dyDescent="0.3">
      <c r="A4540" s="955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1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  <c r="Q4540" s="2"/>
      <c r="R4540" s="2"/>
    </row>
    <row r="4541" spans="1:18" ht="19.5" hidden="1" thickBot="1" x14ac:dyDescent="0.3">
      <c r="A4541" s="956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1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  <c r="Q4541" s="2"/>
      <c r="R4541" s="2"/>
    </row>
    <row r="4542" spans="1:18" ht="19.5" hidden="1" thickBot="1" x14ac:dyDescent="0.3">
      <c r="A4542" s="551">
        <f t="shared" si="132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1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  <c r="Q4542" s="2"/>
      <c r="R4542" s="2"/>
    </row>
    <row r="4543" spans="1:18" ht="19.5" hidden="1" thickBot="1" x14ac:dyDescent="0.3">
      <c r="A4543" s="954">
        <f t="shared" si="132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1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  <c r="Q4543" s="2"/>
      <c r="R4543" s="2"/>
    </row>
    <row r="4544" spans="1:18" ht="19.5" hidden="1" thickBot="1" x14ac:dyDescent="0.3">
      <c r="A4544" s="956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1"/>
        <v>08,25</v>
      </c>
      <c r="L4544" s="649" t="s">
        <v>265</v>
      </c>
      <c r="M4544" s="649">
        <v>8468.6</v>
      </c>
      <c r="N4544" s="653">
        <v>0.375</v>
      </c>
      <c r="O4544" s="2"/>
      <c r="P4544" s="2"/>
      <c r="Q4544" s="2"/>
      <c r="R4544" s="2"/>
    </row>
    <row r="4545" spans="1:18" ht="19.5" hidden="1" thickBot="1" x14ac:dyDescent="0.3">
      <c r="A4545" s="503">
        <f t="shared" si="132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1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  <c r="Q4545" s="2"/>
      <c r="R4545" s="2"/>
    </row>
    <row r="4546" spans="1:18" ht="19.5" hidden="1" thickBot="1" x14ac:dyDescent="0.3">
      <c r="A4546" s="513">
        <f t="shared" si="132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1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  <c r="Q4546" s="2"/>
      <c r="R4546" s="2"/>
    </row>
    <row r="4547" spans="1:18" ht="19.5" hidden="1" thickBot="1" x14ac:dyDescent="0.3">
      <c r="A4547" s="551">
        <f t="shared" si="132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1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  <c r="Q4547" s="2"/>
      <c r="R4547" s="2"/>
    </row>
    <row r="4548" spans="1:18" ht="19.5" hidden="1" thickBot="1" x14ac:dyDescent="0.3">
      <c r="A4548" s="954">
        <f t="shared" si="132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1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  <c r="Q4548" s="2"/>
      <c r="R4548" s="2"/>
    </row>
    <row r="4549" spans="1:18" ht="19.5" hidden="1" thickBot="1" x14ac:dyDescent="0.3">
      <c r="A4549" s="956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1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  <c r="Q4549" s="2"/>
      <c r="R4549" s="2"/>
    </row>
    <row r="4550" spans="1:18" ht="19.5" hidden="1" thickBot="1" x14ac:dyDescent="0.3">
      <c r="A4550" s="966">
        <f t="shared" si="132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1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  <c r="Q4550" s="2"/>
      <c r="R4550" s="2"/>
    </row>
    <row r="4551" spans="1:18" ht="19.5" hidden="1" thickBot="1" x14ac:dyDescent="0.3">
      <c r="A4551" s="968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1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  <c r="Q4551" s="2"/>
      <c r="R4551" s="2"/>
    </row>
    <row r="4552" spans="1:18" ht="19.5" hidden="1" thickBot="1" x14ac:dyDescent="0.3">
      <c r="A4552" s="954">
        <f t="shared" si="132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1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  <c r="Q4552" s="2"/>
      <c r="R4552" s="2"/>
    </row>
    <row r="4553" spans="1:18" ht="19.5" hidden="1" thickBot="1" x14ac:dyDescent="0.3">
      <c r="A4553" s="956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1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  <c r="Q4553" s="2"/>
      <c r="R4553" s="2"/>
    </row>
    <row r="4554" spans="1:18" ht="19.5" hidden="1" thickBot="1" x14ac:dyDescent="0.3">
      <c r="A4554" s="966">
        <f t="shared" si="132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1"/>
        <v>08,25</v>
      </c>
      <c r="L4554" s="535" t="s">
        <v>28</v>
      </c>
      <c r="M4554" s="535">
        <v>3614.42</v>
      </c>
      <c r="N4554" s="539">
        <v>0.5</v>
      </c>
      <c r="O4554" s="2"/>
      <c r="P4554" s="2"/>
      <c r="Q4554" s="2"/>
      <c r="R4554" s="2"/>
    </row>
    <row r="4555" spans="1:18" ht="19.5" hidden="1" thickBot="1" x14ac:dyDescent="0.3">
      <c r="A4555" s="968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1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  <c r="Q4555" s="2"/>
      <c r="R4555" s="2"/>
    </row>
    <row r="4556" spans="1:18" ht="38.25" hidden="1" thickBot="1" x14ac:dyDescent="0.3">
      <c r="A4556" s="513">
        <f t="shared" si="132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1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  <c r="Q4556" s="2"/>
      <c r="R4556" s="2"/>
    </row>
    <row r="4557" spans="1:18" ht="19.5" hidden="1" thickBot="1" x14ac:dyDescent="0.3">
      <c r="A4557" s="551">
        <f t="shared" si="132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1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  <c r="Q4557" s="2"/>
      <c r="R4557" s="2"/>
    </row>
    <row r="4558" spans="1:18" ht="19.5" hidden="1" thickBot="1" x14ac:dyDescent="0.3">
      <c r="A4558" s="513">
        <f t="shared" si="132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1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  <c r="Q4558" s="2"/>
      <c r="R4558" s="2"/>
    </row>
    <row r="4559" spans="1:18" ht="19.5" hidden="1" thickBot="1" x14ac:dyDescent="0.3">
      <c r="A4559" s="503">
        <f t="shared" si="132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1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  <c r="Q4559" s="2"/>
      <c r="R4559" s="2"/>
    </row>
    <row r="4560" spans="1:18" ht="19.5" hidden="1" thickBot="1" x14ac:dyDescent="0.3">
      <c r="A4560" s="954">
        <f t="shared" si="132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1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  <c r="Q4560" s="2"/>
      <c r="R4560" s="2"/>
    </row>
    <row r="4561" spans="1:18" ht="19.5" hidden="1" thickBot="1" x14ac:dyDescent="0.3">
      <c r="A4561" s="955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1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  <c r="Q4561" s="2"/>
      <c r="R4561" s="2"/>
    </row>
    <row r="4562" spans="1:18" ht="19.5" hidden="1" thickBot="1" x14ac:dyDescent="0.3">
      <c r="A4562" s="956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1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  <c r="Q4562" s="2"/>
      <c r="R4562" s="2"/>
    </row>
    <row r="4563" spans="1:18" ht="19.5" hidden="1" thickBot="1" x14ac:dyDescent="0.3">
      <c r="A4563" s="966">
        <f t="shared" ref="A4563" si="133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1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  <c r="Q4563" s="2"/>
      <c r="R4563" s="2"/>
    </row>
    <row r="4564" spans="1:18" ht="19.5" hidden="1" thickBot="1" x14ac:dyDescent="0.3">
      <c r="A4564" s="967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1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  <c r="Q4564" s="2"/>
      <c r="R4564" s="2"/>
    </row>
    <row r="4565" spans="1:18" ht="19.5" hidden="1" thickBot="1" x14ac:dyDescent="0.3">
      <c r="A4565" s="968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1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  <c r="Q4565" s="2"/>
      <c r="R4565" s="2"/>
    </row>
    <row r="4566" spans="1:18" ht="19.5" hidden="1" thickBot="1" x14ac:dyDescent="0.3">
      <c r="A4566" s="513">
        <f t="shared" ref="A4566:A4629" si="134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1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  <c r="Q4566" s="2"/>
      <c r="R4566" s="2"/>
    </row>
    <row r="4567" spans="1:18" ht="19.5" hidden="1" thickBot="1" x14ac:dyDescent="0.3">
      <c r="A4567" s="966">
        <f t="shared" si="134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1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  <c r="Q4567" s="2"/>
      <c r="R4567" s="2"/>
    </row>
    <row r="4568" spans="1:18" ht="19.5" hidden="1" thickBot="1" x14ac:dyDescent="0.3">
      <c r="A4568" s="967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1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  <c r="Q4568" s="2"/>
      <c r="R4568" s="2"/>
    </row>
    <row r="4569" spans="1:18" ht="19.5" hidden="1" thickBot="1" x14ac:dyDescent="0.3">
      <c r="A4569" s="968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1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  <c r="Q4569" s="2"/>
      <c r="R4569" s="2"/>
    </row>
    <row r="4570" spans="1:18" ht="19.5" hidden="1" thickBot="1" x14ac:dyDescent="0.3">
      <c r="A4570" s="954">
        <f t="shared" si="134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1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  <c r="Q4570" s="2"/>
      <c r="R4570" s="2"/>
    </row>
    <row r="4571" spans="1:18" ht="19.5" hidden="1" thickBot="1" x14ac:dyDescent="0.3">
      <c r="A4571" s="956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1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  <c r="Q4571" s="2"/>
      <c r="R4571" s="2"/>
    </row>
    <row r="4572" spans="1:18" ht="19.5" hidden="1" thickBot="1" x14ac:dyDescent="0.3">
      <c r="A4572" s="966">
        <f t="shared" si="134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1"/>
        <v>08,25</v>
      </c>
      <c r="L4572" s="535" t="s">
        <v>28</v>
      </c>
      <c r="M4572" s="535">
        <v>6754.4</v>
      </c>
      <c r="N4572" s="539">
        <v>0.5</v>
      </c>
      <c r="O4572" s="2"/>
      <c r="P4572" s="2"/>
      <c r="Q4572" s="2"/>
      <c r="R4572" s="2"/>
    </row>
    <row r="4573" spans="1:18" ht="19.5" hidden="1" thickBot="1" x14ac:dyDescent="0.3">
      <c r="A4573" s="967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1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  <c r="Q4573" s="2"/>
      <c r="R4573" s="2"/>
    </row>
    <row r="4574" spans="1:18" ht="19.5" hidden="1" thickBot="1" x14ac:dyDescent="0.3">
      <c r="A4574" s="968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1"/>
        <v>08,25</v>
      </c>
      <c r="L4574" s="640" t="s">
        <v>28</v>
      </c>
      <c r="M4574" s="640">
        <v>957.6</v>
      </c>
      <c r="N4574" s="644">
        <v>0.5</v>
      </c>
      <c r="O4574" s="2"/>
      <c r="P4574" s="2"/>
      <c r="Q4574" s="2"/>
      <c r="R4574" s="2"/>
    </row>
    <row r="4575" spans="1:18" ht="19.5" hidden="1" thickBot="1" x14ac:dyDescent="0.3">
      <c r="A4575" s="513">
        <f t="shared" si="134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1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  <c r="Q4575" s="2"/>
      <c r="R4575" s="2"/>
    </row>
    <row r="4576" spans="1:18" ht="19.5" hidden="1" thickBot="1" x14ac:dyDescent="0.3">
      <c r="A4576" s="503">
        <f t="shared" si="134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1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  <c r="Q4576" s="2"/>
      <c r="R4576" s="2"/>
    </row>
    <row r="4577" spans="1:18" ht="38.25" hidden="1" thickBot="1" x14ac:dyDescent="0.3">
      <c r="A4577" s="572">
        <f t="shared" si="134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1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  <c r="Q4577" s="2"/>
      <c r="R4577" s="2"/>
    </row>
    <row r="4578" spans="1:18" ht="19.5" hidden="1" thickBot="1" x14ac:dyDescent="0.3">
      <c r="A4578" s="503">
        <f t="shared" si="134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1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  <c r="Q4578" s="2"/>
      <c r="R4578" s="2"/>
    </row>
    <row r="4579" spans="1:18" ht="27.75" hidden="1" customHeight="1" x14ac:dyDescent="0.25">
      <c r="A4579" s="954">
        <f t="shared" si="134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963" t="s">
        <v>1007</v>
      </c>
      <c r="H4579" s="483" t="s">
        <v>1006</v>
      </c>
      <c r="I4579" s="484" t="s">
        <v>1009</v>
      </c>
      <c r="J4579" s="485"/>
      <c r="K4579" s="483" t="str">
        <f t="shared" si="131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  <c r="Q4579" s="2"/>
      <c r="R4579" s="2"/>
    </row>
    <row r="4580" spans="1:18" ht="27.75" hidden="1" customHeight="1" x14ac:dyDescent="0.25">
      <c r="A4580" s="955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964"/>
      <c r="H4580" s="527" t="s">
        <v>1006</v>
      </c>
      <c r="I4580" s="528" t="s">
        <v>1009</v>
      </c>
      <c r="J4580" s="529"/>
      <c r="K4580" s="527" t="str">
        <f t="shared" si="131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  <c r="Q4580" s="2"/>
      <c r="R4580" s="2"/>
    </row>
    <row r="4581" spans="1:18" ht="27.75" hidden="1" customHeight="1" thickBot="1" x14ac:dyDescent="0.3">
      <c r="A4581" s="956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965"/>
      <c r="H4581" s="649" t="s">
        <v>1006</v>
      </c>
      <c r="I4581" s="651" t="s">
        <v>1009</v>
      </c>
      <c r="J4581" s="652"/>
      <c r="K4581" s="649" t="str">
        <f t="shared" si="131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  <c r="Q4581" s="2"/>
      <c r="R4581" s="2"/>
    </row>
    <row r="4582" spans="1:18" ht="19.5" hidden="1" thickBot="1" x14ac:dyDescent="0.3">
      <c r="A4582" s="966">
        <f t="shared" si="134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1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  <c r="Q4582" s="2"/>
      <c r="R4582" s="2"/>
    </row>
    <row r="4583" spans="1:18" ht="19.5" hidden="1" thickBot="1" x14ac:dyDescent="0.3">
      <c r="A4583" s="967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1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  <c r="Q4583" s="2"/>
      <c r="R4583" s="2"/>
    </row>
    <row r="4584" spans="1:18" ht="19.5" hidden="1" thickBot="1" x14ac:dyDescent="0.3">
      <c r="A4584" s="968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1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  <c r="Q4584" s="2"/>
      <c r="R4584" s="2"/>
    </row>
    <row r="4585" spans="1:18" ht="94.5" hidden="1" thickBot="1" x14ac:dyDescent="0.3">
      <c r="A4585" s="572">
        <f t="shared" si="134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1"/>
        <v>08,25</v>
      </c>
      <c r="L4585" s="577" t="s">
        <v>266</v>
      </c>
      <c r="M4585" s="577">
        <v>7059.78</v>
      </c>
      <c r="N4585" s="581">
        <v>0.5</v>
      </c>
      <c r="O4585" s="2"/>
      <c r="P4585" s="2"/>
      <c r="Q4585" s="2"/>
      <c r="R4585" s="2"/>
    </row>
    <row r="4586" spans="1:18" ht="19.5" hidden="1" thickBot="1" x14ac:dyDescent="0.3">
      <c r="A4586" s="966">
        <f t="shared" si="134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1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  <c r="Q4586" s="2"/>
      <c r="R4586" s="2"/>
    </row>
    <row r="4587" spans="1:18" ht="19.5" hidden="1" thickBot="1" x14ac:dyDescent="0.3">
      <c r="A4587" s="968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1"/>
        <v>08,25</v>
      </c>
      <c r="L4587" s="640" t="s">
        <v>265</v>
      </c>
      <c r="M4587" s="640">
        <v>2542.4</v>
      </c>
      <c r="N4587" s="644">
        <v>0.375</v>
      </c>
      <c r="O4587" s="2"/>
      <c r="P4587" s="2"/>
      <c r="Q4587" s="2"/>
      <c r="R4587" s="2"/>
    </row>
    <row r="4588" spans="1:18" ht="19.5" hidden="1" thickBot="1" x14ac:dyDescent="0.3">
      <c r="A4588" s="513">
        <f t="shared" si="134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1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  <c r="Q4588" s="2"/>
      <c r="R4588" s="2"/>
    </row>
    <row r="4589" spans="1:18" ht="19.5" hidden="1" thickBot="1" x14ac:dyDescent="0.3">
      <c r="A4589" s="503">
        <f t="shared" si="134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1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  <c r="Q4589" s="2"/>
      <c r="R4589" s="2"/>
    </row>
    <row r="4590" spans="1:18" ht="19.5" hidden="1" thickBot="1" x14ac:dyDescent="0.3">
      <c r="A4590" s="572">
        <f t="shared" si="134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1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  <c r="Q4590" s="2"/>
      <c r="R4590" s="2"/>
    </row>
    <row r="4591" spans="1:18" ht="19.5" hidden="1" thickBot="1" x14ac:dyDescent="0.3">
      <c r="A4591" s="966">
        <f t="shared" si="134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1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  <c r="Q4591" s="2"/>
      <c r="R4591" s="2"/>
    </row>
    <row r="4592" spans="1:18" ht="19.5" hidden="1" thickBot="1" x14ac:dyDescent="0.3">
      <c r="A4592" s="968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1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  <c r="Q4592" s="2"/>
      <c r="R4592" s="2"/>
    </row>
    <row r="4593" spans="1:18" ht="19.5" hidden="1" thickBot="1" x14ac:dyDescent="0.3">
      <c r="A4593" s="954">
        <f t="shared" si="134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1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  <c r="Q4593" s="2"/>
      <c r="R4593" s="2"/>
    </row>
    <row r="4594" spans="1:18" ht="19.5" hidden="1" thickBot="1" x14ac:dyDescent="0.3">
      <c r="A4594" s="955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1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  <c r="Q4594" s="2"/>
      <c r="R4594" s="2"/>
    </row>
    <row r="4595" spans="1:18" ht="19.5" hidden="1" thickBot="1" x14ac:dyDescent="0.3">
      <c r="A4595" s="956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1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  <c r="Q4595" s="2"/>
      <c r="R4595" s="2"/>
    </row>
    <row r="4596" spans="1:18" ht="19.5" hidden="1" thickBot="1" x14ac:dyDescent="0.3">
      <c r="A4596" s="503">
        <f t="shared" si="134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1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  <c r="Q4596" s="2"/>
      <c r="R4596" s="2"/>
    </row>
    <row r="4597" spans="1:18" ht="19.5" hidden="1" thickBot="1" x14ac:dyDescent="0.3">
      <c r="A4597" s="954">
        <f t="shared" si="134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1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  <c r="Q4597" s="2"/>
      <c r="R4597" s="2"/>
    </row>
    <row r="4598" spans="1:18" ht="19.5" hidden="1" thickBot="1" x14ac:dyDescent="0.3">
      <c r="A4598" s="956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1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  <c r="Q4598" s="2"/>
      <c r="R4598" s="2"/>
    </row>
    <row r="4599" spans="1:18" ht="19.5" hidden="1" thickBot="1" x14ac:dyDescent="0.3">
      <c r="A4599" s="503">
        <f t="shared" si="134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1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  <c r="Q4599" s="2"/>
      <c r="R4599" s="2"/>
    </row>
    <row r="4600" spans="1:18" ht="19.5" hidden="1" thickBot="1" x14ac:dyDescent="0.3">
      <c r="A4600" s="513">
        <f t="shared" si="134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1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  <c r="Q4600" s="2"/>
      <c r="R4600" s="2"/>
    </row>
    <row r="4601" spans="1:18" ht="19.5" hidden="1" thickBot="1" x14ac:dyDescent="0.3">
      <c r="A4601" s="966">
        <f t="shared" si="134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1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  <c r="Q4601" s="2"/>
      <c r="R4601" s="2"/>
    </row>
    <row r="4602" spans="1:18" ht="19.5" hidden="1" thickBot="1" x14ac:dyDescent="0.3">
      <c r="A4602" s="967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1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  <c r="Q4602" s="2"/>
      <c r="R4602" s="2"/>
    </row>
    <row r="4603" spans="1:18" ht="19.5" hidden="1" thickBot="1" x14ac:dyDescent="0.3">
      <c r="A4603" s="513">
        <f t="shared" si="134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1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  <c r="Q4603" s="2"/>
      <c r="R4603" s="2"/>
    </row>
    <row r="4604" spans="1:18" ht="19.5" hidden="1" thickBot="1" x14ac:dyDescent="0.3">
      <c r="A4604" s="503">
        <f t="shared" si="134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1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  <c r="Q4604" s="2"/>
      <c r="R4604" s="2"/>
    </row>
    <row r="4605" spans="1:18" ht="19.5" hidden="1" thickBot="1" x14ac:dyDescent="0.3">
      <c r="A4605" s="954">
        <f t="shared" si="134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1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  <c r="Q4605" s="2"/>
      <c r="R4605" s="2"/>
    </row>
    <row r="4606" spans="1:18" ht="19.5" hidden="1" thickBot="1" x14ac:dyDescent="0.3">
      <c r="A4606" s="955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1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  <c r="Q4606" s="2"/>
      <c r="R4606" s="2"/>
    </row>
    <row r="4607" spans="1:18" ht="19.5" hidden="1" thickBot="1" x14ac:dyDescent="0.3">
      <c r="A4607" s="955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1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  <c r="Q4607" s="2"/>
      <c r="R4607" s="2"/>
    </row>
    <row r="4608" spans="1:18" ht="19.5" hidden="1" thickBot="1" x14ac:dyDescent="0.3">
      <c r="A4608" s="956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1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  <c r="Q4608" s="2"/>
      <c r="R4608" s="2"/>
    </row>
    <row r="4609" spans="1:18" ht="19.5" hidden="1" thickBot="1" x14ac:dyDescent="0.3">
      <c r="A4609" s="503">
        <f t="shared" si="134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1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  <c r="Q4609" s="2"/>
      <c r="R4609" s="2"/>
    </row>
    <row r="4610" spans="1:18" ht="19.5" hidden="1" thickBot="1" x14ac:dyDescent="0.3">
      <c r="A4610" s="954">
        <f t="shared" si="134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1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  <c r="Q4610" s="2"/>
      <c r="R4610" s="2"/>
    </row>
    <row r="4611" spans="1:18" ht="19.5" hidden="1" thickBot="1" x14ac:dyDescent="0.3">
      <c r="A4611" s="956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1"/>
        <v>08,25</v>
      </c>
      <c r="L4611" s="649" t="s">
        <v>28</v>
      </c>
      <c r="M4611" s="649">
        <v>2984.46</v>
      </c>
      <c r="N4611" s="653">
        <v>0.5</v>
      </c>
      <c r="O4611" s="2"/>
      <c r="P4611" s="2"/>
      <c r="Q4611" s="2"/>
      <c r="R4611" s="2"/>
    </row>
    <row r="4612" spans="1:18" ht="19.5" hidden="1" thickBot="1" x14ac:dyDescent="0.3">
      <c r="A4612" s="503">
        <f t="shared" si="134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1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  <c r="Q4612" s="2"/>
      <c r="R4612" s="2"/>
    </row>
    <row r="4613" spans="1:18" ht="19.5" hidden="1" thickBot="1" x14ac:dyDescent="0.3">
      <c r="A4613" s="513">
        <f t="shared" si="134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1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  <c r="Q4613" s="2"/>
      <c r="R4613" s="2"/>
    </row>
    <row r="4614" spans="1:18" ht="19.5" hidden="1" thickBot="1" x14ac:dyDescent="0.3">
      <c r="A4614" s="503">
        <f t="shared" si="134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1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  <c r="Q4614" s="2"/>
      <c r="R4614" s="2"/>
    </row>
    <row r="4615" spans="1:18" ht="28.5" hidden="1" customHeight="1" x14ac:dyDescent="0.25">
      <c r="A4615" s="954">
        <f t="shared" si="134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963" t="s">
        <v>1014</v>
      </c>
      <c r="H4615" s="483" t="s">
        <v>1012</v>
      </c>
      <c r="I4615" s="484" t="s">
        <v>1013</v>
      </c>
      <c r="J4615" s="485"/>
      <c r="K4615" s="483" t="str">
        <f t="shared" si="131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  <c r="Q4615" s="2"/>
      <c r="R4615" s="2"/>
    </row>
    <row r="4616" spans="1:18" ht="28.5" hidden="1" customHeight="1" thickBot="1" x14ac:dyDescent="0.3">
      <c r="A4616" s="956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965"/>
      <c r="H4616" s="649" t="s">
        <v>1012</v>
      </c>
      <c r="I4616" s="651" t="s">
        <v>1013</v>
      </c>
      <c r="J4616" s="652"/>
      <c r="K4616" s="649" t="str">
        <f t="shared" si="131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  <c r="Q4616" s="2"/>
      <c r="R4616" s="2"/>
    </row>
    <row r="4617" spans="1:18" ht="19.5" hidden="1" thickBot="1" x14ac:dyDescent="0.3">
      <c r="A4617" s="966">
        <f t="shared" si="134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1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  <c r="Q4617" s="2"/>
      <c r="R4617" s="2"/>
    </row>
    <row r="4618" spans="1:18" ht="19.5" hidden="1" thickBot="1" x14ac:dyDescent="0.3">
      <c r="A4618" s="968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1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  <c r="Q4618" s="2"/>
      <c r="R4618" s="2"/>
    </row>
    <row r="4619" spans="1:18" ht="19.5" hidden="1" thickBot="1" x14ac:dyDescent="0.3">
      <c r="A4619" s="513">
        <f t="shared" si="134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1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  <c r="Q4619" s="2"/>
      <c r="R4619" s="2"/>
    </row>
    <row r="4620" spans="1:18" ht="19.5" hidden="1" thickBot="1" x14ac:dyDescent="0.3">
      <c r="A4620" s="503">
        <f t="shared" si="134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1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  <c r="Q4620" s="2"/>
      <c r="R4620" s="2"/>
    </row>
    <row r="4621" spans="1:18" ht="38.25" hidden="1" thickBot="1" x14ac:dyDescent="0.3">
      <c r="A4621" s="513">
        <f t="shared" si="134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1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  <c r="Q4621" s="2"/>
      <c r="R4621" s="2"/>
    </row>
    <row r="4622" spans="1:18" ht="19.5" hidden="1" thickBot="1" x14ac:dyDescent="0.3">
      <c r="A4622" s="966">
        <f t="shared" si="134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1"/>
        <v>08,25</v>
      </c>
      <c r="L4622" s="535" t="s">
        <v>266</v>
      </c>
      <c r="M4622" s="535">
        <v>10655.03</v>
      </c>
      <c r="N4622" s="539">
        <v>0.5</v>
      </c>
      <c r="O4622" s="2"/>
      <c r="P4622" s="2"/>
      <c r="Q4622" s="2"/>
      <c r="R4622" s="2"/>
    </row>
    <row r="4623" spans="1:18" ht="19.5" hidden="1" thickBot="1" x14ac:dyDescent="0.3">
      <c r="A4623" s="967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1"/>
        <v>08,25</v>
      </c>
      <c r="L4623" s="594" t="s">
        <v>266</v>
      </c>
      <c r="M4623" s="594">
        <v>3170.78</v>
      </c>
      <c r="N4623" s="598">
        <v>0.5</v>
      </c>
      <c r="O4623" s="2"/>
      <c r="P4623" s="2"/>
      <c r="Q4623" s="2"/>
      <c r="R4623" s="2"/>
    </row>
    <row r="4624" spans="1:18" ht="19.5" hidden="1" thickBot="1" x14ac:dyDescent="0.3">
      <c r="A4624" s="513">
        <f t="shared" si="134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1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  <c r="Q4624" s="2"/>
      <c r="R4624" s="2"/>
    </row>
    <row r="4625" spans="1:18" ht="19.5" hidden="1" thickBot="1" x14ac:dyDescent="0.3">
      <c r="A4625" s="503">
        <f t="shared" si="134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1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  <c r="Q4625" s="2"/>
      <c r="R4625" s="2"/>
    </row>
    <row r="4626" spans="1:18" ht="19.5" hidden="1" thickBot="1" x14ac:dyDescent="0.3">
      <c r="A4626" s="513">
        <f t="shared" si="134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1"/>
        <v>08,25</v>
      </c>
      <c r="L4626" s="518" t="s">
        <v>266</v>
      </c>
      <c r="M4626" s="518">
        <v>17983.8</v>
      </c>
      <c r="N4626" s="522">
        <v>0.5</v>
      </c>
      <c r="O4626" s="2"/>
      <c r="P4626" s="2"/>
      <c r="Q4626" s="2"/>
      <c r="R4626" s="2"/>
    </row>
    <row r="4627" spans="1:18" ht="19.5" hidden="1" thickBot="1" x14ac:dyDescent="0.3">
      <c r="A4627" s="966">
        <f t="shared" si="134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1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  <c r="Q4627" s="2"/>
      <c r="R4627" s="2"/>
    </row>
    <row r="4628" spans="1:18" ht="19.5" hidden="1" thickBot="1" x14ac:dyDescent="0.3">
      <c r="A4628" s="968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1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  <c r="Q4628" s="2"/>
      <c r="R4628" s="2"/>
    </row>
    <row r="4629" spans="1:18" ht="19.5" hidden="1" thickBot="1" x14ac:dyDescent="0.3">
      <c r="A4629" s="954">
        <f t="shared" si="134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1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  <c r="Q4629" s="2"/>
      <c r="R4629" s="2"/>
    </row>
    <row r="4630" spans="1:18" ht="19.5" hidden="1" thickBot="1" x14ac:dyDescent="0.3">
      <c r="A4630" s="955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1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  <c r="Q4630" s="2"/>
      <c r="R4630" s="2"/>
    </row>
    <row r="4631" spans="1:18" ht="19.5" hidden="1" thickBot="1" x14ac:dyDescent="0.3">
      <c r="A4631" s="955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1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  <c r="Q4631" s="2"/>
      <c r="R4631" s="2"/>
    </row>
    <row r="4632" spans="1:18" ht="19.5" hidden="1" thickBot="1" x14ac:dyDescent="0.3">
      <c r="A4632" s="956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1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  <c r="Q4632" s="2"/>
      <c r="R4632" s="2"/>
    </row>
    <row r="4633" spans="1:18" ht="19.5" hidden="1" thickBot="1" x14ac:dyDescent="0.3">
      <c r="A4633" s="966">
        <f t="shared" ref="A4633:A4695" si="135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1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  <c r="Q4633" s="2"/>
      <c r="R4633" s="2"/>
    </row>
    <row r="4634" spans="1:18" ht="19.5" hidden="1" thickBot="1" x14ac:dyDescent="0.3">
      <c r="A4634" s="967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1"/>
        <v>08,25</v>
      </c>
      <c r="L4634" s="594" t="s">
        <v>266</v>
      </c>
      <c r="M4634" s="594">
        <v>2004.6</v>
      </c>
      <c r="N4634" s="598">
        <v>0.625</v>
      </c>
      <c r="O4634" s="2"/>
      <c r="P4634" s="2"/>
      <c r="Q4634" s="2"/>
      <c r="R4634" s="2"/>
    </row>
    <row r="4635" spans="1:18" ht="19.5" hidden="1" thickBot="1" x14ac:dyDescent="0.3">
      <c r="A4635" s="954">
        <f t="shared" si="135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1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  <c r="Q4635" s="2"/>
      <c r="R4635" s="2"/>
    </row>
    <row r="4636" spans="1:18" ht="19.5" hidden="1" thickBot="1" x14ac:dyDescent="0.3">
      <c r="A4636" s="956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1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  <c r="Q4636" s="2"/>
      <c r="R4636" s="2"/>
    </row>
    <row r="4637" spans="1:18" ht="19.5" hidden="1" thickBot="1" x14ac:dyDescent="0.3">
      <c r="A4637" s="503">
        <f t="shared" si="135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1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  <c r="Q4637" s="2"/>
      <c r="R4637" s="2"/>
    </row>
    <row r="4638" spans="1:18" ht="19.5" hidden="1" thickBot="1" x14ac:dyDescent="0.3">
      <c r="A4638" s="513">
        <f t="shared" si="135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1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  <c r="Q4638" s="2"/>
      <c r="R4638" s="2"/>
    </row>
    <row r="4639" spans="1:18" ht="19.5" hidden="1" thickBot="1" x14ac:dyDescent="0.3">
      <c r="A4639" s="551">
        <f t="shared" si="135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1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  <c r="Q4639" s="2"/>
      <c r="R4639" s="2"/>
    </row>
    <row r="4640" spans="1:18" ht="57" hidden="1" thickBot="1" x14ac:dyDescent="0.3">
      <c r="A4640" s="954">
        <f t="shared" si="135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1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  <c r="Q4640" s="2"/>
      <c r="R4640" s="2"/>
    </row>
    <row r="4641" spans="1:18" ht="19.5" hidden="1" thickBot="1" x14ac:dyDescent="0.3">
      <c r="A4641" s="956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1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  <c r="Q4641" s="2"/>
      <c r="R4641" s="2"/>
    </row>
    <row r="4642" spans="1:18" ht="19.5" hidden="1" thickBot="1" x14ac:dyDescent="0.3">
      <c r="A4642" s="503">
        <f t="shared" si="135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1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  <c r="Q4642" s="2"/>
      <c r="R4642" s="2"/>
    </row>
    <row r="4643" spans="1:18" ht="19.5" hidden="1" thickBot="1" x14ac:dyDescent="0.3">
      <c r="A4643" s="954">
        <f t="shared" si="135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1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  <c r="Q4643" s="2"/>
      <c r="R4643" s="2"/>
    </row>
    <row r="4644" spans="1:18" ht="19.5" hidden="1" thickBot="1" x14ac:dyDescent="0.3">
      <c r="A4644" s="955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1"/>
        <v>08,25</v>
      </c>
      <c r="L4644" s="527" t="s">
        <v>28</v>
      </c>
      <c r="M4644" s="527">
        <v>1830.9</v>
      </c>
      <c r="N4644" s="530">
        <v>0.5</v>
      </c>
      <c r="O4644" s="2"/>
      <c r="P4644" s="2"/>
      <c r="Q4644" s="2"/>
      <c r="R4644" s="2"/>
    </row>
    <row r="4645" spans="1:18" ht="19.5" hidden="1" thickBot="1" x14ac:dyDescent="0.3">
      <c r="A4645" s="956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1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  <c r="Q4645" s="2"/>
      <c r="R4645" s="2"/>
    </row>
    <row r="4646" spans="1:18" ht="19.5" hidden="1" thickBot="1" x14ac:dyDescent="0.3">
      <c r="A4646" s="966">
        <f t="shared" si="135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1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  <c r="Q4646" s="2"/>
      <c r="R4646" s="2"/>
    </row>
    <row r="4647" spans="1:18" ht="19.5" hidden="1" thickBot="1" x14ac:dyDescent="0.3">
      <c r="A4647" s="967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1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  <c r="Q4647" s="2"/>
      <c r="R4647" s="2"/>
    </row>
    <row r="4648" spans="1:18" ht="19.5" hidden="1" thickBot="1" x14ac:dyDescent="0.3">
      <c r="A4648" s="968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1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  <c r="Q4648" s="2"/>
      <c r="R4648" s="2"/>
    </row>
    <row r="4649" spans="1:18" ht="19.5" hidden="1" thickBot="1" x14ac:dyDescent="0.3">
      <c r="A4649" s="954">
        <f t="shared" si="135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1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  <c r="Q4649" s="2"/>
      <c r="R4649" s="2"/>
    </row>
    <row r="4650" spans="1:18" ht="19.5" hidden="1" thickBot="1" x14ac:dyDescent="0.3">
      <c r="A4650" s="956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1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  <c r="Q4650" s="2"/>
      <c r="R4650" s="2"/>
    </row>
    <row r="4651" spans="1:18" ht="19.5" hidden="1" thickBot="1" x14ac:dyDescent="0.3">
      <c r="A4651" s="551">
        <f t="shared" si="135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1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  <c r="Q4651" s="2"/>
      <c r="R4651" s="2"/>
    </row>
    <row r="4652" spans="1:18" ht="19.5" hidden="1" thickBot="1" x14ac:dyDescent="0.3">
      <c r="A4652" s="513">
        <f t="shared" si="135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1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  <c r="Q4652" s="2"/>
      <c r="R4652" s="2"/>
    </row>
    <row r="4653" spans="1:18" ht="19.5" hidden="1" thickBot="1" x14ac:dyDescent="0.3">
      <c r="A4653" s="966">
        <f t="shared" si="135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1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  <c r="Q4653" s="2"/>
      <c r="R4653" s="2"/>
    </row>
    <row r="4654" spans="1:18" ht="19.5" hidden="1" thickBot="1" x14ac:dyDescent="0.3">
      <c r="A4654" s="967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1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  <c r="Q4654" s="2"/>
      <c r="R4654" s="2"/>
    </row>
    <row r="4655" spans="1:18" ht="19.5" hidden="1" thickBot="1" x14ac:dyDescent="0.3">
      <c r="A4655" s="968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1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  <c r="Q4655" s="2"/>
      <c r="R4655" s="2"/>
    </row>
    <row r="4656" spans="1:18" ht="19.5" hidden="1" thickBot="1" x14ac:dyDescent="0.3">
      <c r="A4656" s="954">
        <f t="shared" si="135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1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  <c r="Q4656" s="2"/>
      <c r="R4656" s="2"/>
    </row>
    <row r="4657" spans="1:18" ht="19.5" hidden="1" thickBot="1" x14ac:dyDescent="0.3">
      <c r="A4657" s="956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1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  <c r="Q4657" s="2"/>
      <c r="R4657" s="2"/>
    </row>
    <row r="4658" spans="1:18" ht="38.25" hidden="1" thickBot="1" x14ac:dyDescent="0.3">
      <c r="A4658" s="503">
        <f t="shared" si="135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1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  <c r="Q4658" s="2"/>
      <c r="R4658" s="2"/>
    </row>
    <row r="4659" spans="1:18" ht="19.5" hidden="1" thickBot="1" x14ac:dyDescent="0.3">
      <c r="A4659" s="513">
        <f t="shared" si="135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1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  <c r="Q4659" s="2"/>
      <c r="R4659" s="2"/>
    </row>
    <row r="4660" spans="1:18" ht="19.5" hidden="1" thickBot="1" x14ac:dyDescent="0.3">
      <c r="A4660" s="503">
        <f t="shared" si="135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1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  <c r="Q4660" s="2"/>
      <c r="R4660" s="2"/>
    </row>
    <row r="4661" spans="1:18" ht="60.75" hidden="1" customHeight="1" thickBot="1" x14ac:dyDescent="0.3">
      <c r="A4661" s="513">
        <f t="shared" si="135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1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  <c r="Q4661" s="2"/>
      <c r="R4661" s="2"/>
    </row>
    <row r="4662" spans="1:18" ht="19.5" hidden="1" thickBot="1" x14ac:dyDescent="0.3">
      <c r="A4662" s="966">
        <f t="shared" si="135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1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  <c r="Q4662" s="2"/>
      <c r="R4662" s="2"/>
    </row>
    <row r="4663" spans="1:18" ht="19.5" hidden="1" thickBot="1" x14ac:dyDescent="0.3">
      <c r="A4663" s="968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1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  <c r="Q4663" s="2"/>
      <c r="R4663" s="2"/>
    </row>
    <row r="4664" spans="1:18" ht="19.5" hidden="1" thickBot="1" x14ac:dyDescent="0.3">
      <c r="A4664" s="954">
        <f t="shared" si="135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1"/>
        <v>08,25</v>
      </c>
      <c r="L4664" s="483" t="s">
        <v>28</v>
      </c>
      <c r="M4664" s="483">
        <v>4754.16</v>
      </c>
      <c r="N4664" s="486">
        <v>0.5</v>
      </c>
      <c r="O4664" s="2"/>
      <c r="P4664" s="2"/>
      <c r="Q4664" s="2"/>
      <c r="R4664" s="2"/>
    </row>
    <row r="4665" spans="1:18" ht="19.5" hidden="1" thickBot="1" x14ac:dyDescent="0.3">
      <c r="A4665" s="956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1"/>
        <v>08,25</v>
      </c>
      <c r="L4665" s="649" t="s">
        <v>28</v>
      </c>
      <c r="M4665" s="649">
        <v>6848.12</v>
      </c>
      <c r="N4665" s="653">
        <v>0.5</v>
      </c>
      <c r="O4665" s="2"/>
      <c r="P4665" s="2"/>
      <c r="Q4665" s="2"/>
      <c r="R4665" s="2"/>
    </row>
    <row r="4666" spans="1:18" ht="19.5" hidden="1" thickBot="1" x14ac:dyDescent="0.3">
      <c r="A4666" s="503">
        <f t="shared" si="135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1"/>
        <v>08,25</v>
      </c>
      <c r="L4666" s="508" t="s">
        <v>266</v>
      </c>
      <c r="M4666" s="508">
        <v>15290.04</v>
      </c>
      <c r="N4666" s="512">
        <v>0.5</v>
      </c>
      <c r="O4666" s="2"/>
      <c r="P4666" s="2"/>
      <c r="Q4666" s="2"/>
      <c r="R4666" s="2"/>
    </row>
    <row r="4667" spans="1:18" ht="38.25" hidden="1" thickBot="1" x14ac:dyDescent="0.3">
      <c r="A4667" s="513">
        <f t="shared" si="135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1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  <c r="Q4667" s="2"/>
      <c r="R4667" s="2"/>
    </row>
    <row r="4668" spans="1:18" ht="57" hidden="1" thickBot="1" x14ac:dyDescent="0.3">
      <c r="A4668" s="662">
        <f t="shared" si="135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  <c r="Q4668" s="2"/>
      <c r="R4668" s="2"/>
    </row>
    <row r="4669" spans="1:18" ht="19.5" hidden="1" thickBot="1" x14ac:dyDescent="0.3">
      <c r="A4669" s="572">
        <f t="shared" si="135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1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  <c r="Q4669" s="2"/>
      <c r="R4669" s="2"/>
    </row>
    <row r="4670" spans="1:18" ht="19.5" hidden="1" thickBot="1" x14ac:dyDescent="0.3">
      <c r="A4670" s="503">
        <f t="shared" si="135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1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  <c r="Q4670" s="2"/>
      <c r="R4670" s="2"/>
    </row>
    <row r="4671" spans="1:18" ht="19.5" hidden="1" thickBot="1" x14ac:dyDescent="0.3">
      <c r="A4671" s="672">
        <f t="shared" si="135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1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  <c r="Q4671" s="2"/>
      <c r="R4671" s="2"/>
    </row>
    <row r="4672" spans="1:18" ht="19.5" hidden="1" thickBot="1" x14ac:dyDescent="0.3">
      <c r="A4672" s="503">
        <f t="shared" si="135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1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  <c r="Q4672" s="2"/>
      <c r="R4672" s="2"/>
    </row>
    <row r="4673" spans="1:18" ht="19.5" hidden="1" thickBot="1" x14ac:dyDescent="0.3">
      <c r="A4673" s="672">
        <f t="shared" si="135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1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  <c r="Q4673" s="2"/>
      <c r="R4673" s="2"/>
    </row>
    <row r="4674" spans="1:18" ht="19.5" hidden="1" thickBot="1" x14ac:dyDescent="0.3">
      <c r="A4674" s="966">
        <f t="shared" si="135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1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  <c r="Q4674" s="2"/>
      <c r="R4674" s="2"/>
    </row>
    <row r="4675" spans="1:18" ht="19.5" hidden="1" thickBot="1" x14ac:dyDescent="0.3">
      <c r="A4675" s="967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1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  <c r="Q4675" s="2"/>
      <c r="R4675" s="2"/>
    </row>
    <row r="4676" spans="1:18" ht="19.5" hidden="1" thickBot="1" x14ac:dyDescent="0.3">
      <c r="A4676" s="968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1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  <c r="Q4676" s="2"/>
      <c r="R4676" s="2"/>
    </row>
    <row r="4677" spans="1:18" ht="19.5" hidden="1" thickBot="1" x14ac:dyDescent="0.3">
      <c r="A4677" s="955">
        <f t="shared" si="135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1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  <c r="Q4677" s="2"/>
      <c r="R4677" s="2"/>
    </row>
    <row r="4678" spans="1:18" ht="19.5" hidden="1" thickBot="1" x14ac:dyDescent="0.3">
      <c r="A4678" s="955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1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  <c r="Q4678" s="2"/>
      <c r="R4678" s="2"/>
    </row>
    <row r="4679" spans="1:18" ht="19.5" hidden="1" thickBot="1" x14ac:dyDescent="0.3">
      <c r="A4679" s="966">
        <f t="shared" si="135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1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  <c r="Q4679" s="2"/>
      <c r="R4679" s="2"/>
    </row>
    <row r="4680" spans="1:18" ht="19.5" hidden="1" thickBot="1" x14ac:dyDescent="0.3">
      <c r="A4680" s="967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1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  <c r="Q4680" s="2"/>
      <c r="R4680" s="2"/>
    </row>
    <row r="4681" spans="1:18" ht="19.5" hidden="1" thickBot="1" x14ac:dyDescent="0.3">
      <c r="A4681" s="954">
        <f t="shared" si="135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1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  <c r="Q4681" s="2"/>
      <c r="R4681" s="2"/>
    </row>
    <row r="4682" spans="1:18" ht="19.5" hidden="1" thickBot="1" x14ac:dyDescent="0.3">
      <c r="A4682" s="956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1"/>
        <v>08,25</v>
      </c>
      <c r="L4682" s="649" t="s">
        <v>265</v>
      </c>
      <c r="M4682" s="649">
        <v>3992</v>
      </c>
      <c r="N4682" s="653">
        <v>0.375</v>
      </c>
      <c r="O4682" s="2"/>
      <c r="P4682" s="2"/>
      <c r="Q4682" s="2"/>
      <c r="R4682" s="2"/>
    </row>
    <row r="4683" spans="1:18" ht="19.5" hidden="1" thickBot="1" x14ac:dyDescent="0.3">
      <c r="A4683" s="503">
        <f t="shared" si="135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1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  <c r="Q4683" s="2"/>
      <c r="R4683" s="2"/>
    </row>
    <row r="4684" spans="1:18" ht="19.5" hidden="1" thickBot="1" x14ac:dyDescent="0.3">
      <c r="A4684" s="572">
        <f t="shared" si="135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1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  <c r="Q4684" s="2"/>
      <c r="R4684" s="2"/>
    </row>
    <row r="4685" spans="1:18" ht="19.5" hidden="1" thickBot="1" x14ac:dyDescent="0.3">
      <c r="A4685" s="503">
        <f t="shared" si="135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1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  <c r="Q4685" s="2"/>
      <c r="R4685" s="2"/>
    </row>
    <row r="4686" spans="1:18" ht="19.5" hidden="1" thickBot="1" x14ac:dyDescent="0.3">
      <c r="A4686" s="513">
        <f t="shared" si="135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1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  <c r="Q4686" s="2"/>
      <c r="R4686" s="2"/>
    </row>
    <row r="4687" spans="1:18" ht="19.5" hidden="1" thickBot="1" x14ac:dyDescent="0.3">
      <c r="A4687" s="966">
        <f t="shared" si="135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1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  <c r="Q4687" s="2"/>
      <c r="R4687" s="2"/>
    </row>
    <row r="4688" spans="1:18" ht="19.5" hidden="1" thickBot="1" x14ac:dyDescent="0.3">
      <c r="A4688" s="967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1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  <c r="Q4688" s="2"/>
      <c r="R4688" s="2"/>
    </row>
    <row r="4689" spans="1:18" ht="19.5" hidden="1" thickBot="1" x14ac:dyDescent="0.3">
      <c r="A4689" s="967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1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  <c r="Q4689" s="2"/>
      <c r="R4689" s="2"/>
    </row>
    <row r="4690" spans="1:18" ht="19.5" hidden="1" thickBot="1" x14ac:dyDescent="0.3">
      <c r="A4690" s="968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1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  <c r="Q4690" s="2"/>
      <c r="R4690" s="2"/>
    </row>
    <row r="4691" spans="1:18" ht="19.5" hidden="1" thickBot="1" x14ac:dyDescent="0.3">
      <c r="A4691" s="954">
        <f t="shared" si="135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1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  <c r="Q4691" s="2"/>
      <c r="R4691" s="2"/>
    </row>
    <row r="4692" spans="1:18" ht="19.5" hidden="1" thickBot="1" x14ac:dyDescent="0.3">
      <c r="A4692" s="956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1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  <c r="Q4692" s="2"/>
      <c r="R4692" s="2"/>
    </row>
    <row r="4693" spans="1:18" ht="19.5" hidden="1" thickBot="1" x14ac:dyDescent="0.3">
      <c r="A4693" s="966">
        <f t="shared" si="135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1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  <c r="Q4693" s="2"/>
      <c r="R4693" s="2"/>
    </row>
    <row r="4694" spans="1:18" ht="19.5" hidden="1" thickBot="1" x14ac:dyDescent="0.3">
      <c r="A4694" s="968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1"/>
        <v>08,25</v>
      </c>
      <c r="L4694" s="640" t="s">
        <v>28</v>
      </c>
      <c r="M4694" s="640">
        <v>6061.92</v>
      </c>
      <c r="N4694" s="644">
        <v>0.5</v>
      </c>
      <c r="O4694" s="2"/>
      <c r="P4694" s="2"/>
      <c r="Q4694" s="2"/>
      <c r="R4694" s="2"/>
    </row>
    <row r="4695" spans="1:18" ht="19.5" hidden="1" thickBot="1" x14ac:dyDescent="0.3">
      <c r="A4695" s="954">
        <f t="shared" si="135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1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  <c r="Q4695" s="2"/>
      <c r="R4695" s="2"/>
    </row>
    <row r="4696" spans="1:18" ht="19.5" hidden="1" thickBot="1" x14ac:dyDescent="0.3">
      <c r="A4696" s="956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1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  <c r="Q4696" s="2"/>
      <c r="R4696" s="2"/>
    </row>
    <row r="4697" spans="1:18" ht="19.5" hidden="1" thickBot="1" x14ac:dyDescent="0.3">
      <c r="A4697" s="503">
        <f t="shared" ref="A4697:A4760" si="136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1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  <c r="Q4697" s="2"/>
      <c r="R4697" s="2"/>
    </row>
    <row r="4698" spans="1:18" ht="19.5" hidden="1" thickBot="1" x14ac:dyDescent="0.3">
      <c r="A4698" s="513">
        <f t="shared" si="136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1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  <c r="Q4698" s="2"/>
      <c r="R4698" s="2"/>
    </row>
    <row r="4699" spans="1:18" ht="19.5" hidden="1" thickBot="1" x14ac:dyDescent="0.3">
      <c r="A4699" s="551">
        <f t="shared" si="136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1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  <c r="Q4699" s="2"/>
      <c r="R4699" s="2"/>
    </row>
    <row r="4700" spans="1:18" ht="28.5" hidden="1" customHeight="1" x14ac:dyDescent="0.25">
      <c r="A4700" s="954">
        <f t="shared" si="136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963" t="s">
        <v>1030</v>
      </c>
      <c r="H4700" s="483" t="s">
        <v>1028</v>
      </c>
      <c r="I4700" s="484" t="s">
        <v>1028</v>
      </c>
      <c r="J4700" s="485"/>
      <c r="K4700" s="483" t="str">
        <f t="shared" si="131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  <c r="Q4700" s="2"/>
      <c r="R4700" s="2"/>
    </row>
    <row r="4701" spans="1:18" ht="28.5" hidden="1" customHeight="1" thickBot="1" x14ac:dyDescent="0.3">
      <c r="A4701" s="956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965"/>
      <c r="H4701" s="649" t="s">
        <v>1028</v>
      </c>
      <c r="I4701" s="651" t="s">
        <v>1028</v>
      </c>
      <c r="J4701" s="652"/>
      <c r="K4701" s="649" t="str">
        <f t="shared" si="131"/>
        <v>08,25</v>
      </c>
      <c r="L4701" s="649" t="s">
        <v>28</v>
      </c>
      <c r="M4701" s="649">
        <v>797.28</v>
      </c>
      <c r="N4701" s="653">
        <v>0.5</v>
      </c>
      <c r="O4701" s="2"/>
      <c r="P4701" s="2"/>
      <c r="Q4701" s="2"/>
      <c r="R4701" s="2"/>
    </row>
    <row r="4702" spans="1:18" ht="19.5" hidden="1" thickBot="1" x14ac:dyDescent="0.3">
      <c r="A4702" s="503">
        <f t="shared" si="136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1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  <c r="Q4702" s="2"/>
      <c r="R4702" s="2"/>
    </row>
    <row r="4703" spans="1:18" ht="19.5" hidden="1" thickBot="1" x14ac:dyDescent="0.3">
      <c r="A4703" s="954">
        <f t="shared" si="136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1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  <c r="Q4703" s="2"/>
      <c r="R4703" s="2"/>
    </row>
    <row r="4704" spans="1:18" ht="19.5" hidden="1" thickBot="1" x14ac:dyDescent="0.3">
      <c r="A4704" s="955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1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  <c r="Q4704" s="2"/>
      <c r="R4704" s="2"/>
    </row>
    <row r="4705" spans="1:18" ht="19.5" hidden="1" thickBot="1" x14ac:dyDescent="0.3">
      <c r="A4705" s="956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1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  <c r="Q4705" s="2"/>
      <c r="R4705" s="2"/>
    </row>
    <row r="4706" spans="1:18" ht="19.5" hidden="1" thickBot="1" x14ac:dyDescent="0.3">
      <c r="A4706" s="966">
        <f t="shared" si="136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1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  <c r="Q4706" s="2"/>
      <c r="R4706" s="2"/>
    </row>
    <row r="4707" spans="1:18" ht="19.5" hidden="1" thickBot="1" x14ac:dyDescent="0.3">
      <c r="A4707" s="967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1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  <c r="Q4707" s="2"/>
      <c r="R4707" s="2"/>
    </row>
    <row r="4708" spans="1:18" ht="19.5" hidden="1" thickBot="1" x14ac:dyDescent="0.3">
      <c r="A4708" s="968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1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  <c r="Q4708" s="2"/>
      <c r="R4708" s="2"/>
    </row>
    <row r="4709" spans="1:18" ht="19.5" hidden="1" thickBot="1" x14ac:dyDescent="0.3">
      <c r="A4709" s="954">
        <f t="shared" si="136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1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  <c r="Q4709" s="2"/>
      <c r="R4709" s="2"/>
    </row>
    <row r="4710" spans="1:18" ht="19.5" hidden="1" thickBot="1" x14ac:dyDescent="0.3">
      <c r="A4710" s="955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1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  <c r="Q4710" s="2"/>
      <c r="R4710" s="2"/>
    </row>
    <row r="4711" spans="1:18" ht="19.5" hidden="1" thickBot="1" x14ac:dyDescent="0.3">
      <c r="A4711" s="956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1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  <c r="Q4711" s="2"/>
      <c r="R4711" s="2"/>
    </row>
    <row r="4712" spans="1:18" ht="19.5" hidden="1" thickBot="1" x14ac:dyDescent="0.3">
      <c r="A4712" s="503">
        <f t="shared" si="136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1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  <c r="Q4712" s="2"/>
      <c r="R4712" s="2"/>
    </row>
    <row r="4713" spans="1:18" ht="38.25" hidden="1" thickBot="1" x14ac:dyDescent="0.3">
      <c r="A4713" s="513">
        <f t="shared" si="136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1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  <c r="Q4713" s="2"/>
      <c r="R4713" s="2"/>
    </row>
    <row r="4714" spans="1:18" ht="19.5" hidden="1" thickBot="1" x14ac:dyDescent="0.3">
      <c r="A4714" s="966">
        <f t="shared" si="136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1"/>
        <v>09,25</v>
      </c>
      <c r="L4714" s="535" t="s">
        <v>266</v>
      </c>
      <c r="M4714" s="535">
        <v>12896.81</v>
      </c>
      <c r="N4714" s="539">
        <v>0.5</v>
      </c>
      <c r="O4714" s="2"/>
      <c r="P4714" s="2"/>
      <c r="Q4714" s="2"/>
      <c r="R4714" s="2"/>
    </row>
    <row r="4715" spans="1:18" ht="19.5" hidden="1" thickBot="1" x14ac:dyDescent="0.3">
      <c r="A4715" s="967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1"/>
        <v>09,25</v>
      </c>
      <c r="L4715" s="594" t="s">
        <v>266</v>
      </c>
      <c r="M4715" s="594">
        <v>2076.66</v>
      </c>
      <c r="N4715" s="598">
        <v>0.5</v>
      </c>
      <c r="O4715" s="2"/>
      <c r="P4715" s="2"/>
      <c r="Q4715" s="2"/>
      <c r="R4715" s="2"/>
    </row>
    <row r="4716" spans="1:18" ht="19.5" hidden="1" thickBot="1" x14ac:dyDescent="0.3">
      <c r="A4716" s="513">
        <f t="shared" si="136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1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  <c r="Q4716" s="2"/>
      <c r="R4716" s="2"/>
    </row>
    <row r="4717" spans="1:18" ht="19.5" hidden="1" thickBot="1" x14ac:dyDescent="0.3">
      <c r="A4717" s="503">
        <f t="shared" si="136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1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  <c r="Q4717" s="2"/>
      <c r="R4717" s="2"/>
    </row>
    <row r="4718" spans="1:18" ht="19.5" hidden="1" thickBot="1" x14ac:dyDescent="0.3">
      <c r="A4718" s="513">
        <f t="shared" si="136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1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  <c r="Q4718" s="2"/>
      <c r="R4718" s="2"/>
    </row>
    <row r="4719" spans="1:18" ht="19.5" hidden="1" thickBot="1" x14ac:dyDescent="0.3">
      <c r="A4719" s="966">
        <f t="shared" si="136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1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  <c r="Q4719" s="2"/>
      <c r="R4719" s="2"/>
    </row>
    <row r="4720" spans="1:18" ht="19.5" hidden="1" thickBot="1" x14ac:dyDescent="0.3">
      <c r="A4720" s="968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1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  <c r="Q4720" s="2"/>
      <c r="R4720" s="2"/>
    </row>
    <row r="4721" spans="1:18" ht="19.5" hidden="1" thickBot="1" x14ac:dyDescent="0.3">
      <c r="A4721" s="954">
        <f t="shared" si="136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1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  <c r="Q4721" s="2"/>
      <c r="R4721" s="2"/>
    </row>
    <row r="4722" spans="1:18" ht="19.5" hidden="1" thickBot="1" x14ac:dyDescent="0.3">
      <c r="A4722" s="955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1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  <c r="Q4722" s="2"/>
      <c r="R4722" s="2"/>
    </row>
    <row r="4723" spans="1:18" ht="19.5" hidden="1" thickBot="1" x14ac:dyDescent="0.3">
      <c r="A4723" s="966">
        <f t="shared" si="136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1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  <c r="Q4723" s="2"/>
      <c r="R4723" s="2"/>
    </row>
    <row r="4724" spans="1:18" ht="19.5" hidden="1" thickBot="1" x14ac:dyDescent="0.3">
      <c r="A4724" s="968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7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  <c r="Q4724" s="2"/>
      <c r="R4724" s="2"/>
    </row>
    <row r="4725" spans="1:18" ht="19.5" hidden="1" thickBot="1" x14ac:dyDescent="0.3">
      <c r="A4725" s="513">
        <f t="shared" si="136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7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  <c r="Q4725" s="2"/>
      <c r="R4725" s="2"/>
    </row>
    <row r="4726" spans="1:18" ht="19.5" hidden="1" thickBot="1" x14ac:dyDescent="0.3">
      <c r="A4726" s="503">
        <f t="shared" si="136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7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  <c r="Q4726" s="2"/>
      <c r="R4726" s="2"/>
    </row>
    <row r="4727" spans="1:18" ht="19.5" hidden="1" thickBot="1" x14ac:dyDescent="0.3">
      <c r="A4727" s="954">
        <f t="shared" si="136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7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  <c r="Q4727" s="2"/>
      <c r="R4727" s="2"/>
    </row>
    <row r="4728" spans="1:18" ht="19.5" hidden="1" thickBot="1" x14ac:dyDescent="0.3">
      <c r="A4728" s="956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7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  <c r="Q4728" s="2"/>
      <c r="R4728" s="2"/>
    </row>
    <row r="4729" spans="1:18" ht="19.5" hidden="1" thickBot="1" x14ac:dyDescent="0.3">
      <c r="A4729" s="966">
        <f t="shared" si="136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976" t="s">
        <v>1038</v>
      </c>
      <c r="H4729" s="535" t="s">
        <v>1037</v>
      </c>
      <c r="I4729" s="537" t="s">
        <v>1040</v>
      </c>
      <c r="J4729" s="538"/>
      <c r="K4729" s="649" t="str">
        <f t="shared" si="137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  <c r="Q4729" s="2"/>
      <c r="R4729" s="2"/>
    </row>
    <row r="4730" spans="1:18" ht="19.5" hidden="1" thickBot="1" x14ac:dyDescent="0.3">
      <c r="A4730" s="967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969"/>
      <c r="H4730" s="567" t="s">
        <v>1037</v>
      </c>
      <c r="I4730" s="569" t="s">
        <v>1040</v>
      </c>
      <c r="J4730" s="570"/>
      <c r="K4730" s="649" t="str">
        <f t="shared" si="137"/>
        <v>09,25</v>
      </c>
      <c r="L4730" s="567" t="s">
        <v>28</v>
      </c>
      <c r="M4730" s="567">
        <v>5083.29</v>
      </c>
      <c r="N4730" s="571">
        <v>0.5</v>
      </c>
      <c r="O4730" s="2"/>
      <c r="P4730" s="2"/>
      <c r="Q4730" s="2"/>
      <c r="R4730" s="2"/>
    </row>
    <row r="4731" spans="1:18" ht="19.5" hidden="1" thickBot="1" x14ac:dyDescent="0.3">
      <c r="A4731" s="967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969"/>
      <c r="H4731" s="567" t="s">
        <v>1037</v>
      </c>
      <c r="I4731" s="569" t="s">
        <v>1040</v>
      </c>
      <c r="J4731" s="570"/>
      <c r="K4731" s="649" t="str">
        <f t="shared" si="137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  <c r="Q4731" s="2"/>
      <c r="R4731" s="2"/>
    </row>
    <row r="4732" spans="1:18" ht="19.5" hidden="1" thickBot="1" x14ac:dyDescent="0.3">
      <c r="A4732" s="968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975"/>
      <c r="H4732" s="640" t="s">
        <v>1037</v>
      </c>
      <c r="I4732" s="642" t="s">
        <v>1040</v>
      </c>
      <c r="J4732" s="643"/>
      <c r="K4732" s="649" t="str">
        <f t="shared" si="137"/>
        <v>09,25</v>
      </c>
      <c r="L4732" s="640" t="s">
        <v>28</v>
      </c>
      <c r="M4732" s="640">
        <v>7182.3</v>
      </c>
      <c r="N4732" s="644">
        <v>0.5</v>
      </c>
      <c r="O4732" s="2"/>
      <c r="P4732" s="2"/>
      <c r="Q4732" s="2"/>
      <c r="R4732" s="2"/>
    </row>
    <row r="4733" spans="1:18" ht="19.5" hidden="1" thickBot="1" x14ac:dyDescent="0.3">
      <c r="A4733" s="513">
        <f t="shared" si="136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7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  <c r="Q4733" s="2"/>
      <c r="R4733" s="2"/>
    </row>
    <row r="4734" spans="1:18" ht="19.5" hidden="1" thickBot="1" x14ac:dyDescent="0.3">
      <c r="A4734" s="966">
        <f t="shared" si="136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7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  <c r="Q4734" s="2"/>
      <c r="R4734" s="2"/>
    </row>
    <row r="4735" spans="1:18" ht="19.5" hidden="1" thickBot="1" x14ac:dyDescent="0.3">
      <c r="A4735" s="967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7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  <c r="Q4735" s="2"/>
      <c r="R4735" s="2"/>
    </row>
    <row r="4736" spans="1:18" ht="19.5" hidden="1" thickBot="1" x14ac:dyDescent="0.3">
      <c r="A4736" s="968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7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  <c r="Q4736" s="2"/>
      <c r="R4736" s="2"/>
    </row>
    <row r="4737" spans="1:18" ht="19.5" hidden="1" thickBot="1" x14ac:dyDescent="0.3">
      <c r="A4737" s="513">
        <f t="shared" si="136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7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  <c r="Q4737" s="2"/>
      <c r="R4737" s="2"/>
    </row>
    <row r="4738" spans="1:18" ht="19.5" hidden="1" thickBot="1" x14ac:dyDescent="0.3">
      <c r="A4738" s="966">
        <f t="shared" si="136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976" t="s">
        <v>72</v>
      </c>
      <c r="H4738" s="535" t="s">
        <v>1040</v>
      </c>
      <c r="I4738" s="537" t="s">
        <v>1040</v>
      </c>
      <c r="J4738" s="538"/>
      <c r="K4738" s="649" t="str">
        <f t="shared" si="137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  <c r="Q4738" s="2"/>
      <c r="R4738" s="2"/>
    </row>
    <row r="4739" spans="1:18" ht="19.5" hidden="1" thickBot="1" x14ac:dyDescent="0.3">
      <c r="A4739" s="968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975"/>
      <c r="H4739" s="640" t="s">
        <v>1040</v>
      </c>
      <c r="I4739" s="642" t="s">
        <v>1040</v>
      </c>
      <c r="J4739" s="643"/>
      <c r="K4739" s="649" t="str">
        <f t="shared" si="137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  <c r="Q4739" s="2"/>
      <c r="R4739" s="2"/>
    </row>
    <row r="4740" spans="1:18" ht="19.5" hidden="1" thickBot="1" x14ac:dyDescent="0.3">
      <c r="A4740" s="954">
        <f t="shared" si="136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7"/>
        <v>09,25</v>
      </c>
      <c r="L4740" s="483" t="s">
        <v>265</v>
      </c>
      <c r="M4740" s="483">
        <v>16260</v>
      </c>
      <c r="N4740" s="486">
        <v>0.375</v>
      </c>
      <c r="O4740" s="2"/>
      <c r="P4740" s="2"/>
      <c r="Q4740" s="2"/>
      <c r="R4740" s="2"/>
    </row>
    <row r="4741" spans="1:18" ht="19.5" hidden="1" thickBot="1" x14ac:dyDescent="0.3">
      <c r="A4741" s="955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7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  <c r="Q4741" s="2"/>
      <c r="R4741" s="2"/>
    </row>
    <row r="4742" spans="1:18" ht="19.5" hidden="1" thickBot="1" x14ac:dyDescent="0.3">
      <c r="A4742" s="503">
        <f t="shared" si="136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7"/>
        <v>09,25</v>
      </c>
      <c r="L4742" s="508" t="s">
        <v>28</v>
      </c>
      <c r="M4742" s="508">
        <v>9214.92</v>
      </c>
      <c r="N4742" s="512">
        <v>0.5</v>
      </c>
      <c r="O4742" s="2"/>
      <c r="P4742" s="2"/>
      <c r="Q4742" s="2"/>
      <c r="R4742" s="2"/>
    </row>
    <row r="4743" spans="1:18" ht="19.5" hidden="1" thickBot="1" x14ac:dyDescent="0.3">
      <c r="A4743" s="513">
        <f t="shared" si="136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7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  <c r="Q4743" s="2"/>
      <c r="R4743" s="2"/>
    </row>
    <row r="4744" spans="1:18" ht="19.5" hidden="1" thickBot="1" x14ac:dyDescent="0.3">
      <c r="A4744" s="503">
        <f t="shared" si="136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7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  <c r="Q4744" s="2"/>
      <c r="R4744" s="2"/>
    </row>
    <row r="4745" spans="1:18" ht="19.5" hidden="1" thickBot="1" x14ac:dyDescent="0.3">
      <c r="A4745" s="954">
        <f t="shared" si="136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7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  <c r="Q4745" s="2"/>
      <c r="R4745" s="2"/>
    </row>
    <row r="4746" spans="1:18" ht="19.5" hidden="1" thickBot="1" x14ac:dyDescent="0.3">
      <c r="A4746" s="955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7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  <c r="Q4746" s="2"/>
      <c r="R4746" s="2"/>
    </row>
    <row r="4747" spans="1:18" ht="19.5" hidden="1" thickBot="1" x14ac:dyDescent="0.3">
      <c r="A4747" s="956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7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  <c r="Q4747" s="2"/>
      <c r="R4747" s="2"/>
    </row>
    <row r="4748" spans="1:18" ht="19.5" hidden="1" thickBot="1" x14ac:dyDescent="0.3">
      <c r="A4748" s="966">
        <f t="shared" si="136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7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  <c r="Q4748" s="2"/>
      <c r="R4748" s="2"/>
    </row>
    <row r="4749" spans="1:18" ht="19.5" hidden="1" thickBot="1" x14ac:dyDescent="0.3">
      <c r="A4749" s="967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7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  <c r="Q4749" s="2"/>
      <c r="R4749" s="2"/>
    </row>
    <row r="4750" spans="1:18" ht="19.5" hidden="1" thickBot="1" x14ac:dyDescent="0.3">
      <c r="A4750" s="968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7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  <c r="Q4750" s="2"/>
      <c r="R4750" s="2"/>
    </row>
    <row r="4751" spans="1:18" ht="27.75" hidden="1" customHeight="1" thickBot="1" x14ac:dyDescent="0.3">
      <c r="A4751" s="954">
        <f t="shared" si="136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963" t="s">
        <v>1043</v>
      </c>
      <c r="H4751" s="483" t="s">
        <v>1041</v>
      </c>
      <c r="I4751" s="484" t="s">
        <v>1041</v>
      </c>
      <c r="J4751" s="485"/>
      <c r="K4751" s="649" t="str">
        <f t="shared" si="137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  <c r="Q4751" s="2"/>
      <c r="R4751" s="2"/>
    </row>
    <row r="4752" spans="1:18" ht="27.75" hidden="1" customHeight="1" thickBot="1" x14ac:dyDescent="0.3">
      <c r="A4752" s="956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965"/>
      <c r="H4752" s="649" t="s">
        <v>1041</v>
      </c>
      <c r="I4752" s="651" t="s">
        <v>1041</v>
      </c>
      <c r="J4752" s="652"/>
      <c r="K4752" s="649" t="str">
        <f t="shared" si="137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  <c r="Q4752" s="2"/>
      <c r="R4752" s="2"/>
    </row>
    <row r="4753" spans="1:18" ht="19.5" hidden="1" thickBot="1" x14ac:dyDescent="0.3">
      <c r="A4753" s="503">
        <f t="shared" si="136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7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  <c r="Q4753" s="2"/>
      <c r="R4753" s="2"/>
    </row>
    <row r="4754" spans="1:18" ht="19.5" hidden="1" thickBot="1" x14ac:dyDescent="0.3">
      <c r="A4754" s="954">
        <f t="shared" si="136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7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  <c r="Q4754" s="2"/>
      <c r="R4754" s="2"/>
    </row>
    <row r="4755" spans="1:18" ht="19.5" hidden="1" thickBot="1" x14ac:dyDescent="0.3">
      <c r="A4755" s="956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7"/>
        <v>09,25</v>
      </c>
      <c r="L4755" s="649" t="s">
        <v>28</v>
      </c>
      <c r="M4755" s="649">
        <v>3216</v>
      </c>
      <c r="N4755" s="653">
        <v>0.5</v>
      </c>
      <c r="O4755" s="2"/>
      <c r="P4755" s="2"/>
      <c r="Q4755" s="2"/>
      <c r="R4755" s="2"/>
    </row>
    <row r="4756" spans="1:18" ht="19.5" hidden="1" thickBot="1" x14ac:dyDescent="0.3">
      <c r="A4756" s="966">
        <f t="shared" si="136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7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  <c r="Q4756" s="2"/>
      <c r="R4756" s="2"/>
    </row>
    <row r="4757" spans="1:18" ht="19.5" hidden="1" thickBot="1" x14ac:dyDescent="0.3">
      <c r="A4757" s="967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7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  <c r="Q4757" s="2"/>
      <c r="R4757" s="2"/>
    </row>
    <row r="4758" spans="1:18" ht="19.5" hidden="1" thickBot="1" x14ac:dyDescent="0.3">
      <c r="A4758" s="513">
        <f t="shared" si="136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7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  <c r="Q4758" s="2"/>
      <c r="R4758" s="2"/>
    </row>
    <row r="4759" spans="1:18" ht="19.5" hidden="1" thickBot="1" x14ac:dyDescent="0.3">
      <c r="A4759" s="503">
        <f t="shared" si="136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7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  <c r="Q4759" s="2"/>
      <c r="R4759" s="2"/>
    </row>
    <row r="4760" spans="1:18" ht="19.5" hidden="1" thickBot="1" x14ac:dyDescent="0.3">
      <c r="A4760" s="513">
        <f t="shared" si="136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7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  <c r="Q4760" s="2"/>
      <c r="R4760" s="2"/>
    </row>
    <row r="4761" spans="1:18" ht="19.5" hidden="1" thickBot="1" x14ac:dyDescent="0.3">
      <c r="A4761" s="966">
        <f t="shared" ref="A4761:A4824" si="138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7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  <c r="Q4761" s="2"/>
      <c r="R4761" s="2"/>
    </row>
    <row r="4762" spans="1:18" ht="19.5" hidden="1" thickBot="1" x14ac:dyDescent="0.3">
      <c r="A4762" s="967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7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  <c r="Q4762" s="2"/>
      <c r="R4762" s="2"/>
    </row>
    <row r="4763" spans="1:18" ht="19.5" hidden="1" thickBot="1" x14ac:dyDescent="0.3">
      <c r="A4763" s="967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7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  <c r="Q4763" s="2"/>
      <c r="R4763" s="2"/>
    </row>
    <row r="4764" spans="1:18" ht="19.5" hidden="1" thickBot="1" x14ac:dyDescent="0.3">
      <c r="A4764" s="968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7"/>
        <v>09,25</v>
      </c>
      <c r="L4764" s="640" t="s">
        <v>266</v>
      </c>
      <c r="M4764" s="640">
        <v>1303.02</v>
      </c>
      <c r="N4764" s="644">
        <v>0.5</v>
      </c>
      <c r="O4764" s="2"/>
      <c r="P4764" s="2"/>
      <c r="Q4764" s="2"/>
      <c r="R4764" s="2"/>
    </row>
    <row r="4765" spans="1:18" ht="19.5" hidden="1" thickBot="1" x14ac:dyDescent="0.3">
      <c r="A4765" s="954">
        <f t="shared" si="138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963" t="s">
        <v>467</v>
      </c>
      <c r="H4765" s="483" t="s">
        <v>1046</v>
      </c>
      <c r="I4765" s="484" t="s">
        <v>1046</v>
      </c>
      <c r="J4765" s="485"/>
      <c r="K4765" s="483" t="str">
        <f t="shared" si="137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  <c r="Q4765" s="2"/>
      <c r="R4765" s="2"/>
    </row>
    <row r="4766" spans="1:18" ht="19.5" hidden="1" thickBot="1" x14ac:dyDescent="0.3">
      <c r="A4766" s="955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964"/>
      <c r="H4766" s="499" t="s">
        <v>1046</v>
      </c>
      <c r="I4766" s="500" t="s">
        <v>1046</v>
      </c>
      <c r="J4766" s="501"/>
      <c r="K4766" s="499" t="str">
        <f t="shared" si="137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  <c r="Q4766" s="2"/>
      <c r="R4766" s="2"/>
    </row>
    <row r="4767" spans="1:18" ht="19.5" hidden="1" thickBot="1" x14ac:dyDescent="0.3">
      <c r="A4767" s="966">
        <f t="shared" si="138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7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  <c r="Q4767" s="2"/>
      <c r="R4767" s="2"/>
    </row>
    <row r="4768" spans="1:18" ht="19.5" hidden="1" thickBot="1" x14ac:dyDescent="0.3">
      <c r="A4768" s="968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7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  <c r="Q4768" s="2"/>
      <c r="R4768" s="2"/>
    </row>
    <row r="4769" spans="1:18" ht="19.5" hidden="1" thickBot="1" x14ac:dyDescent="0.3">
      <c r="A4769" s="513">
        <f t="shared" si="138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7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  <c r="Q4769" s="2"/>
      <c r="R4769" s="2"/>
    </row>
    <row r="4770" spans="1:18" ht="19.5" hidden="1" thickBot="1" x14ac:dyDescent="0.3">
      <c r="A4770" s="966">
        <f t="shared" si="138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7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  <c r="Q4770" s="2"/>
      <c r="R4770" s="2"/>
    </row>
    <row r="4771" spans="1:18" ht="19.5" hidden="1" thickBot="1" x14ac:dyDescent="0.3">
      <c r="A4771" s="968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7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  <c r="Q4771" s="2"/>
      <c r="R4771" s="2"/>
    </row>
    <row r="4772" spans="1:18" ht="19.5" hidden="1" thickBot="1" x14ac:dyDescent="0.3">
      <c r="A4772" s="954">
        <f t="shared" si="138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7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  <c r="Q4772" s="2"/>
      <c r="R4772" s="2"/>
    </row>
    <row r="4773" spans="1:18" ht="19.5" hidden="1" thickBot="1" x14ac:dyDescent="0.3">
      <c r="A4773" s="956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7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  <c r="Q4773" s="2"/>
      <c r="R4773" s="2"/>
    </row>
    <row r="4774" spans="1:18" ht="19.5" hidden="1" thickBot="1" x14ac:dyDescent="0.3">
      <c r="A4774" s="966">
        <f t="shared" si="138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7"/>
        <v>09,25</v>
      </c>
      <c r="L4774" s="535" t="s">
        <v>28</v>
      </c>
      <c r="M4774" s="535">
        <v>10078.86</v>
      </c>
      <c r="N4774" s="539">
        <v>0.5</v>
      </c>
      <c r="O4774" s="2"/>
      <c r="P4774" s="2"/>
      <c r="Q4774" s="2"/>
      <c r="R4774" s="2"/>
    </row>
    <row r="4775" spans="1:18" ht="19.5" hidden="1" thickBot="1" x14ac:dyDescent="0.3">
      <c r="A4775" s="968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7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  <c r="Q4775" s="2"/>
      <c r="R4775" s="2"/>
    </row>
    <row r="4776" spans="1:18" ht="28.5" hidden="1" customHeight="1" x14ac:dyDescent="0.25">
      <c r="A4776" s="954">
        <f t="shared" si="138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963" t="s">
        <v>1050</v>
      </c>
      <c r="H4776" s="483" t="s">
        <v>1049</v>
      </c>
      <c r="I4776" s="484" t="s">
        <v>1049</v>
      </c>
      <c r="J4776" s="485"/>
      <c r="K4776" s="483" t="str">
        <f t="shared" si="137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  <c r="Q4776" s="2"/>
      <c r="R4776" s="2"/>
    </row>
    <row r="4777" spans="1:18" ht="28.5" hidden="1" customHeight="1" thickBot="1" x14ac:dyDescent="0.3">
      <c r="A4777" s="956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965"/>
      <c r="H4777" s="649" t="s">
        <v>1049</v>
      </c>
      <c r="I4777" s="651" t="s">
        <v>1049</v>
      </c>
      <c r="J4777" s="652"/>
      <c r="K4777" s="649" t="str">
        <f t="shared" si="137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  <c r="Q4777" s="2"/>
      <c r="R4777" s="2"/>
    </row>
    <row r="4778" spans="1:18" ht="19.5" hidden="1" thickBot="1" x14ac:dyDescent="0.3">
      <c r="A4778" s="503">
        <f t="shared" si="138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7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  <c r="Q4778" s="2"/>
      <c r="R4778" s="2"/>
    </row>
    <row r="4779" spans="1:18" ht="19.5" hidden="1" thickBot="1" x14ac:dyDescent="0.3">
      <c r="A4779" s="513">
        <f t="shared" si="138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7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  <c r="Q4779" s="2"/>
      <c r="R4779" s="2"/>
    </row>
    <row r="4780" spans="1:18" ht="19.5" hidden="1" thickBot="1" x14ac:dyDescent="0.3">
      <c r="A4780" s="503">
        <f t="shared" si="138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7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  <c r="Q4780" s="2"/>
      <c r="R4780" s="2"/>
    </row>
    <row r="4781" spans="1:18" ht="19.5" hidden="1" thickBot="1" x14ac:dyDescent="0.3">
      <c r="A4781" s="572">
        <f t="shared" si="138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7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  <c r="Q4781" s="2"/>
      <c r="R4781" s="2"/>
    </row>
    <row r="4782" spans="1:18" ht="19.5" hidden="1" thickBot="1" x14ac:dyDescent="0.3">
      <c r="A4782" s="503">
        <f t="shared" si="138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7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  <c r="Q4782" s="2"/>
      <c r="R4782" s="2"/>
    </row>
    <row r="4783" spans="1:18" ht="19.5" hidden="1" thickBot="1" x14ac:dyDescent="0.3">
      <c r="A4783" s="513">
        <f t="shared" si="138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7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  <c r="Q4783" s="2"/>
      <c r="R4783" s="2"/>
    </row>
    <row r="4784" spans="1:18" ht="19.5" hidden="1" thickBot="1" x14ac:dyDescent="0.3">
      <c r="A4784" s="503">
        <f t="shared" si="138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7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  <c r="Q4784" s="2"/>
      <c r="R4784" s="2"/>
    </row>
    <row r="4785" spans="1:18" ht="19.5" hidden="1" thickBot="1" x14ac:dyDescent="0.3">
      <c r="A4785" s="954">
        <f t="shared" si="138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7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  <c r="Q4785" s="2"/>
      <c r="R4785" s="2"/>
    </row>
    <row r="4786" spans="1:18" ht="19.5" hidden="1" thickBot="1" x14ac:dyDescent="0.3">
      <c r="A4786" s="955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7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  <c r="Q4786" s="2"/>
      <c r="R4786" s="2"/>
    </row>
    <row r="4787" spans="1:18" ht="19.5" hidden="1" thickBot="1" x14ac:dyDescent="0.3">
      <c r="A4787" s="956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7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  <c r="Q4787" s="2"/>
      <c r="R4787" s="2"/>
    </row>
    <row r="4788" spans="1:18" ht="19.5" hidden="1" thickBot="1" x14ac:dyDescent="0.3">
      <c r="A4788" s="966">
        <f t="shared" si="138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7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  <c r="Q4788" s="2"/>
      <c r="R4788" s="2"/>
    </row>
    <row r="4789" spans="1:18" ht="19.5" hidden="1" thickBot="1" x14ac:dyDescent="0.3">
      <c r="A4789" s="967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7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  <c r="Q4789" s="2"/>
      <c r="R4789" s="2"/>
    </row>
    <row r="4790" spans="1:18" ht="19.5" hidden="1" thickBot="1" x14ac:dyDescent="0.3">
      <c r="A4790" s="968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7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  <c r="Q4790" s="2"/>
      <c r="R4790" s="2"/>
    </row>
    <row r="4791" spans="1:18" ht="60" hidden="1" customHeight="1" thickBot="1" x14ac:dyDescent="0.3">
      <c r="A4791" s="513">
        <f t="shared" si="138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7"/>
        <v>09,25</v>
      </c>
      <c r="L4791" s="518" t="s">
        <v>28</v>
      </c>
      <c r="M4791" s="518">
        <v>8547.84</v>
      </c>
      <c r="N4791" s="522">
        <v>0.375</v>
      </c>
      <c r="O4791" s="2"/>
      <c r="P4791" s="2"/>
      <c r="Q4791" s="2"/>
      <c r="R4791" s="2"/>
    </row>
    <row r="4792" spans="1:18" ht="33" hidden="1" customHeight="1" x14ac:dyDescent="0.25">
      <c r="A4792" s="966">
        <f t="shared" si="138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976" t="s">
        <v>1054</v>
      </c>
      <c r="H4792" s="535" t="s">
        <v>1052</v>
      </c>
      <c r="I4792" s="537" t="s">
        <v>1055</v>
      </c>
      <c r="J4792" s="538"/>
      <c r="K4792" s="535" t="str">
        <f t="shared" si="137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  <c r="Q4792" s="2"/>
      <c r="R4792" s="2"/>
    </row>
    <row r="4793" spans="1:18" ht="33" hidden="1" customHeight="1" thickBot="1" x14ac:dyDescent="0.3">
      <c r="A4793" s="968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975"/>
      <c r="H4793" s="640" t="s">
        <v>1052</v>
      </c>
      <c r="I4793" s="642" t="s">
        <v>1055</v>
      </c>
      <c r="J4793" s="643"/>
      <c r="K4793" s="640" t="str">
        <f t="shared" si="137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  <c r="Q4793" s="2"/>
      <c r="R4793" s="2"/>
    </row>
    <row r="4794" spans="1:18" ht="19.5" hidden="1" thickBot="1" x14ac:dyDescent="0.3">
      <c r="A4794" s="954">
        <f t="shared" si="138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7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  <c r="Q4794" s="2"/>
      <c r="R4794" s="2"/>
    </row>
    <row r="4795" spans="1:18" ht="19.5" hidden="1" thickBot="1" x14ac:dyDescent="0.3">
      <c r="A4795" s="956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7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  <c r="Q4795" s="2"/>
      <c r="R4795" s="2"/>
    </row>
    <row r="4796" spans="1:18" ht="19.5" hidden="1" thickBot="1" x14ac:dyDescent="0.3">
      <c r="A4796" s="503">
        <f t="shared" si="138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7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  <c r="Q4796" s="2"/>
      <c r="R4796" s="2"/>
    </row>
    <row r="4797" spans="1:18" ht="19.5" hidden="1" thickBot="1" x14ac:dyDescent="0.3">
      <c r="A4797" s="572">
        <f t="shared" si="138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7"/>
        <v>09,25</v>
      </c>
      <c r="L4797" s="577" t="s">
        <v>266</v>
      </c>
      <c r="M4797" s="577">
        <v>14443.2</v>
      </c>
      <c r="N4797" s="581">
        <v>0.5</v>
      </c>
      <c r="O4797" s="2"/>
      <c r="P4797" s="2"/>
      <c r="Q4797" s="2"/>
      <c r="R4797" s="2"/>
    </row>
    <row r="4798" spans="1:18" ht="19.5" hidden="1" thickBot="1" x14ac:dyDescent="0.3">
      <c r="A4798" s="503">
        <f t="shared" si="138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7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  <c r="Q4798" s="2"/>
      <c r="R4798" s="2"/>
    </row>
    <row r="4799" spans="1:18" ht="19.5" hidden="1" thickBot="1" x14ac:dyDescent="0.3">
      <c r="A4799" s="954">
        <f t="shared" si="138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7"/>
        <v>09,25</v>
      </c>
      <c r="L4799" s="483" t="s">
        <v>266</v>
      </c>
      <c r="M4799" s="483">
        <v>9976.52</v>
      </c>
      <c r="N4799" s="486">
        <v>0.5</v>
      </c>
      <c r="O4799" s="2"/>
      <c r="P4799" s="2"/>
      <c r="Q4799" s="2"/>
      <c r="R4799" s="2"/>
    </row>
    <row r="4800" spans="1:18" ht="19.5" hidden="1" thickBot="1" x14ac:dyDescent="0.3">
      <c r="A4800" s="955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7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  <c r="Q4800" s="2"/>
      <c r="R4800" s="2"/>
    </row>
    <row r="4801" spans="1:18" ht="38.25" hidden="1" thickBot="1" x14ac:dyDescent="0.3">
      <c r="A4801" s="503">
        <f t="shared" si="138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7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  <c r="Q4801" s="2"/>
      <c r="R4801" s="2"/>
    </row>
    <row r="4802" spans="1:18" ht="38.25" hidden="1" thickBot="1" x14ac:dyDescent="0.3">
      <c r="A4802" s="513">
        <f t="shared" si="138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7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  <c r="Q4802" s="2"/>
      <c r="R4802" s="2"/>
    </row>
    <row r="4803" spans="1:18" ht="19.5" hidden="1" thickBot="1" x14ac:dyDescent="0.3">
      <c r="A4803" s="503">
        <f t="shared" si="138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7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  <c r="Q4803" s="2"/>
      <c r="R4803" s="2"/>
    </row>
    <row r="4804" spans="1:18" ht="19.5" hidden="1" thickBot="1" x14ac:dyDescent="0.3">
      <c r="A4804" s="513">
        <f t="shared" si="138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7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  <c r="Q4804" s="2"/>
      <c r="R4804" s="2"/>
    </row>
    <row r="4805" spans="1:18" ht="19.5" hidden="1" thickBot="1" x14ac:dyDescent="0.3">
      <c r="A4805" s="503">
        <f t="shared" si="138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7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  <c r="Q4805" s="2"/>
      <c r="R4805" s="2"/>
    </row>
    <row r="4806" spans="1:18" ht="19.5" hidden="1" thickBot="1" x14ac:dyDescent="0.3">
      <c r="A4806" s="954">
        <f t="shared" si="138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7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  <c r="Q4806" s="2"/>
      <c r="R4806" s="2"/>
    </row>
    <row r="4807" spans="1:18" ht="19.5" hidden="1" thickBot="1" x14ac:dyDescent="0.3">
      <c r="A4807" s="956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7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  <c r="Q4807" s="2"/>
      <c r="R4807" s="2"/>
    </row>
    <row r="4808" spans="1:18" ht="19.5" hidden="1" thickBot="1" x14ac:dyDescent="0.3">
      <c r="A4808" s="966">
        <f t="shared" si="138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7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  <c r="Q4808" s="2"/>
      <c r="R4808" s="2"/>
    </row>
    <row r="4809" spans="1:18" ht="19.5" hidden="1" thickBot="1" x14ac:dyDescent="0.3">
      <c r="A4809" s="967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7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  <c r="Q4809" s="2"/>
      <c r="R4809" s="2"/>
    </row>
    <row r="4810" spans="1:18" ht="19.5" hidden="1" thickBot="1" x14ac:dyDescent="0.3">
      <c r="A4810" s="967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7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  <c r="Q4810" s="2"/>
      <c r="R4810" s="2"/>
    </row>
    <row r="4811" spans="1:18" ht="19.5" hidden="1" thickBot="1" x14ac:dyDescent="0.3">
      <c r="A4811" s="967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7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  <c r="Q4811" s="2"/>
      <c r="R4811" s="2"/>
    </row>
    <row r="4812" spans="1:18" ht="19.5" hidden="1" thickBot="1" x14ac:dyDescent="0.3">
      <c r="A4812" s="954">
        <f t="shared" si="138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7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  <c r="Q4812" s="2"/>
      <c r="R4812" s="2"/>
    </row>
    <row r="4813" spans="1:18" ht="19.5" hidden="1" thickBot="1" x14ac:dyDescent="0.3">
      <c r="A4813" s="956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7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  <c r="Q4813" s="2"/>
      <c r="R4813" s="2"/>
    </row>
    <row r="4814" spans="1:18" ht="19.5" hidden="1" thickBot="1" x14ac:dyDescent="0.3">
      <c r="A4814" s="503">
        <f t="shared" si="138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7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  <c r="Q4814" s="2"/>
      <c r="R4814" s="2"/>
    </row>
    <row r="4815" spans="1:18" ht="19.5" hidden="1" thickBot="1" x14ac:dyDescent="0.3">
      <c r="A4815" s="513">
        <f t="shared" si="138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7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  <c r="Q4815" s="2"/>
      <c r="R4815" s="2"/>
    </row>
    <row r="4816" spans="1:18" ht="19.5" hidden="1" thickBot="1" x14ac:dyDescent="0.3">
      <c r="A4816" s="966">
        <f t="shared" si="138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7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  <c r="Q4816" s="2"/>
      <c r="R4816" s="2"/>
    </row>
    <row r="4817" spans="1:18" ht="19.5" hidden="1" thickBot="1" x14ac:dyDescent="0.3">
      <c r="A4817" s="968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7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  <c r="Q4817" s="2"/>
      <c r="R4817" s="2"/>
    </row>
    <row r="4818" spans="1:18" ht="19.5" hidden="1" thickBot="1" x14ac:dyDescent="0.3">
      <c r="A4818" s="954">
        <f t="shared" si="138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7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  <c r="Q4818" s="2"/>
      <c r="R4818" s="2"/>
    </row>
    <row r="4819" spans="1:18" ht="19.5" hidden="1" thickBot="1" x14ac:dyDescent="0.3">
      <c r="A4819" s="956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7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  <c r="Q4819" s="2"/>
      <c r="R4819" s="2"/>
    </row>
    <row r="4820" spans="1:18" ht="19.5" hidden="1" thickBot="1" x14ac:dyDescent="0.3">
      <c r="A4820" s="966">
        <f t="shared" si="138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976" t="s">
        <v>1060</v>
      </c>
      <c r="H4820" s="535" t="s">
        <v>1059</v>
      </c>
      <c r="I4820" s="537" t="s">
        <v>1059</v>
      </c>
      <c r="J4820" s="538"/>
      <c r="K4820" s="535" t="str">
        <f t="shared" si="137"/>
        <v>09,25</v>
      </c>
      <c r="L4820" s="535" t="s">
        <v>28</v>
      </c>
      <c r="M4820" s="535">
        <v>4348.18</v>
      </c>
      <c r="N4820" s="539">
        <v>0.5</v>
      </c>
      <c r="O4820" s="2"/>
      <c r="P4820" s="2"/>
      <c r="Q4820" s="2"/>
      <c r="R4820" s="2"/>
    </row>
    <row r="4821" spans="1:18" ht="19.5" hidden="1" thickBot="1" x14ac:dyDescent="0.3">
      <c r="A4821" s="967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969"/>
      <c r="H4821" s="567" t="s">
        <v>1059</v>
      </c>
      <c r="I4821" s="569" t="s">
        <v>1059</v>
      </c>
      <c r="J4821" s="570" t="s">
        <v>986</v>
      </c>
      <c r="K4821" s="567" t="str">
        <f t="shared" si="137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  <c r="Q4821" s="2"/>
      <c r="R4821" s="2"/>
    </row>
    <row r="4822" spans="1:18" ht="19.5" hidden="1" thickBot="1" x14ac:dyDescent="0.3">
      <c r="A4822" s="968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975"/>
      <c r="H4822" s="640" t="s">
        <v>1059</v>
      </c>
      <c r="I4822" s="642" t="s">
        <v>1059</v>
      </c>
      <c r="J4822" s="643"/>
      <c r="K4822" s="640" t="str">
        <f t="shared" si="137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  <c r="Q4822" s="2"/>
      <c r="R4822" s="2"/>
    </row>
    <row r="4823" spans="1:18" ht="19.5" hidden="1" thickBot="1" x14ac:dyDescent="0.3">
      <c r="A4823" s="513">
        <f t="shared" si="138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7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  <c r="Q4823" s="2"/>
      <c r="R4823" s="2"/>
    </row>
    <row r="4824" spans="1:18" ht="19.5" hidden="1" thickBot="1" x14ac:dyDescent="0.3">
      <c r="A4824" s="551">
        <f t="shared" si="138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7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  <c r="Q4824" s="2"/>
      <c r="R4824" s="2"/>
    </row>
    <row r="4825" spans="1:18" ht="19.5" hidden="1" thickBot="1" x14ac:dyDescent="0.3">
      <c r="A4825" s="954">
        <f t="shared" ref="A4825:A4887" si="139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7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  <c r="Q4825" s="2"/>
      <c r="R4825" s="2"/>
    </row>
    <row r="4826" spans="1:18" ht="57" hidden="1" thickBot="1" x14ac:dyDescent="0.3">
      <c r="A4826" s="956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7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  <c r="Q4826" s="2"/>
      <c r="R4826" s="2"/>
    </row>
    <row r="4827" spans="1:18" ht="19.5" hidden="1" thickBot="1" x14ac:dyDescent="0.3">
      <c r="A4827" s="503">
        <f t="shared" si="139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7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  <c r="Q4827" s="2"/>
      <c r="R4827" s="2"/>
    </row>
    <row r="4828" spans="1:18" ht="19.5" hidden="1" thickBot="1" x14ac:dyDescent="0.3">
      <c r="A4828" s="572">
        <f t="shared" si="139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7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  <c r="Q4828" s="2"/>
      <c r="R4828" s="2"/>
    </row>
    <row r="4829" spans="1:18" ht="19.5" hidden="1" thickBot="1" x14ac:dyDescent="0.3">
      <c r="A4829" s="503">
        <f t="shared" si="139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7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  <c r="Q4829" s="2"/>
      <c r="R4829" s="2"/>
    </row>
    <row r="4830" spans="1:18" ht="19.5" hidden="1" thickBot="1" x14ac:dyDescent="0.3">
      <c r="A4830" s="954">
        <f t="shared" si="139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963" t="s">
        <v>72</v>
      </c>
      <c r="H4830" s="483" t="s">
        <v>1062</v>
      </c>
      <c r="I4830" s="484" t="s">
        <v>1062</v>
      </c>
      <c r="J4830" s="485"/>
      <c r="K4830" s="483" t="str">
        <f t="shared" si="137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  <c r="Q4830" s="2"/>
      <c r="R4830" s="2"/>
    </row>
    <row r="4831" spans="1:18" ht="19.5" hidden="1" thickBot="1" x14ac:dyDescent="0.3">
      <c r="A4831" s="956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965"/>
      <c r="H4831" s="649" t="s">
        <v>1062</v>
      </c>
      <c r="I4831" s="651" t="s">
        <v>1062</v>
      </c>
      <c r="J4831" s="652"/>
      <c r="K4831" s="649" t="str">
        <f t="shared" si="137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  <c r="Q4831" s="2"/>
      <c r="R4831" s="2"/>
    </row>
    <row r="4832" spans="1:18" ht="19.5" hidden="1" thickBot="1" x14ac:dyDescent="0.3">
      <c r="A4832" s="966">
        <f t="shared" si="139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7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  <c r="Q4832" s="2"/>
      <c r="R4832" s="2"/>
    </row>
    <row r="4833" spans="1:18" ht="19.5" hidden="1" thickBot="1" x14ac:dyDescent="0.3">
      <c r="A4833" s="968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7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  <c r="Q4833" s="2"/>
      <c r="R4833" s="2"/>
    </row>
    <row r="4834" spans="1:18" ht="19.5" hidden="1" thickBot="1" x14ac:dyDescent="0.3">
      <c r="A4834" s="954">
        <f t="shared" si="139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7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  <c r="Q4834" s="2"/>
      <c r="R4834" s="2"/>
    </row>
    <row r="4835" spans="1:18" ht="19.5" hidden="1" thickBot="1" x14ac:dyDescent="0.3">
      <c r="A4835" s="955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7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  <c r="Q4835" s="2"/>
      <c r="R4835" s="2"/>
    </row>
    <row r="4836" spans="1:18" ht="19.5" hidden="1" thickBot="1" x14ac:dyDescent="0.3">
      <c r="A4836" s="955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7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  <c r="Q4836" s="2"/>
      <c r="R4836" s="2"/>
    </row>
    <row r="4837" spans="1:18" ht="19.5" hidden="1" thickBot="1" x14ac:dyDescent="0.3">
      <c r="A4837" s="956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7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  <c r="Q4837" s="2"/>
      <c r="R4837" s="2"/>
    </row>
    <row r="4838" spans="1:18" ht="29.25" hidden="1" customHeight="1" x14ac:dyDescent="0.25">
      <c r="A4838" s="966">
        <f t="shared" si="139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976" t="s">
        <v>1063</v>
      </c>
      <c r="H4838" s="535" t="s">
        <v>1062</v>
      </c>
      <c r="I4838" s="537" t="s">
        <v>1064</v>
      </c>
      <c r="J4838" s="538"/>
      <c r="K4838" s="535" t="str">
        <f t="shared" si="137"/>
        <v>09,25</v>
      </c>
      <c r="L4838" s="535" t="s">
        <v>28</v>
      </c>
      <c r="M4838" s="535">
        <v>10921.36</v>
      </c>
      <c r="N4838" s="539">
        <v>0.5</v>
      </c>
      <c r="O4838" s="2"/>
      <c r="P4838" s="2"/>
      <c r="Q4838" s="2"/>
      <c r="R4838" s="2"/>
    </row>
    <row r="4839" spans="1:18" ht="29.25" hidden="1" customHeight="1" thickBot="1" x14ac:dyDescent="0.3">
      <c r="A4839" s="968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975"/>
      <c r="H4839" s="640" t="s">
        <v>1062</v>
      </c>
      <c r="I4839" s="642" t="s">
        <v>1064</v>
      </c>
      <c r="J4839" s="643"/>
      <c r="K4839" s="640" t="str">
        <f t="shared" si="137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  <c r="Q4839" s="2"/>
      <c r="R4839" s="2"/>
    </row>
    <row r="4840" spans="1:18" ht="19.5" hidden="1" thickBot="1" x14ac:dyDescent="0.3">
      <c r="A4840" s="954">
        <f t="shared" si="139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7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  <c r="Q4840" s="2"/>
      <c r="R4840" s="2"/>
    </row>
    <row r="4841" spans="1:18" ht="19.5" hidden="1" thickBot="1" x14ac:dyDescent="0.3">
      <c r="A4841" s="956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7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  <c r="Q4841" s="2"/>
      <c r="R4841" s="2"/>
    </row>
    <row r="4842" spans="1:18" ht="19.5" hidden="1" thickBot="1" x14ac:dyDescent="0.3">
      <c r="A4842" s="966">
        <f t="shared" si="139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7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  <c r="Q4842" s="2"/>
      <c r="R4842" s="2"/>
    </row>
    <row r="4843" spans="1:18" ht="19.5" hidden="1" thickBot="1" x14ac:dyDescent="0.3">
      <c r="A4843" s="968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7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  <c r="Q4843" s="2"/>
      <c r="R4843" s="2"/>
    </row>
    <row r="4844" spans="1:18" ht="19.5" hidden="1" thickBot="1" x14ac:dyDescent="0.3">
      <c r="A4844" s="954">
        <f t="shared" si="139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7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  <c r="Q4844" s="2"/>
      <c r="R4844" s="2"/>
    </row>
    <row r="4845" spans="1:18" ht="19.5" hidden="1" thickBot="1" x14ac:dyDescent="0.3">
      <c r="A4845" s="956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7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  <c r="Q4845" s="2"/>
      <c r="R4845" s="2"/>
    </row>
    <row r="4846" spans="1:18" ht="19.5" hidden="1" thickBot="1" x14ac:dyDescent="0.3">
      <c r="A4846" s="966">
        <f t="shared" si="139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7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  <c r="Q4846" s="2"/>
      <c r="R4846" s="2"/>
    </row>
    <row r="4847" spans="1:18" ht="19.5" hidden="1" thickBot="1" x14ac:dyDescent="0.3">
      <c r="A4847" s="967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7"/>
        <v>09,25</v>
      </c>
      <c r="L4847" s="594" t="s">
        <v>28</v>
      </c>
      <c r="M4847" s="594">
        <v>4377.16</v>
      </c>
      <c r="N4847" s="598">
        <v>0.5</v>
      </c>
      <c r="O4847" s="2"/>
      <c r="P4847" s="2"/>
      <c r="Q4847" s="2"/>
      <c r="R4847" s="2"/>
    </row>
    <row r="4848" spans="1:18" ht="19.5" hidden="1" thickBot="1" x14ac:dyDescent="0.3">
      <c r="A4848" s="513">
        <f t="shared" si="139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7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  <c r="Q4848" s="2"/>
      <c r="R4848" s="2"/>
    </row>
    <row r="4849" spans="1:18" ht="19.5" hidden="1" thickBot="1" x14ac:dyDescent="0.3">
      <c r="A4849" s="503">
        <f t="shared" si="139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7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  <c r="Q4849" s="2"/>
      <c r="R4849" s="2"/>
    </row>
    <row r="4850" spans="1:18" ht="38.25" hidden="1" thickBot="1" x14ac:dyDescent="0.3">
      <c r="A4850" s="572">
        <f t="shared" si="139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7"/>
        <v>09,25</v>
      </c>
      <c r="L4850" s="577" t="s">
        <v>266</v>
      </c>
      <c r="M4850" s="577">
        <v>17952.36</v>
      </c>
      <c r="N4850" s="581">
        <v>0.5</v>
      </c>
      <c r="O4850" s="2"/>
      <c r="P4850" s="2"/>
      <c r="Q4850" s="2"/>
      <c r="R4850" s="2"/>
    </row>
    <row r="4851" spans="1:18" ht="19.5" hidden="1" thickBot="1" x14ac:dyDescent="0.3">
      <c r="A4851" s="503">
        <f t="shared" si="139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7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  <c r="Q4851" s="2"/>
      <c r="R4851" s="2"/>
    </row>
    <row r="4852" spans="1:18" ht="19.5" hidden="1" thickBot="1" x14ac:dyDescent="0.3">
      <c r="A4852" s="513">
        <f t="shared" si="139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7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  <c r="Q4852" s="2"/>
      <c r="R4852" s="2"/>
    </row>
    <row r="4853" spans="1:18" ht="19.5" hidden="1" thickBot="1" x14ac:dyDescent="0.3">
      <c r="A4853" s="503">
        <f t="shared" si="139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7"/>
        <v>09,25</v>
      </c>
      <c r="L4853" s="508" t="s">
        <v>266</v>
      </c>
      <c r="M4853" s="508">
        <v>18119.52</v>
      </c>
      <c r="N4853" s="512">
        <v>0.5</v>
      </c>
      <c r="O4853" s="2"/>
      <c r="P4853" s="2"/>
      <c r="Q4853" s="2"/>
      <c r="R4853" s="2"/>
    </row>
    <row r="4854" spans="1:18" ht="19.5" hidden="1" thickBot="1" x14ac:dyDescent="0.3">
      <c r="A4854" s="954">
        <f t="shared" si="139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963" t="s">
        <v>467</v>
      </c>
      <c r="H4854" s="483" t="s">
        <v>1066</v>
      </c>
      <c r="I4854" s="484" t="s">
        <v>1067</v>
      </c>
      <c r="J4854" s="485"/>
      <c r="K4854" s="483" t="str">
        <f t="shared" si="137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  <c r="Q4854" s="2"/>
      <c r="R4854" s="2"/>
    </row>
    <row r="4855" spans="1:18" ht="19.5" hidden="1" thickBot="1" x14ac:dyDescent="0.3">
      <c r="A4855" s="956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965"/>
      <c r="H4855" s="649" t="s">
        <v>1066</v>
      </c>
      <c r="I4855" s="651" t="s">
        <v>1067</v>
      </c>
      <c r="J4855" s="652"/>
      <c r="K4855" s="649" t="str">
        <f t="shared" si="137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  <c r="Q4855" s="2"/>
      <c r="R4855" s="2"/>
    </row>
    <row r="4856" spans="1:18" ht="19.5" hidden="1" thickBot="1" x14ac:dyDescent="0.3">
      <c r="A4856" s="966">
        <f t="shared" si="139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7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  <c r="Q4856" s="2"/>
      <c r="R4856" s="2"/>
    </row>
    <row r="4857" spans="1:18" ht="19.5" hidden="1" thickBot="1" x14ac:dyDescent="0.3">
      <c r="A4857" s="967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7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  <c r="Q4857" s="2"/>
      <c r="R4857" s="2"/>
    </row>
    <row r="4858" spans="1:18" ht="19.5" hidden="1" thickBot="1" x14ac:dyDescent="0.3">
      <c r="A4858" s="967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7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  <c r="Q4858" s="2"/>
      <c r="R4858" s="2"/>
    </row>
    <row r="4859" spans="1:18" ht="19.5" hidden="1" thickBot="1" x14ac:dyDescent="0.3">
      <c r="A4859" s="954">
        <f t="shared" si="139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7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  <c r="Q4859" s="2"/>
      <c r="R4859" s="2"/>
    </row>
    <row r="4860" spans="1:18" ht="19.5" hidden="1" thickBot="1" x14ac:dyDescent="0.3">
      <c r="A4860" s="956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7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  <c r="Q4860" s="2"/>
      <c r="R4860" s="2"/>
    </row>
    <row r="4861" spans="1:18" ht="19.5" hidden="1" thickBot="1" x14ac:dyDescent="0.3">
      <c r="A4861" s="503">
        <f t="shared" si="139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7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  <c r="Q4861" s="2"/>
      <c r="R4861" s="2"/>
    </row>
    <row r="4862" spans="1:18" ht="19.5" hidden="1" thickBot="1" x14ac:dyDescent="0.3">
      <c r="A4862" s="513">
        <f t="shared" si="139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7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  <c r="Q4862" s="2"/>
      <c r="R4862" s="2"/>
    </row>
    <row r="4863" spans="1:18" ht="19.5" hidden="1" thickBot="1" x14ac:dyDescent="0.3">
      <c r="A4863" s="503">
        <f t="shared" si="139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7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  <c r="Q4863" s="2"/>
      <c r="R4863" s="2"/>
    </row>
    <row r="4864" spans="1:18" ht="19.5" hidden="1" thickBot="1" x14ac:dyDescent="0.3">
      <c r="A4864" s="513">
        <f t="shared" si="139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7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  <c r="Q4864" s="2"/>
      <c r="R4864" s="2"/>
    </row>
    <row r="4865" spans="1:18" ht="19.5" hidden="1" thickBot="1" x14ac:dyDescent="0.3">
      <c r="A4865" s="503">
        <f t="shared" si="139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7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  <c r="Q4865" s="2"/>
      <c r="R4865" s="2"/>
    </row>
    <row r="4866" spans="1:18" ht="29.25" hidden="1" customHeight="1" x14ac:dyDescent="0.25">
      <c r="A4866" s="954">
        <f t="shared" si="139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963" t="s">
        <v>1069</v>
      </c>
      <c r="H4866" s="483" t="s">
        <v>1068</v>
      </c>
      <c r="I4866" s="484" t="s">
        <v>1070</v>
      </c>
      <c r="J4866" s="485"/>
      <c r="K4866" s="483" t="str">
        <f t="shared" si="137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  <c r="Q4866" s="2"/>
      <c r="R4866" s="2"/>
    </row>
    <row r="4867" spans="1:18" ht="29.25" hidden="1" customHeight="1" thickBot="1" x14ac:dyDescent="0.3">
      <c r="A4867" s="956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965"/>
      <c r="H4867" s="649" t="s">
        <v>1068</v>
      </c>
      <c r="I4867" s="651" t="s">
        <v>1070</v>
      </c>
      <c r="J4867" s="652"/>
      <c r="K4867" s="649" t="str">
        <f t="shared" si="137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  <c r="Q4867" s="2"/>
      <c r="R4867" s="2"/>
    </row>
    <row r="4868" spans="1:18" ht="19.5" hidden="1" thickBot="1" x14ac:dyDescent="0.3">
      <c r="A4868" s="966">
        <f t="shared" si="139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7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  <c r="Q4868" s="2"/>
      <c r="R4868" s="2"/>
    </row>
    <row r="4869" spans="1:18" ht="19.5" hidden="1" thickBot="1" x14ac:dyDescent="0.3">
      <c r="A4869" s="967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7"/>
        <v>09,25</v>
      </c>
      <c r="L4869" s="567" t="s">
        <v>28</v>
      </c>
      <c r="M4869" s="567">
        <v>5862.67</v>
      </c>
      <c r="N4869" s="571">
        <v>0.5</v>
      </c>
      <c r="O4869" s="2"/>
      <c r="P4869" s="2"/>
      <c r="Q4869" s="2"/>
      <c r="R4869" s="2"/>
    </row>
    <row r="4870" spans="1:18" ht="19.5" hidden="1" thickBot="1" x14ac:dyDescent="0.3">
      <c r="A4870" s="967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7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  <c r="Q4870" s="2"/>
      <c r="R4870" s="2"/>
    </row>
    <row r="4871" spans="1:18" ht="19.5" hidden="1" thickBot="1" x14ac:dyDescent="0.3">
      <c r="A4871" s="968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7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  <c r="Q4871" s="2"/>
      <c r="R4871" s="2"/>
    </row>
    <row r="4872" spans="1:18" ht="19.5" hidden="1" thickBot="1" x14ac:dyDescent="0.3">
      <c r="A4872" s="954">
        <f t="shared" si="139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7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  <c r="Q4872" s="2"/>
      <c r="R4872" s="2"/>
    </row>
    <row r="4873" spans="1:18" ht="19.5" hidden="1" thickBot="1" x14ac:dyDescent="0.3">
      <c r="A4873" s="956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7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  <c r="Q4873" s="2"/>
      <c r="R4873" s="2"/>
    </row>
    <row r="4874" spans="1:18" ht="19.5" hidden="1" thickBot="1" x14ac:dyDescent="0.3">
      <c r="A4874" s="551">
        <f t="shared" si="139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7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  <c r="Q4874" s="2"/>
      <c r="R4874" s="2"/>
    </row>
    <row r="4875" spans="1:18" ht="19.5" hidden="1" thickBot="1" x14ac:dyDescent="0.3">
      <c r="A4875" s="513">
        <f t="shared" si="139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7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  <c r="Q4875" s="2"/>
      <c r="R4875" s="2"/>
    </row>
    <row r="4876" spans="1:18" ht="19.5" hidden="1" thickBot="1" x14ac:dyDescent="0.3">
      <c r="A4876" s="503">
        <f t="shared" si="139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7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  <c r="Q4876" s="2"/>
      <c r="R4876" s="2"/>
    </row>
    <row r="4877" spans="1:18" ht="75.75" hidden="1" thickBot="1" x14ac:dyDescent="0.3">
      <c r="A4877" s="513">
        <f t="shared" si="139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7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  <c r="Q4877" s="2"/>
      <c r="R4877" s="2"/>
    </row>
    <row r="4878" spans="1:18" ht="19.5" hidden="1" thickBot="1" x14ac:dyDescent="0.3">
      <c r="A4878" s="966">
        <f t="shared" si="139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7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  <c r="Q4878" s="2"/>
      <c r="R4878" s="2"/>
    </row>
    <row r="4879" spans="1:18" ht="19.5" hidden="1" thickBot="1" x14ac:dyDescent="0.3">
      <c r="A4879" s="967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7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  <c r="Q4879" s="2"/>
      <c r="R4879" s="2"/>
    </row>
    <row r="4880" spans="1:18" ht="19.5" hidden="1" thickBot="1" x14ac:dyDescent="0.3">
      <c r="A4880" s="968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7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  <c r="Q4880" s="2"/>
      <c r="R4880" s="2"/>
    </row>
    <row r="4881" spans="1:18" ht="19.5" hidden="1" thickBot="1" x14ac:dyDescent="0.3">
      <c r="A4881" s="954">
        <f t="shared" si="139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7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  <c r="Q4881" s="2"/>
      <c r="R4881" s="2"/>
    </row>
    <row r="4882" spans="1:18" ht="19.5" hidden="1" thickBot="1" x14ac:dyDescent="0.3">
      <c r="A4882" s="955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7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  <c r="Q4882" s="2"/>
      <c r="R4882" s="2"/>
    </row>
    <row r="4883" spans="1:18" ht="19.5" hidden="1" thickBot="1" x14ac:dyDescent="0.3">
      <c r="A4883" s="955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7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  <c r="Q4883" s="2"/>
      <c r="R4883" s="2"/>
    </row>
    <row r="4884" spans="1:18" ht="19.5" hidden="1" thickBot="1" x14ac:dyDescent="0.3">
      <c r="A4884" s="956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7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  <c r="Q4884" s="2"/>
      <c r="R4884" s="2"/>
    </row>
    <row r="4885" spans="1:18" ht="19.5" hidden="1" thickBot="1" x14ac:dyDescent="0.3">
      <c r="A4885" s="503">
        <f t="shared" si="139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7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  <c r="Q4885" s="2"/>
      <c r="R4885" s="2"/>
    </row>
    <row r="4886" spans="1:18" ht="19.5" hidden="1" thickBot="1" x14ac:dyDescent="0.3">
      <c r="A4886" s="513">
        <f t="shared" si="139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7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  <c r="Q4886" s="2"/>
      <c r="R4886" s="2"/>
    </row>
    <row r="4887" spans="1:18" ht="19.5" hidden="1" thickBot="1" x14ac:dyDescent="0.3">
      <c r="A4887" s="966">
        <f t="shared" si="139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7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  <c r="Q4887" s="2"/>
      <c r="R4887" s="2"/>
    </row>
    <row r="4888" spans="1:18" ht="19.5" hidden="1" thickBot="1" x14ac:dyDescent="0.3">
      <c r="A4888" s="968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7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  <c r="Q4888" s="2"/>
      <c r="R4888" s="2"/>
    </row>
    <row r="4889" spans="1:18" ht="19.5" hidden="1" thickBot="1" x14ac:dyDescent="0.3">
      <c r="A4889" s="954">
        <f t="shared" ref="A4889:A4952" si="140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7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  <c r="Q4889" s="2"/>
      <c r="R4889" s="2"/>
    </row>
    <row r="4890" spans="1:18" ht="19.5" hidden="1" thickBot="1" x14ac:dyDescent="0.3">
      <c r="A4890" s="956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7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  <c r="Q4890" s="2"/>
      <c r="R4890" s="2"/>
    </row>
    <row r="4891" spans="1:18" ht="19.5" hidden="1" thickBot="1" x14ac:dyDescent="0.3">
      <c r="A4891" s="966">
        <f t="shared" si="140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7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  <c r="Q4891" s="2"/>
      <c r="R4891" s="2"/>
    </row>
    <row r="4892" spans="1:18" ht="19.5" hidden="1" thickBot="1" x14ac:dyDescent="0.3">
      <c r="A4892" s="968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7"/>
        <v>09,25</v>
      </c>
      <c r="L4892" s="640" t="s">
        <v>28</v>
      </c>
      <c r="M4892" s="640">
        <v>4903.28</v>
      </c>
      <c r="N4892" s="644">
        <v>0.5</v>
      </c>
      <c r="O4892" s="2"/>
      <c r="P4892" s="2"/>
      <c r="Q4892" s="2"/>
      <c r="R4892" s="2"/>
    </row>
    <row r="4893" spans="1:18" ht="29.25" hidden="1" customHeight="1" x14ac:dyDescent="0.25">
      <c r="A4893" s="954">
        <f t="shared" si="140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963" t="s">
        <v>1073</v>
      </c>
      <c r="H4893" s="483" t="s">
        <v>1071</v>
      </c>
      <c r="I4893" s="484" t="s">
        <v>1071</v>
      </c>
      <c r="J4893" s="485"/>
      <c r="K4893" s="483" t="str">
        <f t="shared" si="137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  <c r="Q4893" s="2"/>
      <c r="R4893" s="2"/>
    </row>
    <row r="4894" spans="1:18" ht="29.25" hidden="1" customHeight="1" thickBot="1" x14ac:dyDescent="0.3">
      <c r="A4894" s="956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965"/>
      <c r="H4894" s="649" t="s">
        <v>1071</v>
      </c>
      <c r="I4894" s="651" t="s">
        <v>1071</v>
      </c>
      <c r="J4894" s="652"/>
      <c r="K4894" s="649" t="str">
        <f t="shared" si="137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  <c r="Q4894" s="2"/>
      <c r="R4894" s="2"/>
    </row>
    <row r="4895" spans="1:18" ht="38.25" hidden="1" thickBot="1" x14ac:dyDescent="0.3">
      <c r="A4895" s="503">
        <f t="shared" si="140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7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  <c r="Q4895" s="2"/>
      <c r="R4895" s="2"/>
    </row>
    <row r="4896" spans="1:18" ht="38.25" hidden="1" thickBot="1" x14ac:dyDescent="0.3">
      <c r="A4896" s="513">
        <f t="shared" si="140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7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  <c r="Q4896" s="2"/>
      <c r="R4896" s="2"/>
    </row>
    <row r="4897" spans="1:18" ht="19.5" hidden="1" thickBot="1" x14ac:dyDescent="0.3">
      <c r="A4897" s="966">
        <f t="shared" si="140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7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  <c r="Q4897" s="2"/>
      <c r="R4897" s="2"/>
    </row>
    <row r="4898" spans="1:18" ht="19.5" hidden="1" thickBot="1" x14ac:dyDescent="0.3">
      <c r="A4898" s="967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7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  <c r="Q4898" s="2"/>
      <c r="R4898" s="2"/>
    </row>
    <row r="4899" spans="1:18" ht="19.5" hidden="1" thickBot="1" x14ac:dyDescent="0.3">
      <c r="A4899" s="513">
        <f t="shared" si="140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7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  <c r="Q4899" s="2"/>
      <c r="R4899" s="2"/>
    </row>
    <row r="4900" spans="1:18" ht="19.5" hidden="1" thickBot="1" x14ac:dyDescent="0.3">
      <c r="A4900" s="966">
        <f t="shared" si="140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7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  <c r="Q4900" s="2"/>
      <c r="R4900" s="2"/>
    </row>
    <row r="4901" spans="1:18" ht="19.5" hidden="1" thickBot="1" x14ac:dyDescent="0.3">
      <c r="A4901" s="967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7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  <c r="Q4901" s="2"/>
      <c r="R4901" s="2"/>
    </row>
    <row r="4902" spans="1:18" ht="19.5" hidden="1" thickBot="1" x14ac:dyDescent="0.3">
      <c r="A4902" s="968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7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  <c r="Q4902" s="2"/>
      <c r="R4902" s="2"/>
    </row>
    <row r="4903" spans="1:18" ht="30.75" hidden="1" customHeight="1" x14ac:dyDescent="0.25">
      <c r="A4903" s="954">
        <f t="shared" si="140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963" t="s">
        <v>1078</v>
      </c>
      <c r="H4903" s="483" t="s">
        <v>1077</v>
      </c>
      <c r="I4903" s="484" t="s">
        <v>1079</v>
      </c>
      <c r="J4903" s="485"/>
      <c r="K4903" s="483" t="str">
        <f t="shared" si="137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  <c r="Q4903" s="2"/>
      <c r="R4903" s="2"/>
    </row>
    <row r="4904" spans="1:18" ht="30.75" hidden="1" customHeight="1" thickBot="1" x14ac:dyDescent="0.3">
      <c r="A4904" s="955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964"/>
      <c r="H4904" s="499" t="s">
        <v>1077</v>
      </c>
      <c r="I4904" s="500" t="s">
        <v>1079</v>
      </c>
      <c r="J4904" s="501"/>
      <c r="K4904" s="499" t="str">
        <f t="shared" si="137"/>
        <v>10,25</v>
      </c>
      <c r="L4904" s="499" t="s">
        <v>266</v>
      </c>
      <c r="M4904" s="499">
        <v>6000</v>
      </c>
      <c r="N4904" s="502">
        <v>0.5</v>
      </c>
      <c r="O4904" s="2"/>
      <c r="P4904" s="2"/>
      <c r="Q4904" s="2"/>
      <c r="R4904" s="2"/>
    </row>
    <row r="4905" spans="1:18" ht="19.5" hidden="1" thickBot="1" x14ac:dyDescent="0.3">
      <c r="A4905" s="966">
        <f t="shared" si="140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7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  <c r="Q4905" s="2"/>
      <c r="R4905" s="2"/>
    </row>
    <row r="4906" spans="1:18" ht="19.5" hidden="1" thickBot="1" x14ac:dyDescent="0.3">
      <c r="A4906" s="968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7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  <c r="Q4906" s="2"/>
      <c r="R4906" s="2"/>
    </row>
    <row r="4907" spans="1:18" ht="19.5" hidden="1" thickBot="1" x14ac:dyDescent="0.3">
      <c r="A4907" s="513">
        <f t="shared" si="140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7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  <c r="Q4907" s="2"/>
      <c r="R4907" s="2"/>
    </row>
    <row r="4908" spans="1:18" ht="19.5" hidden="1" thickBot="1" x14ac:dyDescent="0.3">
      <c r="A4908" s="966">
        <f t="shared" si="140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7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  <c r="Q4908" s="2"/>
      <c r="R4908" s="2"/>
    </row>
    <row r="4909" spans="1:18" ht="19.5" hidden="1" thickBot="1" x14ac:dyDescent="0.3">
      <c r="A4909" s="967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7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  <c r="Q4909" s="2"/>
      <c r="R4909" s="2"/>
    </row>
    <row r="4910" spans="1:18" ht="19.5" hidden="1" thickBot="1" x14ac:dyDescent="0.3">
      <c r="A4910" s="968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7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  <c r="Q4910" s="2"/>
      <c r="R4910" s="2"/>
    </row>
    <row r="4911" spans="1:18" ht="19.5" hidden="1" thickBot="1" x14ac:dyDescent="0.3">
      <c r="A4911" s="954">
        <f t="shared" si="140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7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  <c r="Q4911" s="2"/>
      <c r="R4911" s="2"/>
    </row>
    <row r="4912" spans="1:18" ht="19.5" hidden="1" thickBot="1" x14ac:dyDescent="0.3">
      <c r="A4912" s="955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7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  <c r="Q4912" s="2"/>
      <c r="R4912" s="2"/>
    </row>
    <row r="4913" spans="1:18" ht="19.5" hidden="1" thickBot="1" x14ac:dyDescent="0.3">
      <c r="A4913" s="956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7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  <c r="Q4913" s="2"/>
      <c r="R4913" s="2"/>
    </row>
    <row r="4914" spans="1:18" ht="75.75" hidden="1" thickBot="1" x14ac:dyDescent="0.3">
      <c r="A4914" s="503">
        <f t="shared" si="140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7"/>
        <v>10,25</v>
      </c>
      <c r="L4914" s="508" t="s">
        <v>28</v>
      </c>
      <c r="M4914" s="508">
        <v>13186.09</v>
      </c>
      <c r="N4914" s="512">
        <v>0.5</v>
      </c>
      <c r="O4914" s="2"/>
      <c r="P4914" s="2"/>
      <c r="Q4914" s="2"/>
      <c r="R4914" s="2"/>
    </row>
    <row r="4915" spans="1:18" ht="19.5" hidden="1" thickBot="1" x14ac:dyDescent="0.3">
      <c r="A4915" s="513">
        <f t="shared" si="140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7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  <c r="Q4915" s="2"/>
      <c r="R4915" s="2"/>
    </row>
    <row r="4916" spans="1:18" ht="19.5" hidden="1" thickBot="1" x14ac:dyDescent="0.3">
      <c r="A4916" s="503">
        <f t="shared" si="140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7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  <c r="Q4916" s="2"/>
      <c r="R4916" s="2"/>
    </row>
    <row r="4917" spans="1:18" ht="19.5" hidden="1" thickBot="1" x14ac:dyDescent="0.3">
      <c r="A4917" s="954">
        <f t="shared" si="140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7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  <c r="Q4917" s="2"/>
      <c r="R4917" s="2"/>
    </row>
    <row r="4918" spans="1:18" ht="19.5" hidden="1" thickBot="1" x14ac:dyDescent="0.3">
      <c r="A4918" s="956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7"/>
        <v>10,25</v>
      </c>
      <c r="L4918" s="649" t="s">
        <v>266</v>
      </c>
      <c r="M4918" s="649">
        <v>1327.8</v>
      </c>
      <c r="N4918" s="653">
        <v>0.375</v>
      </c>
      <c r="O4918" s="2"/>
      <c r="P4918" s="2"/>
      <c r="Q4918" s="2"/>
      <c r="R4918" s="2"/>
    </row>
    <row r="4919" spans="1:18" ht="19.5" hidden="1" thickBot="1" x14ac:dyDescent="0.3">
      <c r="A4919" s="551">
        <f t="shared" si="140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7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  <c r="Q4919" s="2"/>
      <c r="R4919" s="2"/>
    </row>
    <row r="4920" spans="1:18" ht="19.5" hidden="1" thickBot="1" x14ac:dyDescent="0.3">
      <c r="A4920" s="513">
        <f t="shared" si="140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7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  <c r="Q4920" s="2"/>
      <c r="R4920" s="2"/>
    </row>
    <row r="4921" spans="1:18" ht="19.5" hidden="1" thickBot="1" x14ac:dyDescent="0.3">
      <c r="A4921" s="503">
        <f t="shared" si="140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7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  <c r="Q4921" s="2"/>
      <c r="R4921" s="2"/>
    </row>
    <row r="4922" spans="1:18" ht="75.75" hidden="1" thickBot="1" x14ac:dyDescent="0.3">
      <c r="A4922" s="513">
        <f t="shared" si="140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7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  <c r="Q4922" s="2"/>
      <c r="R4922" s="2"/>
    </row>
    <row r="4923" spans="1:18" ht="19.5" hidden="1" thickBot="1" x14ac:dyDescent="0.3">
      <c r="A4923" s="503">
        <f t="shared" si="140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7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  <c r="Q4923" s="2"/>
      <c r="R4923" s="2"/>
    </row>
    <row r="4924" spans="1:18" ht="19.5" hidden="1" thickBot="1" x14ac:dyDescent="0.3">
      <c r="A4924" s="954">
        <f t="shared" si="140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7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  <c r="Q4924" s="2"/>
      <c r="R4924" s="2"/>
    </row>
    <row r="4925" spans="1:18" ht="19.5" hidden="1" thickBot="1" x14ac:dyDescent="0.3">
      <c r="A4925" s="956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7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  <c r="Q4925" s="2"/>
      <c r="R4925" s="2"/>
    </row>
    <row r="4926" spans="1:18" ht="19.5" hidden="1" thickBot="1" x14ac:dyDescent="0.3">
      <c r="A4926" s="966">
        <f t="shared" si="140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7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  <c r="Q4926" s="2"/>
      <c r="R4926" s="2"/>
    </row>
    <row r="4927" spans="1:18" ht="19.5" hidden="1" thickBot="1" x14ac:dyDescent="0.3">
      <c r="A4927" s="967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7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  <c r="Q4927" s="2"/>
      <c r="R4927" s="2"/>
    </row>
    <row r="4928" spans="1:18" ht="19.5" hidden="1" thickBot="1" x14ac:dyDescent="0.3">
      <c r="A4928" s="967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7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  <c r="Q4928" s="2"/>
      <c r="R4928" s="2"/>
    </row>
    <row r="4929" spans="1:18" ht="19.5" hidden="1" thickBot="1" x14ac:dyDescent="0.3">
      <c r="A4929" s="968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7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  <c r="Q4929" s="2"/>
      <c r="R4929" s="2"/>
    </row>
    <row r="4930" spans="1:18" ht="19.5" hidden="1" thickBot="1" x14ac:dyDescent="0.3">
      <c r="A4930" s="954">
        <f t="shared" si="140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963" t="s">
        <v>72</v>
      </c>
      <c r="H4930" s="483" t="s">
        <v>1085</v>
      </c>
      <c r="I4930" s="484" t="s">
        <v>1085</v>
      </c>
      <c r="J4930" s="485"/>
      <c r="K4930" s="483" t="str">
        <f t="shared" si="137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  <c r="Q4930" s="2"/>
      <c r="R4930" s="2"/>
    </row>
    <row r="4931" spans="1:18" ht="19.5" hidden="1" thickBot="1" x14ac:dyDescent="0.3">
      <c r="A4931" s="956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965"/>
      <c r="H4931" s="649" t="s">
        <v>1085</v>
      </c>
      <c r="I4931" s="651" t="s">
        <v>1085</v>
      </c>
      <c r="J4931" s="652" t="s">
        <v>986</v>
      </c>
      <c r="K4931" s="649" t="str">
        <f t="shared" si="137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  <c r="Q4931" s="2"/>
      <c r="R4931" s="2"/>
    </row>
    <row r="4932" spans="1:18" ht="19.5" hidden="1" thickBot="1" x14ac:dyDescent="0.3">
      <c r="A4932" s="503">
        <f t="shared" si="140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7"/>
        <v>10,25</v>
      </c>
      <c r="L4932" s="508" t="s">
        <v>266</v>
      </c>
      <c r="M4932" s="508">
        <v>13671.06</v>
      </c>
      <c r="N4932" s="512">
        <v>0.5</v>
      </c>
      <c r="O4932" s="2"/>
      <c r="P4932" s="2"/>
      <c r="Q4932" s="2"/>
      <c r="R4932" s="2"/>
    </row>
    <row r="4933" spans="1:18" ht="19.5" hidden="1" thickBot="1" x14ac:dyDescent="0.3">
      <c r="A4933" s="954">
        <f t="shared" si="140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7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  <c r="Q4933" s="2"/>
      <c r="R4933" s="2"/>
    </row>
    <row r="4934" spans="1:18" ht="19.5" hidden="1" thickBot="1" x14ac:dyDescent="0.3">
      <c r="A4934" s="956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7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  <c r="Q4934" s="2"/>
      <c r="R4934" s="2"/>
    </row>
    <row r="4935" spans="1:18" ht="28.5" hidden="1" customHeight="1" x14ac:dyDescent="0.25">
      <c r="A4935" s="966">
        <f t="shared" si="140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976" t="s">
        <v>1073</v>
      </c>
      <c r="H4935" s="535" t="s">
        <v>1083</v>
      </c>
      <c r="I4935" s="537" t="s">
        <v>1085</v>
      </c>
      <c r="J4935" s="538"/>
      <c r="K4935" s="535" t="str">
        <f t="shared" si="137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  <c r="Q4935" s="2"/>
      <c r="R4935" s="2"/>
    </row>
    <row r="4936" spans="1:18" ht="28.5" hidden="1" customHeight="1" thickBot="1" x14ac:dyDescent="0.3">
      <c r="A4936" s="968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975"/>
      <c r="H4936" s="640" t="s">
        <v>1083</v>
      </c>
      <c r="I4936" s="642" t="s">
        <v>1085</v>
      </c>
      <c r="J4936" s="643"/>
      <c r="K4936" s="640" t="str">
        <f t="shared" si="137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  <c r="Q4936" s="2"/>
      <c r="R4936" s="2"/>
    </row>
    <row r="4937" spans="1:18" ht="19.5" hidden="1" thickBot="1" x14ac:dyDescent="0.3">
      <c r="A4937" s="513">
        <f t="shared" si="140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7"/>
        <v>10,25</v>
      </c>
      <c r="L4937" s="518" t="s">
        <v>28</v>
      </c>
      <c r="M4937" s="518">
        <v>9675.52</v>
      </c>
      <c r="N4937" s="522">
        <v>0.5</v>
      </c>
      <c r="O4937" s="2"/>
      <c r="P4937" s="2"/>
      <c r="Q4937" s="2"/>
      <c r="R4937" s="2"/>
    </row>
    <row r="4938" spans="1:18" ht="38.25" hidden="1" thickBot="1" x14ac:dyDescent="0.3">
      <c r="A4938" s="503">
        <f t="shared" si="140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7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  <c r="Q4938" s="2"/>
      <c r="R4938" s="2"/>
    </row>
    <row r="4939" spans="1:18" ht="19.5" hidden="1" thickBot="1" x14ac:dyDescent="0.3">
      <c r="A4939" s="954">
        <f t="shared" si="140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7"/>
        <v>10,25</v>
      </c>
      <c r="L4939" s="483" t="s">
        <v>266</v>
      </c>
      <c r="M4939" s="483">
        <v>360</v>
      </c>
      <c r="N4939" s="486">
        <v>0.375</v>
      </c>
      <c r="O4939" s="2"/>
      <c r="P4939" s="2"/>
      <c r="Q4939" s="2"/>
      <c r="R4939" s="2"/>
    </row>
    <row r="4940" spans="1:18" ht="19.5" hidden="1" thickBot="1" x14ac:dyDescent="0.3">
      <c r="A4940" s="955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7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  <c r="Q4940" s="2"/>
      <c r="R4940" s="2"/>
    </row>
    <row r="4941" spans="1:18" ht="19.5" hidden="1" thickBot="1" x14ac:dyDescent="0.3">
      <c r="A4941" s="955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7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  <c r="Q4941" s="2"/>
      <c r="R4941" s="2"/>
    </row>
    <row r="4942" spans="1:18" ht="19.5" hidden="1" thickBot="1" x14ac:dyDescent="0.3">
      <c r="A4942" s="966">
        <f t="shared" si="140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7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  <c r="Q4942" s="2"/>
      <c r="R4942" s="2"/>
    </row>
    <row r="4943" spans="1:18" ht="19.5" hidden="1" thickBot="1" x14ac:dyDescent="0.3">
      <c r="A4943" s="968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7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  <c r="Q4943" s="2"/>
      <c r="R4943" s="2"/>
    </row>
    <row r="4944" spans="1:18" ht="19.5" hidden="1" thickBot="1" x14ac:dyDescent="0.3">
      <c r="A4944" s="513">
        <f t="shared" si="140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7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  <c r="Q4944" s="2"/>
      <c r="R4944" s="2"/>
    </row>
    <row r="4945" spans="1:18" ht="19.5" hidden="1" thickBot="1" x14ac:dyDescent="0.3">
      <c r="A4945" s="503">
        <f t="shared" si="140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7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  <c r="Q4945" s="2"/>
      <c r="R4945" s="2"/>
    </row>
    <row r="4946" spans="1:18" ht="19.5" hidden="1" thickBot="1" x14ac:dyDescent="0.3">
      <c r="A4946" s="954">
        <f t="shared" si="140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7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  <c r="Q4946" s="2"/>
      <c r="R4946" s="2"/>
    </row>
    <row r="4947" spans="1:18" ht="19.5" hidden="1" thickBot="1" x14ac:dyDescent="0.3">
      <c r="A4947" s="956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7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  <c r="Q4947" s="2"/>
      <c r="R4947" s="2"/>
    </row>
    <row r="4948" spans="1:18" ht="19.5" hidden="1" thickBot="1" x14ac:dyDescent="0.3">
      <c r="A4948" s="966">
        <f t="shared" si="140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7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  <c r="Q4948" s="2"/>
      <c r="R4948" s="2"/>
    </row>
    <row r="4949" spans="1:18" ht="19.5" hidden="1" thickBot="1" x14ac:dyDescent="0.3">
      <c r="A4949" s="968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7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  <c r="Q4949" s="2"/>
      <c r="R4949" s="2"/>
    </row>
    <row r="4950" spans="1:18" ht="27.75" hidden="1" customHeight="1" x14ac:dyDescent="0.25">
      <c r="A4950" s="954">
        <f t="shared" si="140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963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7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  <c r="Q4950" s="2"/>
      <c r="R4950" s="2"/>
    </row>
    <row r="4951" spans="1:18" ht="27.75" hidden="1" customHeight="1" thickBot="1" x14ac:dyDescent="0.3">
      <c r="A4951" s="956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965"/>
      <c r="H4951" s="649" t="s">
        <v>1089</v>
      </c>
      <c r="I4951" s="651" t="s">
        <v>1089</v>
      </c>
      <c r="J4951" s="652" t="s">
        <v>986</v>
      </c>
      <c r="K4951" s="649" t="str">
        <f t="shared" si="137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  <c r="Q4951" s="2"/>
      <c r="R4951" s="2"/>
    </row>
    <row r="4952" spans="1:18" ht="19.5" hidden="1" thickBot="1" x14ac:dyDescent="0.3">
      <c r="A4952" s="503">
        <f t="shared" si="140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7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  <c r="Q4952" s="2"/>
      <c r="R4952" s="2"/>
    </row>
    <row r="4953" spans="1:18" ht="19.5" hidden="1" thickBot="1" x14ac:dyDescent="0.3">
      <c r="A4953" s="572">
        <f t="shared" ref="A4953:A5016" si="141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7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  <c r="Q4953" s="2"/>
      <c r="R4953" s="2"/>
    </row>
    <row r="4954" spans="1:18" ht="19.5" hidden="1" thickBot="1" x14ac:dyDescent="0.3">
      <c r="A4954" s="966">
        <f t="shared" si="141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7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  <c r="Q4954" s="2"/>
      <c r="R4954" s="2"/>
    </row>
    <row r="4955" spans="1:18" ht="57" hidden="1" thickBot="1" x14ac:dyDescent="0.3">
      <c r="A4955" s="968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7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  <c r="Q4955" s="2"/>
      <c r="R4955" s="2"/>
    </row>
    <row r="4956" spans="1:18" ht="19.5" hidden="1" thickBot="1" x14ac:dyDescent="0.3">
      <c r="A4956" s="954">
        <f t="shared" si="141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7"/>
        <v>10,25</v>
      </c>
      <c r="L4956" s="483" t="s">
        <v>265</v>
      </c>
      <c r="M4956" s="483">
        <v>16931</v>
      </c>
      <c r="N4956" s="486">
        <v>0.375</v>
      </c>
      <c r="O4956" s="2"/>
      <c r="P4956" s="2"/>
      <c r="Q4956" s="2"/>
      <c r="R4956" s="2"/>
    </row>
    <row r="4957" spans="1:18" ht="19.5" hidden="1" thickBot="1" x14ac:dyDescent="0.3">
      <c r="A4957" s="956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7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  <c r="Q4957" s="2"/>
      <c r="R4957" s="2"/>
    </row>
    <row r="4958" spans="1:18" ht="19.5" hidden="1" thickBot="1" x14ac:dyDescent="0.3">
      <c r="A4958" s="503">
        <f t="shared" si="141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7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  <c r="Q4958" s="2"/>
      <c r="R4958" s="2"/>
    </row>
    <row r="4959" spans="1:18" ht="19.5" hidden="1" thickBot="1" x14ac:dyDescent="0.3">
      <c r="A4959" s="572">
        <f t="shared" si="141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7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  <c r="Q4959" s="2"/>
      <c r="R4959" s="2"/>
    </row>
    <row r="4960" spans="1:18" ht="19.5" hidden="1" thickBot="1" x14ac:dyDescent="0.3">
      <c r="A4960" s="966">
        <f t="shared" si="141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976" t="s">
        <v>72</v>
      </c>
      <c r="H4960" s="535" t="s">
        <v>1092</v>
      </c>
      <c r="I4960" s="537" t="s">
        <v>1092</v>
      </c>
      <c r="J4960" s="538"/>
      <c r="K4960" s="535" t="str">
        <f t="shared" si="137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  <c r="Q4960" s="2"/>
      <c r="R4960" s="2"/>
    </row>
    <row r="4961" spans="1:18" ht="19.5" hidden="1" thickBot="1" x14ac:dyDescent="0.3">
      <c r="A4961" s="968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975"/>
      <c r="H4961" s="640" t="s">
        <v>1092</v>
      </c>
      <c r="I4961" s="642" t="s">
        <v>1092</v>
      </c>
      <c r="J4961" s="643"/>
      <c r="K4961" s="640" t="str">
        <f t="shared" si="137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  <c r="Q4961" s="2"/>
      <c r="R4961" s="2"/>
    </row>
    <row r="4962" spans="1:18" ht="38.25" hidden="1" thickBot="1" x14ac:dyDescent="0.3">
      <c r="A4962" s="513">
        <f t="shared" si="141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7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  <c r="Q4962" s="2"/>
      <c r="R4962" s="2"/>
    </row>
    <row r="4963" spans="1:18" ht="75.75" hidden="1" thickBot="1" x14ac:dyDescent="0.3">
      <c r="A4963" s="503">
        <f t="shared" si="141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7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  <c r="Q4963" s="2"/>
      <c r="R4963" s="2"/>
    </row>
    <row r="4964" spans="1:18" ht="19.5" hidden="1" thickBot="1" x14ac:dyDescent="0.3">
      <c r="A4964" s="954">
        <f t="shared" si="141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7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  <c r="Q4964" s="2"/>
      <c r="R4964" s="2"/>
    </row>
    <row r="4965" spans="1:18" ht="19.5" hidden="1" thickBot="1" x14ac:dyDescent="0.3">
      <c r="A4965" s="956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7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  <c r="Q4965" s="2"/>
      <c r="R4965" s="2"/>
    </row>
    <row r="4966" spans="1:18" ht="19.5" hidden="1" thickBot="1" x14ac:dyDescent="0.3">
      <c r="A4966" s="966">
        <f t="shared" si="141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7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  <c r="Q4966" s="2"/>
      <c r="R4966" s="2"/>
    </row>
    <row r="4967" spans="1:18" ht="19.5" hidden="1" thickBot="1" x14ac:dyDescent="0.3">
      <c r="A4967" s="967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7"/>
        <v>10,25</v>
      </c>
      <c r="L4967" s="567" t="s">
        <v>28</v>
      </c>
      <c r="M4967" s="567">
        <v>7216.86</v>
      </c>
      <c r="N4967" s="571">
        <v>0.5</v>
      </c>
      <c r="O4967" s="2"/>
      <c r="P4967" s="2"/>
      <c r="Q4967" s="2"/>
      <c r="R4967" s="2"/>
    </row>
    <row r="4968" spans="1:18" ht="19.5" hidden="1" thickBot="1" x14ac:dyDescent="0.3">
      <c r="A4968" s="968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7"/>
        <v>10,25</v>
      </c>
      <c r="L4968" s="640" t="s">
        <v>28</v>
      </c>
      <c r="M4968" s="640">
        <v>6118.68</v>
      </c>
      <c r="N4968" s="644">
        <v>0.5</v>
      </c>
      <c r="O4968" s="2"/>
      <c r="P4968" s="2"/>
      <c r="Q4968" s="2"/>
      <c r="R4968" s="2"/>
    </row>
    <row r="4969" spans="1:18" ht="19.5" hidden="1" thickBot="1" x14ac:dyDescent="0.3">
      <c r="A4969" s="954">
        <f t="shared" si="141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7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  <c r="Q4969" s="2"/>
      <c r="R4969" s="2"/>
    </row>
    <row r="4970" spans="1:18" ht="19.5" hidden="1" thickBot="1" x14ac:dyDescent="0.3">
      <c r="A4970" s="956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7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  <c r="Q4970" s="2"/>
      <c r="R4970" s="2"/>
    </row>
    <row r="4971" spans="1:18" ht="19.5" hidden="1" thickBot="1" x14ac:dyDescent="0.3">
      <c r="A4971" s="966">
        <f t="shared" si="141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7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  <c r="Q4971" s="2"/>
      <c r="R4971" s="2"/>
    </row>
    <row r="4972" spans="1:18" ht="19.5" hidden="1" thickBot="1" x14ac:dyDescent="0.3">
      <c r="A4972" s="967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7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  <c r="Q4972" s="2"/>
      <c r="R4972" s="2"/>
    </row>
    <row r="4973" spans="1:18" ht="19.5" hidden="1" thickBot="1" x14ac:dyDescent="0.3">
      <c r="A4973" s="968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7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  <c r="Q4973" s="2"/>
      <c r="R4973" s="2"/>
    </row>
    <row r="4974" spans="1:18" ht="19.5" hidden="1" thickBot="1" x14ac:dyDescent="0.3">
      <c r="A4974" s="572">
        <f t="shared" si="141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7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  <c r="Q4974" s="2"/>
      <c r="R4974" s="2"/>
    </row>
    <row r="4975" spans="1:18" ht="38.25" hidden="1" thickBot="1" x14ac:dyDescent="0.3">
      <c r="A4975" s="503">
        <f t="shared" si="141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7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  <c r="Q4975" s="2"/>
      <c r="R4975" s="2"/>
    </row>
    <row r="4976" spans="1:18" ht="19.5" hidden="1" thickBot="1" x14ac:dyDescent="0.3">
      <c r="A4976" s="513">
        <f t="shared" si="141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7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  <c r="Q4976" s="2"/>
      <c r="R4976" s="2"/>
    </row>
    <row r="4977" spans="1:18" ht="19.5" hidden="1" thickBot="1" x14ac:dyDescent="0.3">
      <c r="A4977" s="966">
        <f t="shared" si="141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976" t="s">
        <v>843</v>
      </c>
      <c r="H4977" s="535" t="s">
        <v>1094</v>
      </c>
      <c r="I4977" s="537" t="s">
        <v>1096</v>
      </c>
      <c r="J4977" s="538"/>
      <c r="K4977" s="535" t="str">
        <f t="shared" si="137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  <c r="Q4977" s="2"/>
      <c r="R4977" s="2"/>
    </row>
    <row r="4978" spans="1:18" ht="19.5" hidden="1" thickBot="1" x14ac:dyDescent="0.3">
      <c r="A4978" s="968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975"/>
      <c r="H4978" s="640" t="s">
        <v>1094</v>
      </c>
      <c r="I4978" s="642" t="s">
        <v>1096</v>
      </c>
      <c r="J4978" s="643"/>
      <c r="K4978" s="640" t="str">
        <f t="shared" si="137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  <c r="Q4978" s="2"/>
      <c r="R4978" s="2"/>
    </row>
    <row r="4979" spans="1:18" ht="19.5" hidden="1" thickBot="1" x14ac:dyDescent="0.3">
      <c r="A4979" s="954">
        <f t="shared" si="141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2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  <c r="Q4979" s="2"/>
      <c r="R4979" s="2"/>
    </row>
    <row r="4980" spans="1:18" ht="19.5" hidden="1" thickBot="1" x14ac:dyDescent="0.3">
      <c r="A4980" s="955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2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  <c r="Q4980" s="2"/>
      <c r="R4980" s="2"/>
    </row>
    <row r="4981" spans="1:18" ht="19.5" hidden="1" thickBot="1" x14ac:dyDescent="0.3">
      <c r="A4981" s="503">
        <f t="shared" si="141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2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  <c r="Q4981" s="2"/>
      <c r="R4981" s="2"/>
    </row>
    <row r="4982" spans="1:18" ht="19.5" hidden="1" thickBot="1" x14ac:dyDescent="0.3">
      <c r="A4982" s="513">
        <f t="shared" si="141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2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  <c r="Q4982" s="2"/>
      <c r="R4982" s="2"/>
    </row>
    <row r="4983" spans="1:18" ht="19.5" hidden="1" thickBot="1" x14ac:dyDescent="0.3">
      <c r="A4983" s="966">
        <f t="shared" si="141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2"/>
        <v>10,25</v>
      </c>
      <c r="L4983" s="535" t="s">
        <v>266</v>
      </c>
      <c r="M4983" s="535">
        <v>467.52</v>
      </c>
      <c r="N4983" s="539">
        <v>0.5</v>
      </c>
      <c r="O4983" s="2"/>
      <c r="P4983" s="2"/>
      <c r="Q4983" s="2"/>
      <c r="R4983" s="2"/>
    </row>
    <row r="4984" spans="1:18" ht="19.5" hidden="1" thickBot="1" x14ac:dyDescent="0.3">
      <c r="A4984" s="967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2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  <c r="Q4984" s="2"/>
      <c r="R4984" s="2"/>
    </row>
    <row r="4985" spans="1:18" ht="19.5" hidden="1" thickBot="1" x14ac:dyDescent="0.3">
      <c r="A4985" s="967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2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  <c r="Q4985" s="2"/>
      <c r="R4985" s="2"/>
    </row>
    <row r="4986" spans="1:18" ht="19.5" hidden="1" thickBot="1" x14ac:dyDescent="0.3">
      <c r="A4986" s="954">
        <f t="shared" si="141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2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  <c r="Q4986" s="2"/>
      <c r="R4986" s="2"/>
    </row>
    <row r="4987" spans="1:18" ht="19.5" hidden="1" thickBot="1" x14ac:dyDescent="0.3">
      <c r="A4987" s="956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2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  <c r="Q4987" s="2"/>
      <c r="R4987" s="2"/>
    </row>
    <row r="4988" spans="1:18" ht="19.5" hidden="1" thickBot="1" x14ac:dyDescent="0.3">
      <c r="A4988" s="503">
        <f t="shared" si="141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2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  <c r="Q4988" s="2"/>
      <c r="R4988" s="2"/>
    </row>
    <row r="4989" spans="1:18" ht="19.5" hidden="1" thickBot="1" x14ac:dyDescent="0.3">
      <c r="A4989" s="954">
        <f t="shared" si="141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2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  <c r="Q4989" s="2"/>
      <c r="R4989" s="2"/>
    </row>
    <row r="4990" spans="1:18" ht="19.5" hidden="1" thickBot="1" x14ac:dyDescent="0.3">
      <c r="A4990" s="955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2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  <c r="Q4990" s="2"/>
      <c r="R4990" s="2"/>
    </row>
    <row r="4991" spans="1:18" ht="19.5" hidden="1" thickBot="1" x14ac:dyDescent="0.3">
      <c r="A4991" s="956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2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  <c r="Q4991" s="2"/>
      <c r="R4991" s="2"/>
    </row>
    <row r="4992" spans="1:18" ht="19.5" hidden="1" thickBot="1" x14ac:dyDescent="0.3">
      <c r="A4992" s="966">
        <f t="shared" si="141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2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  <c r="Q4992" s="2"/>
      <c r="R4992" s="2"/>
    </row>
    <row r="4993" spans="1:18" ht="19.5" hidden="1" thickBot="1" x14ac:dyDescent="0.3">
      <c r="A4993" s="967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2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  <c r="Q4993" s="2"/>
      <c r="R4993" s="2"/>
    </row>
    <row r="4994" spans="1:18" ht="19.5" hidden="1" thickBot="1" x14ac:dyDescent="0.3">
      <c r="A4994" s="968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2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  <c r="Q4994" s="2"/>
      <c r="R4994" s="2"/>
    </row>
    <row r="4995" spans="1:18" ht="19.5" hidden="1" thickBot="1" x14ac:dyDescent="0.3">
      <c r="A4995" s="513">
        <f t="shared" si="141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2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  <c r="Q4995" s="2"/>
      <c r="R4995" s="2"/>
    </row>
    <row r="4996" spans="1:18" ht="28.5" hidden="1" customHeight="1" x14ac:dyDescent="0.25">
      <c r="A4996" s="966">
        <f t="shared" si="141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976" t="s">
        <v>1099</v>
      </c>
      <c r="H4996" s="535" t="s">
        <v>1098</v>
      </c>
      <c r="I4996" s="537" t="s">
        <v>1100</v>
      </c>
      <c r="J4996" s="538"/>
      <c r="K4996" s="535" t="str">
        <f t="shared" si="142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  <c r="Q4996" s="2"/>
      <c r="R4996" s="2"/>
    </row>
    <row r="4997" spans="1:18" ht="28.5" hidden="1" customHeight="1" thickBot="1" x14ac:dyDescent="0.3">
      <c r="A4997" s="968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975"/>
      <c r="H4997" s="640" t="s">
        <v>1098</v>
      </c>
      <c r="I4997" s="642" t="s">
        <v>1100</v>
      </c>
      <c r="J4997" s="643"/>
      <c r="K4997" s="640" t="str">
        <f t="shared" si="142"/>
        <v>10,25</v>
      </c>
      <c r="L4997" s="640" t="s">
        <v>28</v>
      </c>
      <c r="M4997" s="640">
        <v>6049.54</v>
      </c>
      <c r="N4997" s="644">
        <v>0.5</v>
      </c>
      <c r="O4997" s="2"/>
      <c r="P4997" s="2"/>
      <c r="Q4997" s="2"/>
      <c r="R4997" s="2"/>
    </row>
    <row r="4998" spans="1:18" ht="19.5" hidden="1" thickBot="1" x14ac:dyDescent="0.3">
      <c r="A4998" s="513">
        <f t="shared" si="141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2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  <c r="Q4998" s="2"/>
      <c r="R4998" s="2"/>
    </row>
    <row r="4999" spans="1:18" ht="19.5" hidden="1" thickBot="1" x14ac:dyDescent="0.3">
      <c r="A4999" s="966">
        <f t="shared" si="141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976" t="s">
        <v>72</v>
      </c>
      <c r="H4999" s="535" t="s">
        <v>1100</v>
      </c>
      <c r="I4999" s="537" t="s">
        <v>1100</v>
      </c>
      <c r="J4999" s="538"/>
      <c r="K4999" s="535" t="str">
        <f t="shared" si="142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  <c r="Q4999" s="2"/>
      <c r="R4999" s="2"/>
    </row>
    <row r="5000" spans="1:18" ht="19.5" hidden="1" thickBot="1" x14ac:dyDescent="0.3">
      <c r="A5000" s="968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975"/>
      <c r="H5000" s="640" t="s">
        <v>1100</v>
      </c>
      <c r="I5000" s="642" t="s">
        <v>1100</v>
      </c>
      <c r="J5000" s="643"/>
      <c r="K5000" s="640" t="str">
        <f t="shared" si="142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  <c r="Q5000" s="2"/>
      <c r="R5000" s="2"/>
    </row>
    <row r="5001" spans="1:18" ht="19.5" hidden="1" thickBot="1" x14ac:dyDescent="0.3">
      <c r="A5001" s="954">
        <f t="shared" si="141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2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  <c r="Q5001" s="2"/>
      <c r="R5001" s="2"/>
    </row>
    <row r="5002" spans="1:18" ht="19.5" hidden="1" thickBot="1" x14ac:dyDescent="0.3">
      <c r="A5002" s="955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2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  <c r="Q5002" s="2"/>
      <c r="R5002" s="2"/>
    </row>
    <row r="5003" spans="1:18" ht="19.5" hidden="1" thickBot="1" x14ac:dyDescent="0.3">
      <c r="A5003" s="503">
        <f t="shared" si="141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2"/>
        <v>10,25</v>
      </c>
      <c r="L5003" s="508" t="s">
        <v>28</v>
      </c>
      <c r="M5003" s="508">
        <v>9339.6</v>
      </c>
      <c r="N5003" s="512">
        <v>0.5</v>
      </c>
      <c r="O5003" s="2"/>
      <c r="P5003" s="2"/>
      <c r="Q5003" s="2"/>
      <c r="R5003" s="2"/>
    </row>
    <row r="5004" spans="1:18" ht="57" hidden="1" thickBot="1" x14ac:dyDescent="0.3">
      <c r="A5004" s="513">
        <f t="shared" si="141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2"/>
        <v>10,25</v>
      </c>
      <c r="L5004" s="518" t="s">
        <v>28</v>
      </c>
      <c r="M5004" s="518">
        <v>12181.84</v>
      </c>
      <c r="N5004" s="522">
        <v>0.5</v>
      </c>
      <c r="O5004" s="2"/>
      <c r="P5004" s="2"/>
      <c r="Q5004" s="2"/>
      <c r="R5004" s="2"/>
    </row>
    <row r="5005" spans="1:18" ht="19.5" hidden="1" thickBot="1" x14ac:dyDescent="0.3">
      <c r="A5005" s="503">
        <f t="shared" si="141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2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  <c r="Q5005" s="2"/>
      <c r="R5005" s="2"/>
    </row>
    <row r="5006" spans="1:18" ht="19.5" hidden="1" thickBot="1" x14ac:dyDescent="0.3">
      <c r="A5006" s="954">
        <f t="shared" si="141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2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  <c r="Q5006" s="2"/>
      <c r="R5006" s="2"/>
    </row>
    <row r="5007" spans="1:18" ht="19.5" hidden="1" thickBot="1" x14ac:dyDescent="0.3">
      <c r="A5007" s="955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2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  <c r="Q5007" s="2"/>
      <c r="R5007" s="2"/>
    </row>
    <row r="5008" spans="1:18" ht="19.5" hidden="1" thickBot="1" x14ac:dyDescent="0.3">
      <c r="A5008" s="956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2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  <c r="Q5008" s="2"/>
      <c r="R5008" s="2"/>
    </row>
    <row r="5009" spans="1:18" ht="19.5" hidden="1" thickBot="1" x14ac:dyDescent="0.3">
      <c r="A5009" s="966">
        <f t="shared" si="141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2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  <c r="Q5009" s="2"/>
      <c r="R5009" s="2"/>
    </row>
    <row r="5010" spans="1:18" ht="19.5" hidden="1" thickBot="1" x14ac:dyDescent="0.3">
      <c r="A5010" s="967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2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  <c r="Q5010" s="2"/>
      <c r="R5010" s="2"/>
    </row>
    <row r="5011" spans="1:18" ht="19.5" hidden="1" thickBot="1" x14ac:dyDescent="0.3">
      <c r="A5011" s="968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2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  <c r="Q5011" s="2"/>
      <c r="R5011" s="2"/>
    </row>
    <row r="5012" spans="1:18" ht="19.5" hidden="1" thickBot="1" x14ac:dyDescent="0.3">
      <c r="A5012" s="954">
        <f t="shared" si="141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2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  <c r="Q5012" s="2"/>
      <c r="R5012" s="2"/>
    </row>
    <row r="5013" spans="1:18" ht="19.5" hidden="1" thickBot="1" x14ac:dyDescent="0.3">
      <c r="A5013" s="956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2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  <c r="Q5013" s="2"/>
      <c r="R5013" s="2"/>
    </row>
    <row r="5014" spans="1:18" ht="19.5" hidden="1" thickBot="1" x14ac:dyDescent="0.3">
      <c r="A5014" s="966">
        <f t="shared" si="141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2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  <c r="Q5014" s="2"/>
      <c r="R5014" s="2"/>
    </row>
    <row r="5015" spans="1:18" ht="19.5" hidden="1" thickBot="1" x14ac:dyDescent="0.3">
      <c r="A5015" s="968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2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  <c r="Q5015" s="2"/>
      <c r="R5015" s="2"/>
    </row>
    <row r="5016" spans="1:18" ht="66.75" hidden="1" customHeight="1" thickBot="1" x14ac:dyDescent="0.3">
      <c r="A5016" s="513">
        <f t="shared" si="141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2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  <c r="Q5016" s="2"/>
      <c r="R5016" s="2"/>
    </row>
    <row r="5017" spans="1:18" ht="19.5" hidden="1" thickBot="1" x14ac:dyDescent="0.3">
      <c r="A5017" s="551">
        <f t="shared" ref="A5017:A5079" si="143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2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  <c r="Q5017" s="2"/>
      <c r="R5017" s="2"/>
    </row>
    <row r="5018" spans="1:18" ht="38.25" hidden="1" thickBot="1" x14ac:dyDescent="0.3">
      <c r="A5018" s="513">
        <f t="shared" si="143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2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  <c r="Q5018" s="2"/>
      <c r="R5018" s="2"/>
    </row>
    <row r="5019" spans="1:18" ht="18.75" hidden="1" customHeight="1" x14ac:dyDescent="0.25">
      <c r="A5019" s="966">
        <f t="shared" si="143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976" t="s">
        <v>843</v>
      </c>
      <c r="H5019" s="535" t="s">
        <v>1104</v>
      </c>
      <c r="I5019" s="537" t="s">
        <v>1104</v>
      </c>
      <c r="J5019" s="538"/>
      <c r="K5019" s="535" t="str">
        <f t="shared" si="142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  <c r="Q5019" s="2"/>
      <c r="R5019" s="2"/>
    </row>
    <row r="5020" spans="1:18" ht="19.5" hidden="1" thickBot="1" x14ac:dyDescent="0.3">
      <c r="A5020" s="968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975"/>
      <c r="H5020" s="640" t="s">
        <v>1104</v>
      </c>
      <c r="I5020" s="642" t="s">
        <v>1104</v>
      </c>
      <c r="J5020" s="643"/>
      <c r="K5020" s="640" t="str">
        <f t="shared" si="142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  <c r="Q5020" s="2"/>
      <c r="R5020" s="2"/>
    </row>
    <row r="5021" spans="1:18" ht="19.5" hidden="1" thickBot="1" x14ac:dyDescent="0.3">
      <c r="A5021" s="572">
        <f t="shared" si="143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2"/>
        <v>10,25</v>
      </c>
      <c r="L5021" s="577" t="s">
        <v>266</v>
      </c>
      <c r="M5021" s="577">
        <v>6981.08</v>
      </c>
      <c r="N5021" s="581">
        <v>0.5</v>
      </c>
      <c r="O5021" s="2"/>
      <c r="P5021" s="2"/>
      <c r="Q5021" s="2"/>
      <c r="R5021" s="2"/>
    </row>
    <row r="5022" spans="1:18" ht="19.5" hidden="1" thickBot="1" x14ac:dyDescent="0.3">
      <c r="A5022" s="503">
        <f t="shared" si="143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2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  <c r="Q5022" s="2"/>
      <c r="R5022" s="2"/>
    </row>
    <row r="5023" spans="1:18" ht="19.5" hidden="1" thickBot="1" x14ac:dyDescent="0.3">
      <c r="A5023" s="513">
        <f t="shared" si="143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2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  <c r="Q5023" s="2"/>
      <c r="R5023" s="2"/>
    </row>
    <row r="5024" spans="1:18" ht="19.5" hidden="1" thickBot="1" x14ac:dyDescent="0.3">
      <c r="A5024" s="503">
        <f t="shared" si="143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2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  <c r="Q5024" s="2"/>
      <c r="R5024" s="2"/>
    </row>
    <row r="5025" spans="1:18" ht="19.5" hidden="1" thickBot="1" x14ac:dyDescent="0.3">
      <c r="A5025" s="513">
        <f t="shared" si="143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2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  <c r="Q5025" s="2"/>
      <c r="R5025" s="2"/>
    </row>
    <row r="5026" spans="1:18" ht="19.5" hidden="1" thickBot="1" x14ac:dyDescent="0.3">
      <c r="A5026" s="966">
        <f t="shared" si="143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2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  <c r="Q5026" s="2"/>
      <c r="R5026" s="2"/>
    </row>
    <row r="5027" spans="1:18" ht="19.5" hidden="1" thickBot="1" x14ac:dyDescent="0.3">
      <c r="A5027" s="967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2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  <c r="Q5027" s="2"/>
      <c r="R5027" s="2"/>
    </row>
    <row r="5028" spans="1:18" ht="19.5" hidden="1" thickBot="1" x14ac:dyDescent="0.3">
      <c r="A5028" s="967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2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  <c r="Q5028" s="2"/>
      <c r="R5028" s="2"/>
    </row>
    <row r="5029" spans="1:18" ht="19.5" hidden="1" thickBot="1" x14ac:dyDescent="0.3">
      <c r="A5029" s="954">
        <f t="shared" si="143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2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  <c r="Q5029" s="2"/>
      <c r="R5029" s="2"/>
    </row>
    <row r="5030" spans="1:18" ht="19.5" hidden="1" thickBot="1" x14ac:dyDescent="0.3">
      <c r="A5030" s="956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2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  <c r="Q5030" s="2"/>
      <c r="R5030" s="2"/>
    </row>
    <row r="5031" spans="1:18" ht="19.5" hidden="1" thickBot="1" x14ac:dyDescent="0.3">
      <c r="A5031" s="503">
        <f t="shared" si="143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2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  <c r="Q5031" s="2"/>
      <c r="R5031" s="2"/>
    </row>
    <row r="5032" spans="1:18" ht="19.5" hidden="1" thickBot="1" x14ac:dyDescent="0.3">
      <c r="A5032" s="513">
        <f t="shared" si="143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2"/>
        <v>10,25</v>
      </c>
      <c r="L5032" s="518" t="s">
        <v>265</v>
      </c>
      <c r="M5032" s="518">
        <v>17498</v>
      </c>
      <c r="N5032" s="522">
        <v>0.375</v>
      </c>
      <c r="O5032" s="2"/>
      <c r="P5032" s="2"/>
      <c r="Q5032" s="2"/>
      <c r="R5032" s="2"/>
    </row>
    <row r="5033" spans="1:18" ht="19.5" hidden="1" thickBot="1" x14ac:dyDescent="0.3">
      <c r="A5033" s="503">
        <f t="shared" si="143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2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  <c r="Q5033" s="2"/>
      <c r="R5033" s="2"/>
    </row>
    <row r="5034" spans="1:18" ht="19.5" hidden="1" thickBot="1" x14ac:dyDescent="0.3">
      <c r="A5034" s="513">
        <f t="shared" si="143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2"/>
        <v>10,25</v>
      </c>
      <c r="L5034" s="518" t="s">
        <v>28</v>
      </c>
      <c r="M5034" s="518">
        <v>8492.4</v>
      </c>
      <c r="N5034" s="522">
        <v>0.5</v>
      </c>
      <c r="O5034" s="2"/>
      <c r="P5034" s="2"/>
      <c r="Q5034" s="2"/>
      <c r="R5034" s="2"/>
    </row>
    <row r="5035" spans="1:18" ht="27.75" hidden="1" customHeight="1" x14ac:dyDescent="0.25">
      <c r="A5035" s="966">
        <f t="shared" si="143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976" t="s">
        <v>1110</v>
      </c>
      <c r="H5035" s="535" t="s">
        <v>1109</v>
      </c>
      <c r="I5035" s="537" t="s">
        <v>1109</v>
      </c>
      <c r="J5035" s="538"/>
      <c r="K5035" s="535" t="str">
        <f t="shared" si="142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  <c r="Q5035" s="2"/>
      <c r="R5035" s="2"/>
    </row>
    <row r="5036" spans="1:18" ht="27.75" hidden="1" customHeight="1" thickBot="1" x14ac:dyDescent="0.3">
      <c r="A5036" s="968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975"/>
      <c r="H5036" s="640" t="s">
        <v>1109</v>
      </c>
      <c r="I5036" s="642" t="s">
        <v>1109</v>
      </c>
      <c r="J5036" s="643"/>
      <c r="K5036" s="640" t="str">
        <f t="shared" si="142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  <c r="Q5036" s="2"/>
      <c r="R5036" s="2"/>
    </row>
    <row r="5037" spans="1:18" ht="19.5" hidden="1" thickBot="1" x14ac:dyDescent="0.3">
      <c r="A5037" s="954">
        <f t="shared" si="143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2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  <c r="Q5037" s="2"/>
      <c r="R5037" s="2"/>
    </row>
    <row r="5038" spans="1:18" ht="19.5" hidden="1" thickBot="1" x14ac:dyDescent="0.3">
      <c r="A5038" s="956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2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  <c r="Q5038" s="2"/>
      <c r="R5038" s="2"/>
    </row>
    <row r="5039" spans="1:18" ht="19.5" hidden="1" thickBot="1" x14ac:dyDescent="0.3">
      <c r="A5039" s="966">
        <f t="shared" si="143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2"/>
        <v>10,25</v>
      </c>
      <c r="L5039" s="535" t="s">
        <v>28</v>
      </c>
      <c r="M5039" s="535">
        <v>1017</v>
      </c>
      <c r="N5039" s="539">
        <v>0.5</v>
      </c>
      <c r="O5039" s="2"/>
      <c r="P5039" s="2"/>
      <c r="Q5039" s="2"/>
      <c r="R5039" s="2"/>
    </row>
    <row r="5040" spans="1:18" ht="19.5" hidden="1" thickBot="1" x14ac:dyDescent="0.3">
      <c r="A5040" s="967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2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  <c r="Q5040" s="2"/>
      <c r="R5040" s="2"/>
    </row>
    <row r="5041" spans="1:18" ht="19.5" hidden="1" thickBot="1" x14ac:dyDescent="0.3">
      <c r="A5041" s="968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2"/>
        <v>10,25</v>
      </c>
      <c r="L5041" s="640" t="s">
        <v>28</v>
      </c>
      <c r="M5041" s="640">
        <v>15067.95</v>
      </c>
      <c r="N5041" s="644">
        <v>0.5</v>
      </c>
      <c r="O5041" s="2"/>
      <c r="P5041" s="2"/>
      <c r="Q5041" s="2"/>
      <c r="R5041" s="2"/>
    </row>
    <row r="5042" spans="1:18" ht="19.5" hidden="1" thickBot="1" x14ac:dyDescent="0.3">
      <c r="A5042" s="954">
        <f t="shared" si="143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963" t="s">
        <v>72</v>
      </c>
      <c r="H5042" s="483" t="s">
        <v>1111</v>
      </c>
      <c r="I5042" s="484" t="s">
        <v>1111</v>
      </c>
      <c r="J5042" s="485"/>
      <c r="K5042" s="483" t="str">
        <f t="shared" si="142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  <c r="Q5042" s="2"/>
      <c r="R5042" s="2"/>
    </row>
    <row r="5043" spans="1:18" ht="19.5" hidden="1" thickBot="1" x14ac:dyDescent="0.3">
      <c r="A5043" s="955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964"/>
      <c r="H5043" s="527" t="s">
        <v>1111</v>
      </c>
      <c r="I5043" s="528" t="s">
        <v>1111</v>
      </c>
      <c r="J5043" s="529"/>
      <c r="K5043" s="527" t="str">
        <f t="shared" si="142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  <c r="Q5043" s="2"/>
      <c r="R5043" s="2"/>
    </row>
    <row r="5044" spans="1:18" ht="19.5" hidden="1" thickBot="1" x14ac:dyDescent="0.3">
      <c r="A5044" s="955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964"/>
      <c r="H5044" s="499" t="s">
        <v>1111</v>
      </c>
      <c r="I5044" s="500" t="s">
        <v>1111</v>
      </c>
      <c r="J5044" s="501"/>
      <c r="K5044" s="499" t="str">
        <f t="shared" ref="K5044:K5108" si="144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  <c r="Q5044" s="2"/>
      <c r="R5044" s="2"/>
    </row>
    <row r="5045" spans="1:18" ht="19.5" hidden="1" thickBot="1" x14ac:dyDescent="0.3">
      <c r="A5045" s="503">
        <f t="shared" si="143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4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  <c r="Q5045" s="2"/>
      <c r="R5045" s="2"/>
    </row>
    <row r="5046" spans="1:18" ht="19.5" hidden="1" thickBot="1" x14ac:dyDescent="0.3">
      <c r="A5046" s="672">
        <f t="shared" si="143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4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  <c r="Q5046" s="2"/>
      <c r="R5046" s="2"/>
    </row>
    <row r="5047" spans="1:18" ht="19.5" hidden="1" thickBot="1" x14ac:dyDescent="0.3">
      <c r="A5047" s="966">
        <f t="shared" si="143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976" t="s">
        <v>1113</v>
      </c>
      <c r="H5047" s="535" t="s">
        <v>1111</v>
      </c>
      <c r="I5047" s="537" t="s">
        <v>1114</v>
      </c>
      <c r="J5047" s="538"/>
      <c r="K5047" s="535" t="str">
        <f t="shared" si="144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  <c r="Q5047" s="2"/>
      <c r="R5047" s="2"/>
    </row>
    <row r="5048" spans="1:18" ht="19.5" hidden="1" thickBot="1" x14ac:dyDescent="0.3">
      <c r="A5048" s="968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975"/>
      <c r="H5048" s="640" t="s">
        <v>1111</v>
      </c>
      <c r="I5048" s="642" t="s">
        <v>1114</v>
      </c>
      <c r="J5048" s="643"/>
      <c r="K5048" s="640" t="str">
        <f t="shared" si="144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  <c r="Q5048" s="2"/>
      <c r="R5048" s="2"/>
    </row>
    <row r="5049" spans="1:18" ht="19.5" hidden="1" thickBot="1" x14ac:dyDescent="0.3">
      <c r="A5049" s="955">
        <f t="shared" si="143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4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  <c r="Q5049" s="2"/>
      <c r="R5049" s="2"/>
    </row>
    <row r="5050" spans="1:18" ht="19.5" hidden="1" thickBot="1" x14ac:dyDescent="0.3">
      <c r="A5050" s="955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4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  <c r="Q5050" s="2"/>
      <c r="R5050" s="2"/>
    </row>
    <row r="5051" spans="1:18" ht="19.5" hidden="1" thickBot="1" x14ac:dyDescent="0.3">
      <c r="A5051" s="955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4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  <c r="Q5051" s="2"/>
      <c r="R5051" s="2"/>
    </row>
    <row r="5052" spans="1:18" ht="19.5" hidden="1" thickBot="1" x14ac:dyDescent="0.3">
      <c r="A5052" s="955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4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  <c r="Q5052" s="2"/>
      <c r="R5052" s="2"/>
    </row>
    <row r="5053" spans="1:18" ht="19.5" hidden="1" thickBot="1" x14ac:dyDescent="0.3">
      <c r="A5053" s="503">
        <f t="shared" si="143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4"/>
        <v>10,25</v>
      </c>
      <c r="L5053" s="508" t="s">
        <v>266</v>
      </c>
      <c r="M5053" s="508">
        <v>18015</v>
      </c>
      <c r="N5053" s="512">
        <v>0.5</v>
      </c>
      <c r="O5053" s="2"/>
      <c r="P5053" s="2"/>
      <c r="Q5053" s="2"/>
      <c r="R5053" s="2"/>
    </row>
    <row r="5054" spans="1:18" ht="19.5" hidden="1" thickBot="1" x14ac:dyDescent="0.3">
      <c r="A5054" s="955">
        <f t="shared" si="143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4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  <c r="Q5054" s="2"/>
      <c r="R5054" s="2"/>
    </row>
    <row r="5055" spans="1:18" ht="19.5" hidden="1" thickBot="1" x14ac:dyDescent="0.3">
      <c r="A5055" s="955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4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  <c r="Q5055" s="2"/>
      <c r="R5055" s="2"/>
    </row>
    <row r="5056" spans="1:18" ht="19.5" hidden="1" thickBot="1" x14ac:dyDescent="0.3">
      <c r="A5056" s="503">
        <f t="shared" si="143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4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  <c r="Q5056" s="2"/>
      <c r="R5056" s="2"/>
    </row>
    <row r="5057" spans="1:18" ht="19.5" hidden="1" thickBot="1" x14ac:dyDescent="0.3">
      <c r="A5057" s="675">
        <f t="shared" si="143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4"/>
        <v>10,25</v>
      </c>
      <c r="L5057" s="649" t="s">
        <v>28</v>
      </c>
      <c r="M5057" s="649">
        <v>12807.2</v>
      </c>
      <c r="N5057" s="653">
        <v>0.5</v>
      </c>
      <c r="O5057" s="2"/>
      <c r="P5057" s="2"/>
      <c r="Q5057" s="2"/>
      <c r="R5057" s="2"/>
    </row>
    <row r="5058" spans="1:18" ht="38.25" hidden="1" thickBot="1" x14ac:dyDescent="0.3">
      <c r="A5058" s="503">
        <f t="shared" si="143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4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  <c r="Q5058" s="2"/>
      <c r="R5058" s="2"/>
    </row>
    <row r="5059" spans="1:18" ht="19.5" hidden="1" thickBot="1" x14ac:dyDescent="0.3">
      <c r="A5059" s="954">
        <f t="shared" si="143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4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  <c r="Q5059" s="2"/>
      <c r="R5059" s="2"/>
    </row>
    <row r="5060" spans="1:18" ht="19.5" hidden="1" thickBot="1" x14ac:dyDescent="0.3">
      <c r="A5060" s="955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4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  <c r="Q5060" s="2"/>
      <c r="R5060" s="2"/>
    </row>
    <row r="5061" spans="1:18" ht="19.5" hidden="1" thickBot="1" x14ac:dyDescent="0.3">
      <c r="A5061" s="503">
        <f t="shared" si="143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4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  <c r="Q5061" s="2"/>
      <c r="R5061" s="2"/>
    </row>
    <row r="5062" spans="1:18" ht="19.5" hidden="1" thickBot="1" x14ac:dyDescent="0.3">
      <c r="A5062" s="513">
        <f t="shared" si="143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4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  <c r="Q5062" s="2"/>
      <c r="R5062" s="2"/>
    </row>
    <row r="5063" spans="1:18" ht="19.5" hidden="1" thickBot="1" x14ac:dyDescent="0.3">
      <c r="A5063" s="966">
        <f t="shared" si="143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4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  <c r="Q5063" s="2"/>
      <c r="R5063" s="2"/>
    </row>
    <row r="5064" spans="1:18" ht="19.5" hidden="1" thickBot="1" x14ac:dyDescent="0.3">
      <c r="A5064" s="968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4"/>
        <v>10,25</v>
      </c>
      <c r="L5064" s="640" t="s">
        <v>266</v>
      </c>
      <c r="M5064" s="640">
        <v>245</v>
      </c>
      <c r="N5064" s="644">
        <v>0.5</v>
      </c>
      <c r="O5064" s="2"/>
      <c r="P5064" s="2"/>
      <c r="Q5064" s="2"/>
      <c r="R5064" s="2"/>
    </row>
    <row r="5065" spans="1:18" ht="19.5" hidden="1" thickBot="1" x14ac:dyDescent="0.3">
      <c r="A5065" s="954">
        <f t="shared" si="143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963" t="s">
        <v>1117</v>
      </c>
      <c r="H5065" s="483" t="s">
        <v>1116</v>
      </c>
      <c r="I5065" s="484" t="s">
        <v>1116</v>
      </c>
      <c r="J5065" s="485"/>
      <c r="K5065" s="483" t="str">
        <f t="shared" si="144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  <c r="Q5065" s="2"/>
      <c r="R5065" s="2"/>
    </row>
    <row r="5066" spans="1:18" ht="19.5" hidden="1" thickBot="1" x14ac:dyDescent="0.3">
      <c r="A5066" s="955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1030"/>
      <c r="H5066" s="527" t="s">
        <v>1116</v>
      </c>
      <c r="I5066" s="528" t="s">
        <v>1116</v>
      </c>
      <c r="J5066" s="529"/>
      <c r="K5066" s="527" t="str">
        <f t="shared" si="144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  <c r="Q5066" s="2"/>
      <c r="R5066" s="2"/>
    </row>
    <row r="5067" spans="1:18" ht="19.5" hidden="1" thickBot="1" x14ac:dyDescent="0.3">
      <c r="A5067" s="955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4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  <c r="Q5067" s="2"/>
      <c r="R5067" s="2"/>
    </row>
    <row r="5068" spans="1:18" ht="19.5" hidden="1" thickBot="1" x14ac:dyDescent="0.3">
      <c r="A5068" s="955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4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  <c r="Q5068" s="2"/>
      <c r="R5068" s="2"/>
    </row>
    <row r="5069" spans="1:18" ht="19.5" hidden="1" thickBot="1" x14ac:dyDescent="0.3">
      <c r="A5069" s="955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4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  <c r="Q5069" s="2"/>
      <c r="R5069" s="2"/>
    </row>
    <row r="5070" spans="1:18" ht="38.25" hidden="1" thickBot="1" x14ac:dyDescent="0.3">
      <c r="A5070" s="966">
        <f t="shared" si="143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4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  <c r="Q5070" s="2"/>
      <c r="R5070" s="2"/>
    </row>
    <row r="5071" spans="1:18" ht="19.5" hidden="1" thickBot="1" x14ac:dyDescent="0.3">
      <c r="A5071" s="968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4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  <c r="Q5071" s="2"/>
      <c r="R5071" s="2"/>
    </row>
    <row r="5072" spans="1:18" ht="19.5" hidden="1" thickBot="1" x14ac:dyDescent="0.3">
      <c r="A5072" s="513">
        <f t="shared" si="143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4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  <c r="Q5072" s="2"/>
      <c r="R5072" s="2"/>
    </row>
    <row r="5073" spans="1:18" ht="19.5" hidden="1" thickBot="1" x14ac:dyDescent="0.3">
      <c r="A5073" s="503">
        <f t="shared" si="143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4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  <c r="Q5073" s="2"/>
      <c r="R5073" s="2"/>
    </row>
    <row r="5074" spans="1:18" ht="19.5" hidden="1" thickBot="1" x14ac:dyDescent="0.3">
      <c r="A5074" s="954">
        <f t="shared" si="143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4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  <c r="Q5074" s="2"/>
      <c r="R5074" s="2"/>
    </row>
    <row r="5075" spans="1:18" ht="19.5" hidden="1" thickBot="1" x14ac:dyDescent="0.3">
      <c r="A5075" s="955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4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  <c r="Q5075" s="2"/>
      <c r="R5075" s="2"/>
    </row>
    <row r="5076" spans="1:18" ht="19.5" hidden="1" thickBot="1" x14ac:dyDescent="0.3">
      <c r="A5076" s="956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4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  <c r="Q5076" s="2"/>
      <c r="R5076" s="2"/>
    </row>
    <row r="5077" spans="1:18" ht="19.5" hidden="1" thickBot="1" x14ac:dyDescent="0.3">
      <c r="A5077" s="966">
        <f t="shared" si="143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4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  <c r="Q5077" s="2"/>
      <c r="R5077" s="2"/>
    </row>
    <row r="5078" spans="1:18" ht="19.5" hidden="1" thickBot="1" x14ac:dyDescent="0.3">
      <c r="A5078" s="968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4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  <c r="Q5078" s="2"/>
      <c r="R5078" s="2"/>
    </row>
    <row r="5079" spans="1:18" ht="19.5" hidden="1" thickBot="1" x14ac:dyDescent="0.3">
      <c r="A5079" s="954">
        <f t="shared" si="143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4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  <c r="Q5079" s="2"/>
      <c r="R5079" s="2"/>
    </row>
    <row r="5080" spans="1:18" ht="19.5" hidden="1" thickBot="1" x14ac:dyDescent="0.3">
      <c r="A5080" s="956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4"/>
        <v>11,25</v>
      </c>
      <c r="L5080" s="649" t="s">
        <v>28</v>
      </c>
      <c r="M5080" s="649">
        <v>15425.66</v>
      </c>
      <c r="N5080" s="653">
        <v>0.5</v>
      </c>
      <c r="O5080" s="2"/>
      <c r="P5080" s="2"/>
      <c r="Q5080" s="2"/>
      <c r="R5080" s="2"/>
    </row>
    <row r="5081" spans="1:18" ht="19.5" hidden="1" thickBot="1" x14ac:dyDescent="0.3">
      <c r="A5081" s="551">
        <f t="shared" ref="A5081:A5142" si="145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4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  <c r="Q5081" s="2"/>
      <c r="R5081" s="2"/>
    </row>
    <row r="5082" spans="1:18" ht="57" hidden="1" thickBot="1" x14ac:dyDescent="0.3">
      <c r="A5082" s="954">
        <f t="shared" si="145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4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  <c r="Q5082" s="2"/>
      <c r="R5082" s="2"/>
    </row>
    <row r="5083" spans="1:18" ht="19.5" hidden="1" thickBot="1" x14ac:dyDescent="0.3">
      <c r="A5083" s="956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4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  <c r="Q5083" s="2"/>
      <c r="R5083" s="2"/>
    </row>
    <row r="5084" spans="1:18" ht="19.5" hidden="1" thickBot="1" x14ac:dyDescent="0.3">
      <c r="A5084" s="966">
        <f t="shared" si="145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976" t="s">
        <v>72</v>
      </c>
      <c r="H5084" s="535" t="s">
        <v>1120</v>
      </c>
      <c r="I5084" s="537" t="s">
        <v>1120</v>
      </c>
      <c r="J5084" s="538"/>
      <c r="K5084" s="535" t="str">
        <f t="shared" si="144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  <c r="Q5084" s="2"/>
      <c r="R5084" s="2"/>
    </row>
    <row r="5085" spans="1:18" ht="19.5" hidden="1" thickBot="1" x14ac:dyDescent="0.3">
      <c r="A5085" s="967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969"/>
      <c r="H5085" s="567" t="s">
        <v>1120</v>
      </c>
      <c r="I5085" s="569" t="s">
        <v>1120</v>
      </c>
      <c r="J5085" s="570"/>
      <c r="K5085" s="567" t="str">
        <f t="shared" si="144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  <c r="Q5085" s="2"/>
      <c r="R5085" s="2"/>
    </row>
    <row r="5086" spans="1:18" ht="19.5" hidden="1" thickBot="1" x14ac:dyDescent="0.3">
      <c r="A5086" s="968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975"/>
      <c r="H5086" s="640" t="s">
        <v>1120</v>
      </c>
      <c r="I5086" s="642" t="s">
        <v>1120</v>
      </c>
      <c r="J5086" s="643"/>
      <c r="K5086" s="640" t="str">
        <f t="shared" si="144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  <c r="Q5086" s="2"/>
      <c r="R5086" s="2"/>
    </row>
    <row r="5087" spans="1:18" ht="19.5" hidden="1" thickBot="1" x14ac:dyDescent="0.3">
      <c r="A5087" s="954">
        <f t="shared" si="145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4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  <c r="Q5087" s="2"/>
      <c r="R5087" s="2"/>
    </row>
    <row r="5088" spans="1:18" ht="19.5" hidden="1" thickBot="1" x14ac:dyDescent="0.3">
      <c r="A5088" s="955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4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  <c r="Q5088" s="2"/>
      <c r="R5088" s="2"/>
    </row>
    <row r="5089" spans="1:18" ht="19.5" hidden="1" thickBot="1" x14ac:dyDescent="0.3">
      <c r="A5089" s="503">
        <f t="shared" si="145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4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  <c r="Q5089" s="2"/>
      <c r="R5089" s="2"/>
    </row>
    <row r="5090" spans="1:18" ht="19.5" hidden="1" thickBot="1" x14ac:dyDescent="0.3">
      <c r="A5090" s="513">
        <f t="shared" si="145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4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  <c r="Q5090" s="2"/>
      <c r="R5090" s="2"/>
    </row>
    <row r="5091" spans="1:18" ht="19.5" hidden="1" thickBot="1" x14ac:dyDescent="0.3">
      <c r="A5091" s="966">
        <f t="shared" si="145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976" t="s">
        <v>1122</v>
      </c>
      <c r="H5091" s="535" t="s">
        <v>1120</v>
      </c>
      <c r="I5091" s="537" t="s">
        <v>1120</v>
      </c>
      <c r="J5091" s="538"/>
      <c r="K5091" s="535" t="str">
        <f t="shared" si="144"/>
        <v>11,25</v>
      </c>
      <c r="L5091" s="535" t="s">
        <v>28</v>
      </c>
      <c r="M5091" s="535">
        <v>5255.1</v>
      </c>
      <c r="N5091" s="539">
        <v>0.5</v>
      </c>
      <c r="O5091" s="2"/>
      <c r="P5091" s="2"/>
      <c r="Q5091" s="2"/>
      <c r="R5091" s="2"/>
    </row>
    <row r="5092" spans="1:18" ht="19.5" hidden="1" thickBot="1" x14ac:dyDescent="0.3">
      <c r="A5092" s="968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975"/>
      <c r="H5092" s="640" t="s">
        <v>1120</v>
      </c>
      <c r="I5092" s="642" t="s">
        <v>1120</v>
      </c>
      <c r="J5092" s="643"/>
      <c r="K5092" s="640" t="str">
        <f t="shared" si="144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  <c r="Q5092" s="2"/>
      <c r="R5092" s="2"/>
    </row>
    <row r="5093" spans="1:18" ht="19.5" hidden="1" thickBot="1" x14ac:dyDescent="0.3">
      <c r="A5093" s="513">
        <f t="shared" si="145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4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  <c r="Q5093" s="2"/>
      <c r="R5093" s="2"/>
    </row>
    <row r="5094" spans="1:18" ht="19.5" hidden="1" thickBot="1" x14ac:dyDescent="0.3">
      <c r="A5094" s="966">
        <f t="shared" si="145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4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  <c r="Q5094" s="2"/>
      <c r="R5094" s="2"/>
    </row>
    <row r="5095" spans="1:18" ht="19.5" hidden="1" thickBot="1" x14ac:dyDescent="0.3">
      <c r="A5095" s="967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4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  <c r="Q5095" s="2"/>
      <c r="R5095" s="2"/>
    </row>
    <row r="5096" spans="1:18" ht="19.5" hidden="1" thickBot="1" x14ac:dyDescent="0.3">
      <c r="A5096" s="967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4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  <c r="Q5096" s="2"/>
      <c r="R5096" s="2"/>
    </row>
    <row r="5097" spans="1:18" ht="38.25" hidden="1" thickBot="1" x14ac:dyDescent="0.3">
      <c r="A5097" s="968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4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  <c r="Q5097" s="2"/>
      <c r="R5097" s="2"/>
    </row>
    <row r="5098" spans="1:18" ht="19.5" hidden="1" thickBot="1" x14ac:dyDescent="0.3">
      <c r="A5098" s="513">
        <f t="shared" si="145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4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  <c r="Q5098" s="2"/>
      <c r="R5098" s="2"/>
    </row>
    <row r="5099" spans="1:18" ht="19.5" hidden="1" thickBot="1" x14ac:dyDescent="0.3">
      <c r="A5099" s="966">
        <f t="shared" si="145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4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  <c r="Q5099" s="2"/>
      <c r="R5099" s="2"/>
    </row>
    <row r="5100" spans="1:18" ht="19.5" hidden="1" thickBot="1" x14ac:dyDescent="0.3">
      <c r="A5100" s="967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4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  <c r="Q5100" s="2"/>
      <c r="R5100" s="2"/>
    </row>
    <row r="5101" spans="1:18" ht="19.5" hidden="1" thickBot="1" x14ac:dyDescent="0.3">
      <c r="A5101" s="968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4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  <c r="Q5101" s="2"/>
      <c r="R5101" s="2"/>
    </row>
    <row r="5102" spans="1:18" ht="19.5" hidden="1" thickBot="1" x14ac:dyDescent="0.3">
      <c r="A5102" s="954">
        <f t="shared" si="145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4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  <c r="Q5102" s="2"/>
      <c r="R5102" s="2"/>
    </row>
    <row r="5103" spans="1:18" ht="19.5" hidden="1" thickBot="1" x14ac:dyDescent="0.3">
      <c r="A5103" s="955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4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  <c r="Q5103" s="2"/>
      <c r="R5103" s="2"/>
    </row>
    <row r="5104" spans="1:18" ht="19.5" hidden="1" thickBot="1" x14ac:dyDescent="0.3">
      <c r="A5104" s="956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4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  <c r="Q5104" s="2"/>
      <c r="R5104" s="2"/>
    </row>
    <row r="5105" spans="1:18" ht="38.25" hidden="1" thickBot="1" x14ac:dyDescent="0.3">
      <c r="A5105" s="503">
        <f t="shared" si="145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4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  <c r="Q5105" s="2"/>
      <c r="R5105" s="2"/>
    </row>
    <row r="5106" spans="1:18" ht="38.25" hidden="1" thickBot="1" x14ac:dyDescent="0.3">
      <c r="A5106" s="572">
        <f t="shared" si="145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4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  <c r="Q5106" s="2"/>
      <c r="R5106" s="2"/>
    </row>
    <row r="5107" spans="1:18" ht="19.5" hidden="1" thickBot="1" x14ac:dyDescent="0.3">
      <c r="A5107" s="503">
        <f t="shared" si="145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4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  <c r="Q5107" s="2"/>
      <c r="R5107" s="2"/>
    </row>
    <row r="5108" spans="1:18" ht="19.5" hidden="1" thickBot="1" x14ac:dyDescent="0.3">
      <c r="A5108" s="513">
        <f t="shared" si="145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4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  <c r="Q5108" s="2"/>
      <c r="R5108" s="2"/>
    </row>
    <row r="5109" spans="1:18" ht="19.5" hidden="1" thickBot="1" x14ac:dyDescent="0.3">
      <c r="A5109" s="503">
        <f t="shared" si="145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6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  <c r="Q5109" s="2"/>
      <c r="R5109" s="2"/>
    </row>
    <row r="5110" spans="1:18" ht="19.5" hidden="1" thickBot="1" x14ac:dyDescent="0.3">
      <c r="A5110" s="954">
        <f t="shared" si="145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963" t="s">
        <v>1128</v>
      </c>
      <c r="H5110" s="483" t="s">
        <v>1127</v>
      </c>
      <c r="I5110" s="484" t="s">
        <v>1127</v>
      </c>
      <c r="J5110" s="485"/>
      <c r="K5110" s="483" t="str">
        <f t="shared" si="146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  <c r="Q5110" s="2"/>
      <c r="R5110" s="2"/>
    </row>
    <row r="5111" spans="1:18" ht="19.5" hidden="1" thickBot="1" x14ac:dyDescent="0.3">
      <c r="A5111" s="955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964"/>
      <c r="H5111" s="527" t="s">
        <v>1127</v>
      </c>
      <c r="I5111" s="528" t="s">
        <v>1127</v>
      </c>
      <c r="J5111" s="529"/>
      <c r="K5111" s="527" t="str">
        <f t="shared" si="146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  <c r="Q5111" s="2"/>
      <c r="R5111" s="2"/>
    </row>
    <row r="5112" spans="1:18" ht="19.5" hidden="1" thickBot="1" x14ac:dyDescent="0.3">
      <c r="A5112" s="955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964"/>
      <c r="H5112" s="527" t="s">
        <v>1127</v>
      </c>
      <c r="I5112" s="528" t="s">
        <v>1127</v>
      </c>
      <c r="J5112" s="529"/>
      <c r="K5112" s="527" t="str">
        <f t="shared" si="146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  <c r="Q5112" s="2"/>
      <c r="R5112" s="2"/>
    </row>
    <row r="5113" spans="1:18" ht="19.5" hidden="1" thickBot="1" x14ac:dyDescent="0.3">
      <c r="A5113" s="955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964"/>
      <c r="H5113" s="499" t="s">
        <v>1127</v>
      </c>
      <c r="I5113" s="500" t="s">
        <v>1127</v>
      </c>
      <c r="J5113" s="501"/>
      <c r="K5113" s="499" t="str">
        <f t="shared" si="146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  <c r="Q5113" s="2"/>
      <c r="R5113" s="2"/>
    </row>
    <row r="5114" spans="1:18" ht="19.5" hidden="1" thickBot="1" x14ac:dyDescent="0.3">
      <c r="A5114" s="966">
        <f t="shared" si="145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6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  <c r="Q5114" s="2"/>
      <c r="R5114" s="2"/>
    </row>
    <row r="5115" spans="1:18" ht="19.5" hidden="1" thickBot="1" x14ac:dyDescent="0.3">
      <c r="A5115" s="968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6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  <c r="Q5115" s="2"/>
      <c r="R5115" s="2"/>
    </row>
    <row r="5116" spans="1:18" ht="19.5" hidden="1" thickBot="1" x14ac:dyDescent="0.3">
      <c r="A5116" s="954">
        <f t="shared" si="145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963" t="s">
        <v>467</v>
      </c>
      <c r="H5116" s="483" t="s">
        <v>1129</v>
      </c>
      <c r="I5116" s="484" t="s">
        <v>1130</v>
      </c>
      <c r="J5116" s="485"/>
      <c r="K5116" s="483" t="str">
        <f t="shared" si="146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  <c r="Q5116" s="2"/>
      <c r="R5116" s="2"/>
    </row>
    <row r="5117" spans="1:18" ht="19.5" hidden="1" thickBot="1" x14ac:dyDescent="0.3">
      <c r="A5117" s="956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965"/>
      <c r="H5117" s="649" t="s">
        <v>1129</v>
      </c>
      <c r="I5117" s="651" t="s">
        <v>1130</v>
      </c>
      <c r="J5117" s="652"/>
      <c r="K5117" s="649" t="str">
        <f t="shared" si="146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  <c r="Q5117" s="2"/>
      <c r="R5117" s="2"/>
    </row>
    <row r="5118" spans="1:18" ht="19.5" hidden="1" thickBot="1" x14ac:dyDescent="0.3">
      <c r="A5118" s="503">
        <f t="shared" si="145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6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  <c r="Q5118" s="2"/>
      <c r="R5118" s="2"/>
    </row>
    <row r="5119" spans="1:18" ht="19.5" hidden="1" thickBot="1" x14ac:dyDescent="0.3">
      <c r="A5119" s="513">
        <f t="shared" si="145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6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  <c r="Q5119" s="2"/>
      <c r="R5119" s="2"/>
    </row>
    <row r="5120" spans="1:18" ht="19.5" hidden="1" thickBot="1" x14ac:dyDescent="0.3">
      <c r="A5120" s="503">
        <f t="shared" si="145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6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  <c r="Q5120" s="2"/>
      <c r="R5120" s="2"/>
    </row>
    <row r="5121" spans="1:18" ht="19.5" hidden="1" thickBot="1" x14ac:dyDescent="0.3">
      <c r="A5121" s="954">
        <f t="shared" si="145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6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  <c r="Q5121" s="2"/>
      <c r="R5121" s="2"/>
    </row>
    <row r="5122" spans="1:18" ht="19.5" hidden="1" thickBot="1" x14ac:dyDescent="0.3">
      <c r="A5122" s="956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6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  <c r="Q5122" s="2"/>
      <c r="R5122" s="2"/>
    </row>
    <row r="5123" spans="1:18" ht="19.5" hidden="1" thickBot="1" x14ac:dyDescent="0.3">
      <c r="A5123" s="966">
        <f t="shared" si="145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6"/>
        <v>11,25</v>
      </c>
      <c r="L5123" s="535" t="s">
        <v>28</v>
      </c>
      <c r="M5123" s="535">
        <v>4181.87</v>
      </c>
      <c r="N5123" s="539">
        <v>0.5</v>
      </c>
      <c r="O5123" s="2"/>
      <c r="P5123" s="2"/>
      <c r="Q5123" s="2"/>
      <c r="R5123" s="2"/>
    </row>
    <row r="5124" spans="1:18" ht="19.5" hidden="1" thickBot="1" x14ac:dyDescent="0.3">
      <c r="A5124" s="967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6"/>
        <v>11,25</v>
      </c>
      <c r="L5124" s="567" t="s">
        <v>28</v>
      </c>
      <c r="M5124" s="567">
        <v>1516.02</v>
      </c>
      <c r="N5124" s="571">
        <v>0.5</v>
      </c>
      <c r="O5124" s="2"/>
      <c r="P5124" s="2"/>
      <c r="Q5124" s="2"/>
      <c r="R5124" s="2"/>
    </row>
    <row r="5125" spans="1:18" ht="19.5" hidden="1" thickBot="1" x14ac:dyDescent="0.3">
      <c r="A5125" s="968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6"/>
        <v>11,25</v>
      </c>
      <c r="L5125" s="640" t="s">
        <v>28</v>
      </c>
      <c r="M5125" s="640">
        <v>11870.35</v>
      </c>
      <c r="N5125" s="644">
        <v>0.5</v>
      </c>
      <c r="O5125" s="2"/>
      <c r="P5125" s="2"/>
      <c r="Q5125" s="2"/>
      <c r="R5125" s="2"/>
    </row>
    <row r="5126" spans="1:18" ht="19.5" hidden="1" thickBot="1" x14ac:dyDescent="0.3">
      <c r="A5126" s="954">
        <f t="shared" si="145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963" t="s">
        <v>72</v>
      </c>
      <c r="H5126" s="483" t="s">
        <v>1131</v>
      </c>
      <c r="I5126" s="484" t="s">
        <v>1131</v>
      </c>
      <c r="J5126" s="485"/>
      <c r="K5126" s="483" t="str">
        <f t="shared" si="146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  <c r="Q5126" s="2"/>
      <c r="R5126" s="2"/>
    </row>
    <row r="5127" spans="1:18" ht="19.5" hidden="1" thickBot="1" x14ac:dyDescent="0.3">
      <c r="A5127" s="956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965"/>
      <c r="H5127" s="649" t="s">
        <v>1131</v>
      </c>
      <c r="I5127" s="651" t="s">
        <v>1131</v>
      </c>
      <c r="J5127" s="652"/>
      <c r="K5127" s="649" t="str">
        <f t="shared" si="146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  <c r="Q5127" s="2"/>
      <c r="R5127" s="2"/>
    </row>
    <row r="5128" spans="1:18" ht="19.5" hidden="1" thickBot="1" x14ac:dyDescent="0.3">
      <c r="A5128" s="966">
        <f t="shared" si="145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6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  <c r="Q5128" s="2"/>
      <c r="R5128" s="2"/>
    </row>
    <row r="5129" spans="1:18" ht="19.5" hidden="1" thickBot="1" x14ac:dyDescent="0.3">
      <c r="A5129" s="967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6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  <c r="Q5129" s="2"/>
      <c r="R5129" s="2"/>
    </row>
    <row r="5130" spans="1:18" ht="19.5" hidden="1" thickBot="1" x14ac:dyDescent="0.3">
      <c r="A5130" s="513">
        <f t="shared" si="145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6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  <c r="Q5130" s="2"/>
      <c r="R5130" s="2"/>
    </row>
    <row r="5131" spans="1:18" ht="38.25" hidden="1" thickBot="1" x14ac:dyDescent="0.3">
      <c r="A5131" s="503">
        <f t="shared" si="145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6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  <c r="Q5131" s="2"/>
      <c r="R5131" s="2"/>
    </row>
    <row r="5132" spans="1:18" ht="19.5" hidden="1" thickBot="1" x14ac:dyDescent="0.3">
      <c r="A5132" s="513">
        <f t="shared" si="145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6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  <c r="Q5132" s="2"/>
      <c r="R5132" s="2"/>
    </row>
    <row r="5133" spans="1:18" ht="19.5" hidden="1" thickBot="1" x14ac:dyDescent="0.3">
      <c r="A5133" s="503">
        <f t="shared" si="145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6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  <c r="Q5133" s="2"/>
      <c r="R5133" s="2"/>
    </row>
    <row r="5134" spans="1:18" ht="19.5" hidden="1" thickBot="1" x14ac:dyDescent="0.3">
      <c r="A5134" s="954">
        <f t="shared" si="145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6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  <c r="Q5134" s="2"/>
      <c r="R5134" s="2"/>
    </row>
    <row r="5135" spans="1:18" ht="19.5" hidden="1" thickBot="1" x14ac:dyDescent="0.3">
      <c r="A5135" s="955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6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  <c r="Q5135" s="2"/>
      <c r="R5135" s="2"/>
    </row>
    <row r="5136" spans="1:18" ht="19.5" hidden="1" thickBot="1" x14ac:dyDescent="0.3">
      <c r="A5136" s="955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6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  <c r="Q5136" s="2"/>
      <c r="R5136" s="2"/>
    </row>
    <row r="5137" spans="1:18" ht="19.5" hidden="1" thickBot="1" x14ac:dyDescent="0.3">
      <c r="A5137" s="956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6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  <c r="Q5137" s="2"/>
      <c r="R5137" s="2"/>
    </row>
    <row r="5138" spans="1:18" ht="19.5" hidden="1" thickBot="1" x14ac:dyDescent="0.3">
      <c r="A5138" s="966">
        <f t="shared" si="145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6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  <c r="Q5138" s="2"/>
      <c r="R5138" s="2"/>
    </row>
    <row r="5139" spans="1:18" ht="19.5" hidden="1" thickBot="1" x14ac:dyDescent="0.3">
      <c r="A5139" s="968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6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  <c r="Q5139" s="2"/>
      <c r="R5139" s="2"/>
    </row>
    <row r="5140" spans="1:18" ht="27.75" hidden="1" customHeight="1" x14ac:dyDescent="0.25">
      <c r="A5140" s="954">
        <f t="shared" si="145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963" t="s">
        <v>1135</v>
      </c>
      <c r="H5140" s="483" t="s">
        <v>1134</v>
      </c>
      <c r="I5140" s="484" t="s">
        <v>1134</v>
      </c>
      <c r="J5140" s="485"/>
      <c r="K5140" s="483" t="str">
        <f t="shared" si="146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  <c r="Q5140" s="2"/>
      <c r="R5140" s="2"/>
    </row>
    <row r="5141" spans="1:18" ht="27.75" hidden="1" customHeight="1" thickBot="1" x14ac:dyDescent="0.3">
      <c r="A5141" s="956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965"/>
      <c r="H5141" s="649" t="s">
        <v>1134</v>
      </c>
      <c r="I5141" s="651" t="s">
        <v>1134</v>
      </c>
      <c r="J5141" s="652"/>
      <c r="K5141" s="649" t="str">
        <f t="shared" si="146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  <c r="Q5141" s="2"/>
      <c r="R5141" s="2"/>
    </row>
    <row r="5142" spans="1:18" ht="19.5" hidden="1" thickBot="1" x14ac:dyDescent="0.3">
      <c r="A5142" s="966">
        <f t="shared" si="145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6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  <c r="Q5142" s="2"/>
      <c r="R5142" s="2"/>
    </row>
    <row r="5143" spans="1:18" ht="19.5" hidden="1" thickBot="1" x14ac:dyDescent="0.3">
      <c r="A5143" s="967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6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  <c r="Q5143" s="2"/>
      <c r="R5143" s="2"/>
    </row>
    <row r="5144" spans="1:18" ht="19.5" hidden="1" thickBot="1" x14ac:dyDescent="0.3">
      <c r="A5144" s="968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6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  <c r="Q5144" s="2"/>
      <c r="R5144" s="2"/>
    </row>
    <row r="5145" spans="1:18" ht="38.25" hidden="1" thickBot="1" x14ac:dyDescent="0.3">
      <c r="A5145" s="513">
        <f t="shared" ref="A5145:A5208" si="147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6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  <c r="Q5145" s="2"/>
      <c r="R5145" s="2"/>
    </row>
    <row r="5146" spans="1:18" ht="19.5" hidden="1" thickBot="1" x14ac:dyDescent="0.3">
      <c r="A5146" s="966">
        <f t="shared" si="147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6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  <c r="Q5146" s="2"/>
      <c r="R5146" s="2"/>
    </row>
    <row r="5147" spans="1:18" ht="19.5" hidden="1" thickBot="1" x14ac:dyDescent="0.3">
      <c r="A5147" s="967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6"/>
        <v>11,25</v>
      </c>
      <c r="L5147" s="594" t="s">
        <v>266</v>
      </c>
      <c r="M5147" s="594">
        <v>3287.95</v>
      </c>
      <c r="N5147" s="598">
        <v>0.5</v>
      </c>
      <c r="O5147" s="2"/>
      <c r="P5147" s="2"/>
      <c r="Q5147" s="2"/>
      <c r="R5147" s="2"/>
    </row>
    <row r="5148" spans="1:18" ht="19.5" hidden="1" thickBot="1" x14ac:dyDescent="0.3">
      <c r="A5148" s="513">
        <f t="shared" si="147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6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  <c r="Q5148" s="2"/>
      <c r="R5148" s="2"/>
    </row>
    <row r="5149" spans="1:18" ht="19.5" hidden="1" thickBot="1" x14ac:dyDescent="0.3">
      <c r="A5149" s="503">
        <f t="shared" si="147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6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  <c r="Q5149" s="2"/>
      <c r="R5149" s="2"/>
    </row>
    <row r="5150" spans="1:18" ht="19.5" hidden="1" thickBot="1" x14ac:dyDescent="0.3">
      <c r="A5150" s="954">
        <f t="shared" si="147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6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  <c r="Q5150" s="2"/>
      <c r="R5150" s="2"/>
    </row>
    <row r="5151" spans="1:18" ht="19.5" hidden="1" thickBot="1" x14ac:dyDescent="0.3">
      <c r="A5151" s="955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6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  <c r="Q5151" s="2"/>
      <c r="R5151" s="2"/>
    </row>
    <row r="5152" spans="1:18" ht="19.5" hidden="1" thickBot="1" x14ac:dyDescent="0.3">
      <c r="A5152" s="955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6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  <c r="Q5152" s="2"/>
      <c r="R5152" s="2"/>
    </row>
    <row r="5153" spans="1:18" ht="19.5" hidden="1" thickBot="1" x14ac:dyDescent="0.3">
      <c r="A5153" s="966">
        <f t="shared" si="147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6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  <c r="Q5153" s="2"/>
      <c r="R5153" s="2"/>
    </row>
    <row r="5154" spans="1:18" ht="19.5" hidden="1" thickBot="1" x14ac:dyDescent="0.3">
      <c r="A5154" s="968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6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  <c r="Q5154" s="2"/>
      <c r="R5154" s="2"/>
    </row>
    <row r="5155" spans="1:18" ht="19.5" hidden="1" thickBot="1" x14ac:dyDescent="0.3">
      <c r="A5155" s="513">
        <f t="shared" si="147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6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  <c r="Q5155" s="2"/>
      <c r="R5155" s="2"/>
    </row>
    <row r="5156" spans="1:18" ht="19.5" hidden="1" thickBot="1" x14ac:dyDescent="0.3">
      <c r="A5156" s="966">
        <f t="shared" si="147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6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  <c r="Q5156" s="2"/>
      <c r="R5156" s="2"/>
    </row>
    <row r="5157" spans="1:18" ht="19.5" hidden="1" thickBot="1" x14ac:dyDescent="0.3">
      <c r="A5157" s="967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6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  <c r="Q5157" s="2"/>
      <c r="R5157" s="2"/>
    </row>
    <row r="5158" spans="1:18" ht="19.5" hidden="1" thickBot="1" x14ac:dyDescent="0.3">
      <c r="A5158" s="967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6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  <c r="Q5158" s="2"/>
      <c r="R5158" s="2"/>
    </row>
    <row r="5159" spans="1:18" ht="19.5" hidden="1" thickBot="1" x14ac:dyDescent="0.3">
      <c r="A5159" s="968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6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  <c r="Q5159" s="2"/>
      <c r="R5159" s="2"/>
    </row>
    <row r="5160" spans="1:18" ht="75.75" hidden="1" thickBot="1" x14ac:dyDescent="0.3">
      <c r="A5160" s="513">
        <f t="shared" si="147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6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  <c r="Q5160" s="2"/>
      <c r="R5160" s="2"/>
    </row>
    <row r="5161" spans="1:18" ht="19.5" hidden="1" thickBot="1" x14ac:dyDescent="0.3">
      <c r="A5161" s="966">
        <f t="shared" si="147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6"/>
        <v>11,25</v>
      </c>
      <c r="L5161" s="535" t="s">
        <v>28</v>
      </c>
      <c r="M5161" s="535">
        <v>1367.34</v>
      </c>
      <c r="N5161" s="539">
        <v>0.5</v>
      </c>
      <c r="O5161" s="2"/>
      <c r="P5161" s="2"/>
      <c r="Q5161" s="2"/>
      <c r="R5161" s="2"/>
    </row>
    <row r="5162" spans="1:18" ht="19.5" hidden="1" thickBot="1" x14ac:dyDescent="0.3">
      <c r="A5162" s="968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6"/>
        <v>11,25</v>
      </c>
      <c r="L5162" s="640" t="s">
        <v>28</v>
      </c>
      <c r="M5162" s="640">
        <v>15900.16</v>
      </c>
      <c r="N5162" s="644">
        <v>0.5</v>
      </c>
      <c r="O5162" s="2"/>
      <c r="P5162" s="2"/>
      <c r="Q5162" s="2"/>
      <c r="R5162" s="2"/>
    </row>
    <row r="5163" spans="1:18" ht="19.5" hidden="1" thickBot="1" x14ac:dyDescent="0.3">
      <c r="A5163" s="513">
        <f t="shared" si="147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6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  <c r="Q5163" s="2"/>
      <c r="R5163" s="2"/>
    </row>
    <row r="5164" spans="1:18" ht="19.5" hidden="1" thickBot="1" x14ac:dyDescent="0.3">
      <c r="A5164" s="966">
        <f t="shared" si="147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6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  <c r="Q5164" s="2"/>
      <c r="R5164" s="2"/>
    </row>
    <row r="5165" spans="1:18" ht="19.5" hidden="1" thickBot="1" x14ac:dyDescent="0.3">
      <c r="A5165" s="967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6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  <c r="Q5165" s="2"/>
      <c r="R5165" s="2"/>
    </row>
    <row r="5166" spans="1:18" ht="19.5" hidden="1" thickBot="1" x14ac:dyDescent="0.3">
      <c r="A5166" s="513">
        <f t="shared" si="147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6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  <c r="Q5166" s="2"/>
      <c r="R5166" s="2"/>
    </row>
    <row r="5167" spans="1:18" ht="57" hidden="1" thickBot="1" x14ac:dyDescent="0.3">
      <c r="A5167" s="503">
        <f t="shared" si="147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6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  <c r="Q5167" s="2"/>
      <c r="R5167" s="2"/>
    </row>
    <row r="5168" spans="1:18" ht="19.5" hidden="1" thickBot="1" x14ac:dyDescent="0.3">
      <c r="A5168" s="513">
        <f t="shared" si="147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6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  <c r="Q5168" s="2"/>
      <c r="R5168" s="2"/>
    </row>
    <row r="5169" spans="1:18" ht="38.25" hidden="1" thickBot="1" x14ac:dyDescent="0.3">
      <c r="A5169" s="503">
        <f t="shared" si="147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6"/>
        <v>11,25</v>
      </c>
      <c r="L5169" s="508" t="s">
        <v>266</v>
      </c>
      <c r="M5169" s="508">
        <v>13821.12</v>
      </c>
      <c r="N5169" s="512">
        <v>0.5</v>
      </c>
      <c r="O5169" s="2"/>
      <c r="P5169" s="2"/>
      <c r="Q5169" s="2"/>
      <c r="R5169" s="2"/>
    </row>
    <row r="5170" spans="1:18" ht="19.5" hidden="1" thickBot="1" x14ac:dyDescent="0.3">
      <c r="A5170" s="513">
        <f t="shared" si="147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6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  <c r="Q5170" s="2"/>
      <c r="R5170" s="2"/>
    </row>
    <row r="5171" spans="1:18" ht="19.5" hidden="1" thickBot="1" x14ac:dyDescent="0.3">
      <c r="A5171" s="503">
        <f t="shared" si="147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6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  <c r="Q5171" s="2"/>
      <c r="R5171" s="2"/>
    </row>
    <row r="5172" spans="1:18" ht="19.5" hidden="1" thickBot="1" x14ac:dyDescent="0.3">
      <c r="A5172" s="954">
        <f t="shared" si="147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6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  <c r="Q5172" s="2"/>
      <c r="R5172" s="2"/>
    </row>
    <row r="5173" spans="1:18" ht="19.5" hidden="1" thickBot="1" x14ac:dyDescent="0.3">
      <c r="A5173" s="955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8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  <c r="Q5173" s="2"/>
      <c r="R5173" s="2"/>
    </row>
    <row r="5174" spans="1:18" ht="57" hidden="1" thickBot="1" x14ac:dyDescent="0.3">
      <c r="A5174" s="955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8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  <c r="Q5174" s="2"/>
      <c r="R5174" s="2"/>
    </row>
    <row r="5175" spans="1:18" ht="19.5" hidden="1" thickBot="1" x14ac:dyDescent="0.3">
      <c r="A5175" s="956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8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  <c r="Q5175" s="2"/>
      <c r="R5175" s="2"/>
    </row>
    <row r="5176" spans="1:18" ht="19.5" hidden="1" thickBot="1" x14ac:dyDescent="0.3">
      <c r="A5176" s="966">
        <f t="shared" si="147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8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  <c r="Q5176" s="2"/>
      <c r="R5176" s="2"/>
    </row>
    <row r="5177" spans="1:18" ht="19.5" hidden="1" thickBot="1" x14ac:dyDescent="0.3">
      <c r="A5177" s="967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8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  <c r="Q5177" s="2"/>
      <c r="R5177" s="2"/>
    </row>
    <row r="5178" spans="1:18" ht="19.5" hidden="1" thickBot="1" x14ac:dyDescent="0.3">
      <c r="A5178" s="968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8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  <c r="Q5178" s="2"/>
      <c r="R5178" s="2"/>
    </row>
    <row r="5179" spans="1:18" ht="19.5" hidden="1" thickBot="1" x14ac:dyDescent="0.3">
      <c r="A5179" s="954">
        <f t="shared" si="147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8"/>
        <v>11,25</v>
      </c>
      <c r="L5179" s="483" t="s">
        <v>28</v>
      </c>
      <c r="M5179" s="483">
        <v>13052.71</v>
      </c>
      <c r="N5179" s="486">
        <v>0.5</v>
      </c>
      <c r="O5179" s="2"/>
      <c r="P5179" s="2"/>
      <c r="Q5179" s="2"/>
      <c r="R5179" s="2"/>
    </row>
    <row r="5180" spans="1:18" ht="19.5" hidden="1" thickBot="1" x14ac:dyDescent="0.3">
      <c r="A5180" s="956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8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  <c r="Q5180" s="2"/>
      <c r="R5180" s="2"/>
    </row>
    <row r="5181" spans="1:18" ht="19.5" hidden="1" thickBot="1" x14ac:dyDescent="0.3">
      <c r="A5181" s="966">
        <f t="shared" si="147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8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  <c r="Q5181" s="2"/>
      <c r="R5181" s="2"/>
    </row>
    <row r="5182" spans="1:18" ht="19.5" hidden="1" thickBot="1" x14ac:dyDescent="0.3">
      <c r="A5182" s="968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8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  <c r="Q5182" s="2"/>
      <c r="R5182" s="2"/>
    </row>
    <row r="5183" spans="1:18" ht="19.5" hidden="1" thickBot="1" x14ac:dyDescent="0.3">
      <c r="A5183" s="954">
        <f t="shared" si="147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8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  <c r="Q5183" s="2"/>
      <c r="R5183" s="2"/>
    </row>
    <row r="5184" spans="1:18" ht="19.5" hidden="1" thickBot="1" x14ac:dyDescent="0.3">
      <c r="A5184" s="956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8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  <c r="Q5184" s="2"/>
      <c r="R5184" s="2"/>
    </row>
    <row r="5185" spans="1:18" ht="19.5" hidden="1" thickBot="1" x14ac:dyDescent="0.3">
      <c r="A5185" s="503">
        <f t="shared" si="147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8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  <c r="Q5185" s="2"/>
      <c r="R5185" s="2"/>
    </row>
    <row r="5186" spans="1:18" ht="19.5" hidden="1" thickBot="1" x14ac:dyDescent="0.3">
      <c r="A5186" s="513">
        <f t="shared" si="147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8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  <c r="Q5186" s="2"/>
      <c r="R5186" s="2"/>
    </row>
    <row r="5187" spans="1:18" ht="38.25" hidden="1" thickBot="1" x14ac:dyDescent="0.3">
      <c r="A5187" s="503">
        <f t="shared" si="147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8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  <c r="Q5187" s="2"/>
      <c r="R5187" s="2"/>
    </row>
    <row r="5188" spans="1:18" ht="19.5" hidden="1" thickBot="1" x14ac:dyDescent="0.3">
      <c r="A5188" s="954">
        <f t="shared" si="147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963" t="s">
        <v>1145</v>
      </c>
      <c r="H5188" s="483" t="s">
        <v>1144</v>
      </c>
      <c r="I5188" s="484" t="s">
        <v>1148</v>
      </c>
      <c r="J5188" s="485"/>
      <c r="K5188" s="483" t="str">
        <f t="shared" si="148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  <c r="Q5188" s="2"/>
      <c r="R5188" s="2"/>
    </row>
    <row r="5189" spans="1:18" ht="19.5" hidden="1" thickBot="1" x14ac:dyDescent="0.3">
      <c r="A5189" s="955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964"/>
      <c r="H5189" s="499" t="s">
        <v>1144</v>
      </c>
      <c r="I5189" s="651" t="s">
        <v>1148</v>
      </c>
      <c r="J5189" s="501"/>
      <c r="K5189" s="499" t="str">
        <f t="shared" si="148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  <c r="Q5189" s="2"/>
      <c r="R5189" s="2"/>
    </row>
    <row r="5190" spans="1:18" ht="19.5" hidden="1" thickBot="1" x14ac:dyDescent="0.3">
      <c r="A5190" s="503">
        <f t="shared" si="147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8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  <c r="Q5190" s="2"/>
      <c r="R5190" s="2"/>
    </row>
    <row r="5191" spans="1:18" ht="19.5" hidden="1" thickBot="1" x14ac:dyDescent="0.3">
      <c r="A5191" s="513">
        <f t="shared" si="147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8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  <c r="Q5191" s="2"/>
      <c r="R5191" s="2"/>
    </row>
    <row r="5192" spans="1:18" ht="19.5" hidden="1" thickBot="1" x14ac:dyDescent="0.3">
      <c r="A5192" s="966">
        <f t="shared" si="147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8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  <c r="Q5192" s="2"/>
      <c r="R5192" s="2"/>
    </row>
    <row r="5193" spans="1:18" ht="19.5" hidden="1" thickBot="1" x14ac:dyDescent="0.3">
      <c r="A5193" s="967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8"/>
        <v>11,25</v>
      </c>
      <c r="L5193" s="567" t="s">
        <v>266</v>
      </c>
      <c r="M5193" s="567">
        <v>699.34</v>
      </c>
      <c r="N5193" s="571">
        <v>0.5</v>
      </c>
      <c r="O5193" s="2"/>
      <c r="P5193" s="2"/>
      <c r="Q5193" s="2"/>
      <c r="R5193" s="2"/>
    </row>
    <row r="5194" spans="1:18" ht="19.5" hidden="1" thickBot="1" x14ac:dyDescent="0.3">
      <c r="A5194" s="967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8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  <c r="Q5194" s="2"/>
      <c r="R5194" s="2"/>
    </row>
    <row r="5195" spans="1:18" ht="19.5" hidden="1" thickBot="1" x14ac:dyDescent="0.3">
      <c r="A5195" s="968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8"/>
        <v>11,25</v>
      </c>
      <c r="L5195" s="640" t="s">
        <v>266</v>
      </c>
      <c r="M5195" s="640">
        <v>3526.2</v>
      </c>
      <c r="N5195" s="644">
        <v>0.5</v>
      </c>
      <c r="O5195" s="2"/>
      <c r="P5195" s="2"/>
      <c r="Q5195" s="2"/>
      <c r="R5195" s="2"/>
    </row>
    <row r="5196" spans="1:18" ht="19.5" hidden="1" thickBot="1" x14ac:dyDescent="0.3">
      <c r="A5196" s="954">
        <f t="shared" si="147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963" t="s">
        <v>467</v>
      </c>
      <c r="H5196" s="483" t="s">
        <v>1147</v>
      </c>
      <c r="I5196" s="484" t="s">
        <v>1149</v>
      </c>
      <c r="J5196" s="485"/>
      <c r="K5196" s="483" t="str">
        <f t="shared" si="148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  <c r="Q5196" s="2"/>
      <c r="R5196" s="2"/>
    </row>
    <row r="5197" spans="1:18" ht="19.5" hidden="1" thickBot="1" x14ac:dyDescent="0.3">
      <c r="A5197" s="956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965"/>
      <c r="H5197" s="649" t="s">
        <v>1147</v>
      </c>
      <c r="I5197" s="651" t="s">
        <v>1149</v>
      </c>
      <c r="J5197" s="652"/>
      <c r="K5197" s="649" t="str">
        <f t="shared" si="148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  <c r="Q5197" s="2"/>
      <c r="R5197" s="2"/>
    </row>
    <row r="5198" spans="1:18" ht="19.5" hidden="1" thickBot="1" x14ac:dyDescent="0.3">
      <c r="A5198" s="551">
        <f t="shared" si="147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8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  <c r="Q5198" s="2"/>
      <c r="R5198" s="2"/>
    </row>
    <row r="5199" spans="1:18" ht="19.5" hidden="1" thickBot="1" x14ac:dyDescent="0.3">
      <c r="A5199" s="954">
        <f t="shared" si="147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8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  <c r="Q5199" s="2"/>
      <c r="R5199" s="2"/>
    </row>
    <row r="5200" spans="1:18" ht="19.5" hidden="1" thickBot="1" x14ac:dyDescent="0.3">
      <c r="A5200" s="956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8"/>
        <v>11,25</v>
      </c>
      <c r="L5200" s="649" t="s">
        <v>265</v>
      </c>
      <c r="M5200" s="649">
        <v>2633</v>
      </c>
      <c r="N5200" s="653">
        <v>0.375</v>
      </c>
      <c r="O5200" s="2"/>
      <c r="P5200" s="2"/>
      <c r="Q5200" s="2"/>
      <c r="R5200" s="2"/>
    </row>
    <row r="5201" spans="1:18" ht="19.5" hidden="1" thickBot="1" x14ac:dyDescent="0.3">
      <c r="A5201" s="503">
        <f t="shared" si="147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8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  <c r="Q5201" s="2"/>
      <c r="R5201" s="2"/>
    </row>
    <row r="5202" spans="1:18" ht="28.5" hidden="1" customHeight="1" x14ac:dyDescent="0.25">
      <c r="A5202" s="954">
        <f t="shared" si="147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963" t="s">
        <v>1140</v>
      </c>
      <c r="H5202" s="483" t="s">
        <v>1149</v>
      </c>
      <c r="I5202" s="484" t="s">
        <v>1150</v>
      </c>
      <c r="J5202" s="485"/>
      <c r="K5202" s="483" t="str">
        <f t="shared" si="148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  <c r="Q5202" s="2"/>
      <c r="R5202" s="2"/>
    </row>
    <row r="5203" spans="1:18" ht="28.5" hidden="1" customHeight="1" thickBot="1" x14ac:dyDescent="0.3">
      <c r="A5203" s="956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965"/>
      <c r="H5203" s="649" t="s">
        <v>1149</v>
      </c>
      <c r="I5203" s="651" t="s">
        <v>1150</v>
      </c>
      <c r="J5203" s="652"/>
      <c r="K5203" s="649" t="str">
        <f t="shared" si="148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  <c r="Q5203" s="2"/>
      <c r="R5203" s="2"/>
    </row>
    <row r="5204" spans="1:18" ht="19.5" hidden="1" thickBot="1" x14ac:dyDescent="0.3">
      <c r="A5204" s="503">
        <f t="shared" si="147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8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  <c r="Q5204" s="2"/>
      <c r="R5204" s="2"/>
    </row>
    <row r="5205" spans="1:18" ht="19.5" hidden="1" thickBot="1" x14ac:dyDescent="0.3">
      <c r="A5205" s="954">
        <f t="shared" si="147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8"/>
        <v>11,25</v>
      </c>
      <c r="L5205" s="483" t="s">
        <v>28</v>
      </c>
      <c r="M5205" s="483">
        <v>1586.04</v>
      </c>
      <c r="N5205" s="486">
        <v>0.5</v>
      </c>
      <c r="O5205" s="2"/>
      <c r="P5205" s="2"/>
      <c r="Q5205" s="2"/>
      <c r="R5205" s="2"/>
    </row>
    <row r="5206" spans="1:18" ht="19.5" hidden="1" thickBot="1" x14ac:dyDescent="0.3">
      <c r="A5206" s="955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8"/>
        <v>11,25</v>
      </c>
      <c r="L5206" s="527" t="s">
        <v>28</v>
      </c>
      <c r="M5206" s="527">
        <v>10885.05</v>
      </c>
      <c r="N5206" s="530">
        <v>0.5</v>
      </c>
      <c r="O5206" s="2"/>
      <c r="P5206" s="2"/>
      <c r="Q5206" s="2"/>
      <c r="R5206" s="2"/>
    </row>
    <row r="5207" spans="1:18" ht="19.5" hidden="1" thickBot="1" x14ac:dyDescent="0.3">
      <c r="A5207" s="956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8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  <c r="Q5207" s="2"/>
      <c r="R5207" s="2"/>
    </row>
    <row r="5208" spans="1:18" ht="19.5" hidden="1" thickBot="1" x14ac:dyDescent="0.3">
      <c r="A5208" s="551">
        <f t="shared" si="147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8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  <c r="Q5208" s="2"/>
      <c r="R5208" s="2"/>
    </row>
    <row r="5209" spans="1:18" ht="19.5" hidden="1" thickBot="1" x14ac:dyDescent="0.3">
      <c r="A5209" s="513">
        <f t="shared" ref="A5209:A5272" si="149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8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  <c r="Q5209" s="2"/>
      <c r="R5209" s="2"/>
    </row>
    <row r="5210" spans="1:18" ht="19.5" hidden="1" thickBot="1" x14ac:dyDescent="0.3">
      <c r="A5210" s="966">
        <f t="shared" si="149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8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  <c r="Q5210" s="2"/>
      <c r="R5210" s="2"/>
    </row>
    <row r="5211" spans="1:18" ht="57" hidden="1" thickBot="1" x14ac:dyDescent="0.3">
      <c r="A5211" s="968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8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  <c r="Q5211" s="2"/>
      <c r="R5211" s="2"/>
    </row>
    <row r="5212" spans="1:18" ht="19.5" hidden="1" thickBot="1" x14ac:dyDescent="0.3">
      <c r="A5212" s="954">
        <f t="shared" si="149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8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  <c r="Q5212" s="2"/>
      <c r="R5212" s="2"/>
    </row>
    <row r="5213" spans="1:18" ht="19.5" hidden="1" thickBot="1" x14ac:dyDescent="0.3">
      <c r="A5213" s="956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8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  <c r="Q5213" s="2"/>
      <c r="R5213" s="2"/>
    </row>
    <row r="5214" spans="1:18" ht="19.5" hidden="1" thickBot="1" x14ac:dyDescent="0.3">
      <c r="A5214" s="551">
        <f t="shared" si="149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8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  <c r="Q5214" s="2"/>
      <c r="R5214" s="2"/>
    </row>
    <row r="5215" spans="1:18" ht="19.5" hidden="1" thickBot="1" x14ac:dyDescent="0.3">
      <c r="A5215" s="513">
        <f t="shared" si="149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8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  <c r="Q5215" s="2"/>
      <c r="R5215" s="2"/>
    </row>
    <row r="5216" spans="1:18" ht="19.5" hidden="1" thickBot="1" x14ac:dyDescent="0.3">
      <c r="A5216" s="966">
        <f t="shared" si="149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976" t="s">
        <v>1152</v>
      </c>
      <c r="H5216" s="535" t="s">
        <v>1150</v>
      </c>
      <c r="I5216" s="537" t="s">
        <v>1150</v>
      </c>
      <c r="J5216" s="538"/>
      <c r="K5216" s="535" t="str">
        <f t="shared" si="148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  <c r="Q5216" s="2"/>
      <c r="R5216" s="2"/>
    </row>
    <row r="5217" spans="1:18" ht="19.5" hidden="1" thickBot="1" x14ac:dyDescent="0.3">
      <c r="A5217" s="968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975"/>
      <c r="H5217" s="640" t="s">
        <v>1150</v>
      </c>
      <c r="I5217" s="642" t="s">
        <v>1150</v>
      </c>
      <c r="J5217" s="643"/>
      <c r="K5217" s="640" t="str">
        <f t="shared" si="148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  <c r="Q5217" s="2"/>
      <c r="R5217" s="2"/>
    </row>
    <row r="5218" spans="1:18" ht="19.5" hidden="1" thickBot="1" x14ac:dyDescent="0.3">
      <c r="A5218" s="513">
        <f t="shared" si="149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8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  <c r="Q5218" s="2"/>
      <c r="R5218" s="2"/>
    </row>
    <row r="5219" spans="1:18" ht="19.5" hidden="1" thickBot="1" x14ac:dyDescent="0.3">
      <c r="A5219" s="966">
        <f t="shared" si="149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8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  <c r="Q5219" s="2"/>
      <c r="R5219" s="2"/>
    </row>
    <row r="5220" spans="1:18" ht="19.5" hidden="1" thickBot="1" x14ac:dyDescent="0.3">
      <c r="A5220" s="967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8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  <c r="Q5220" s="2"/>
      <c r="R5220" s="2"/>
    </row>
    <row r="5221" spans="1:18" ht="19.5" hidden="1" thickBot="1" x14ac:dyDescent="0.3">
      <c r="A5221" s="968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8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  <c r="Q5221" s="2"/>
      <c r="R5221" s="2"/>
    </row>
    <row r="5222" spans="1:18" ht="19.5" hidden="1" thickBot="1" x14ac:dyDescent="0.3">
      <c r="A5222" s="954">
        <f t="shared" si="149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8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  <c r="Q5222" s="2"/>
      <c r="R5222" s="2"/>
    </row>
    <row r="5223" spans="1:18" ht="19.5" hidden="1" thickBot="1" x14ac:dyDescent="0.3">
      <c r="A5223" s="955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8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  <c r="Q5223" s="2"/>
      <c r="R5223" s="2"/>
    </row>
    <row r="5224" spans="1:18" ht="19.5" hidden="1" thickBot="1" x14ac:dyDescent="0.3">
      <c r="A5224" s="955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8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  <c r="Q5224" s="2"/>
      <c r="R5224" s="2"/>
    </row>
    <row r="5225" spans="1:18" ht="19.5" hidden="1" thickBot="1" x14ac:dyDescent="0.3">
      <c r="A5225" s="956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8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  <c r="Q5225" s="2"/>
      <c r="R5225" s="2"/>
    </row>
    <row r="5226" spans="1:18" ht="19.5" hidden="1" thickBot="1" x14ac:dyDescent="0.3">
      <c r="A5226" s="966">
        <f t="shared" si="149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8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  <c r="Q5226" s="2"/>
      <c r="R5226" s="2"/>
    </row>
    <row r="5227" spans="1:18" ht="19.5" hidden="1" thickBot="1" x14ac:dyDescent="0.3">
      <c r="A5227" s="967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8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  <c r="Q5227" s="2"/>
      <c r="R5227" s="2"/>
    </row>
    <row r="5228" spans="1:18" ht="19.5" hidden="1" thickBot="1" x14ac:dyDescent="0.3">
      <c r="A5228" s="968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8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  <c r="Q5228" s="2"/>
      <c r="R5228" s="2"/>
    </row>
    <row r="5229" spans="1:18" ht="19.5" hidden="1" thickBot="1" x14ac:dyDescent="0.3">
      <c r="A5229" s="954">
        <f t="shared" si="149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8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  <c r="Q5229" s="2"/>
      <c r="R5229" s="2"/>
    </row>
    <row r="5230" spans="1:18" ht="19.5" hidden="1" thickBot="1" x14ac:dyDescent="0.3">
      <c r="A5230" s="955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8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  <c r="Q5230" s="2"/>
      <c r="R5230" s="2"/>
    </row>
    <row r="5231" spans="1:18" ht="38.25" hidden="1" thickBot="1" x14ac:dyDescent="0.3">
      <c r="A5231" s="503">
        <f t="shared" si="149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8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  <c r="Q5231" s="2"/>
      <c r="R5231" s="2"/>
    </row>
    <row r="5232" spans="1:18" ht="19.5" hidden="1" thickBot="1" x14ac:dyDescent="0.3">
      <c r="A5232" s="954">
        <f t="shared" si="149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963" t="s">
        <v>959</v>
      </c>
      <c r="H5232" s="483" t="s">
        <v>1153</v>
      </c>
      <c r="I5232" s="484" t="s">
        <v>1155</v>
      </c>
      <c r="J5232" s="485"/>
      <c r="K5232" s="483" t="str">
        <f t="shared" si="148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  <c r="Q5232" s="2"/>
      <c r="R5232" s="2"/>
    </row>
    <row r="5233" spans="1:18" ht="19.5" hidden="1" thickBot="1" x14ac:dyDescent="0.3">
      <c r="A5233" s="956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965"/>
      <c r="H5233" s="649" t="s">
        <v>1153</v>
      </c>
      <c r="I5233" s="651" t="s">
        <v>1155</v>
      </c>
      <c r="J5233" s="652"/>
      <c r="K5233" s="649" t="str">
        <f t="shared" si="148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  <c r="Q5233" s="2"/>
      <c r="R5233" s="2"/>
    </row>
    <row r="5234" spans="1:18" ht="19.5" hidden="1" thickBot="1" x14ac:dyDescent="0.3">
      <c r="A5234" s="966">
        <f t="shared" si="149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8"/>
        <v>11,25</v>
      </c>
      <c r="L5234" s="535" t="s">
        <v>266</v>
      </c>
      <c r="M5234" s="535">
        <v>1414.66</v>
      </c>
      <c r="N5234" s="539">
        <v>0.5</v>
      </c>
      <c r="O5234" s="2"/>
      <c r="P5234" s="2"/>
      <c r="Q5234" s="2"/>
      <c r="R5234" s="2"/>
    </row>
    <row r="5235" spans="1:18" ht="19.5" hidden="1" thickBot="1" x14ac:dyDescent="0.3">
      <c r="A5235" s="967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8"/>
        <v>11,25</v>
      </c>
      <c r="L5235" s="594" t="s">
        <v>266</v>
      </c>
      <c r="M5235" s="594">
        <v>12543.3</v>
      </c>
      <c r="N5235" s="598">
        <v>0.5</v>
      </c>
      <c r="O5235" s="2"/>
      <c r="P5235" s="2"/>
      <c r="Q5235" s="2"/>
      <c r="R5235" s="2"/>
    </row>
    <row r="5236" spans="1:18" ht="19.5" hidden="1" thickBot="1" x14ac:dyDescent="0.3">
      <c r="A5236" s="513">
        <f t="shared" si="149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8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  <c r="Q5236" s="2"/>
      <c r="R5236" s="2"/>
    </row>
    <row r="5237" spans="1:18" ht="19.5" hidden="1" thickBot="1" x14ac:dyDescent="0.3">
      <c r="A5237" s="503">
        <f t="shared" si="149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50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  <c r="Q5237" s="2"/>
      <c r="R5237" s="2"/>
    </row>
    <row r="5238" spans="1:18" ht="19.5" hidden="1" thickBot="1" x14ac:dyDescent="0.3">
      <c r="A5238" s="513">
        <f t="shared" si="149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50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  <c r="Q5238" s="2"/>
      <c r="R5238" s="2"/>
    </row>
    <row r="5239" spans="1:18" ht="19.5" hidden="1" thickBot="1" x14ac:dyDescent="0.3">
      <c r="A5239" s="503">
        <f t="shared" si="149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50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  <c r="Q5239" s="2"/>
      <c r="R5239" s="2"/>
    </row>
    <row r="5240" spans="1:18" ht="19.5" hidden="1" thickBot="1" x14ac:dyDescent="0.3">
      <c r="A5240" s="954">
        <f t="shared" si="149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50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  <c r="Q5240" s="2"/>
      <c r="R5240" s="2"/>
    </row>
    <row r="5241" spans="1:18" ht="19.5" hidden="1" thickBot="1" x14ac:dyDescent="0.3">
      <c r="A5241" s="955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50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  <c r="Q5241" s="2"/>
      <c r="R5241" s="2"/>
    </row>
    <row r="5242" spans="1:18" ht="19.5" hidden="1" thickBot="1" x14ac:dyDescent="0.3">
      <c r="A5242" s="955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50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  <c r="Q5242" s="2"/>
      <c r="R5242" s="2"/>
    </row>
    <row r="5243" spans="1:18" ht="19.5" hidden="1" thickBot="1" x14ac:dyDescent="0.3">
      <c r="A5243" s="966">
        <f t="shared" si="149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50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  <c r="Q5243" s="2"/>
      <c r="R5243" s="2"/>
    </row>
    <row r="5244" spans="1:18" ht="19.5" hidden="1" thickBot="1" x14ac:dyDescent="0.3">
      <c r="A5244" s="968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50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  <c r="Q5244" s="2"/>
      <c r="R5244" s="2"/>
    </row>
    <row r="5245" spans="1:18" ht="19.5" hidden="1" thickBot="1" x14ac:dyDescent="0.3">
      <c r="A5245" s="513">
        <f t="shared" si="149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50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  <c r="Q5245" s="2"/>
      <c r="R5245" s="2"/>
    </row>
    <row r="5246" spans="1:18" ht="19.5" hidden="1" thickBot="1" x14ac:dyDescent="0.3">
      <c r="A5246" s="503">
        <f t="shared" si="149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50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  <c r="Q5246" s="2"/>
      <c r="R5246" s="2"/>
    </row>
    <row r="5247" spans="1:18" ht="19.5" hidden="1" thickBot="1" x14ac:dyDescent="0.3">
      <c r="A5247" s="954">
        <f t="shared" si="149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50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  <c r="Q5247" s="2"/>
      <c r="R5247" s="2"/>
    </row>
    <row r="5248" spans="1:18" ht="19.5" hidden="1" thickBot="1" x14ac:dyDescent="0.3">
      <c r="A5248" s="955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50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  <c r="Q5248" s="2"/>
      <c r="R5248" s="2"/>
    </row>
    <row r="5249" spans="1:18" ht="19.5" hidden="1" thickBot="1" x14ac:dyDescent="0.3">
      <c r="A5249" s="956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50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  <c r="Q5249" s="2"/>
      <c r="R5249" s="2"/>
    </row>
    <row r="5250" spans="1:18" ht="19.5" hidden="1" thickBot="1" x14ac:dyDescent="0.3">
      <c r="A5250" s="966">
        <f t="shared" si="149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50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  <c r="Q5250" s="2"/>
      <c r="R5250" s="2"/>
    </row>
    <row r="5251" spans="1:18" ht="19.5" hidden="1" thickBot="1" x14ac:dyDescent="0.3">
      <c r="A5251" s="968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50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  <c r="Q5251" s="2"/>
      <c r="R5251" s="2"/>
    </row>
    <row r="5252" spans="1:18" ht="19.5" hidden="1" thickBot="1" x14ac:dyDescent="0.3">
      <c r="A5252" s="513">
        <f t="shared" si="149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50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  <c r="Q5252" s="2"/>
      <c r="R5252" s="2"/>
    </row>
    <row r="5253" spans="1:18" ht="19.5" hidden="1" thickBot="1" x14ac:dyDescent="0.3">
      <c r="A5253" s="551">
        <f t="shared" si="149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50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  <c r="Q5253" s="2"/>
      <c r="R5253" s="2"/>
    </row>
    <row r="5254" spans="1:18" ht="19.5" hidden="1" thickBot="1" x14ac:dyDescent="0.3">
      <c r="A5254" s="954">
        <f t="shared" si="149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50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  <c r="Q5254" s="2"/>
      <c r="R5254" s="2"/>
    </row>
    <row r="5255" spans="1:18" ht="19.5" hidden="1" thickBot="1" x14ac:dyDescent="0.3">
      <c r="A5255" s="956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50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  <c r="Q5255" s="2"/>
      <c r="R5255" s="2"/>
    </row>
    <row r="5256" spans="1:18" ht="19.5" hidden="1" thickBot="1" x14ac:dyDescent="0.3">
      <c r="A5256" s="503">
        <f t="shared" si="149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50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  <c r="Q5256" s="2"/>
      <c r="R5256" s="2"/>
    </row>
    <row r="5257" spans="1:18" ht="19.5" hidden="1" thickBot="1" x14ac:dyDescent="0.3">
      <c r="A5257" s="572">
        <f t="shared" si="149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50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  <c r="Q5257" s="2"/>
      <c r="R5257" s="2"/>
    </row>
    <row r="5258" spans="1:18" ht="19.5" hidden="1" thickBot="1" x14ac:dyDescent="0.3">
      <c r="A5258" s="503">
        <f t="shared" si="149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50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  <c r="Q5258" s="2"/>
      <c r="R5258" s="2"/>
    </row>
    <row r="5259" spans="1:18" ht="132" hidden="1" thickBot="1" x14ac:dyDescent="0.3">
      <c r="A5259" s="513">
        <f t="shared" si="149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50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  <c r="Q5259" s="2"/>
      <c r="R5259" s="2"/>
    </row>
    <row r="5260" spans="1:18" ht="19.5" hidden="1" thickBot="1" x14ac:dyDescent="0.3">
      <c r="A5260" s="966">
        <f t="shared" si="149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50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  <c r="Q5260" s="2"/>
      <c r="R5260" s="2"/>
    </row>
    <row r="5261" spans="1:18" ht="19.5" hidden="1" thickBot="1" x14ac:dyDescent="0.3">
      <c r="A5261" s="968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50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  <c r="Q5261" s="2"/>
      <c r="R5261" s="2"/>
    </row>
    <row r="5262" spans="1:18" ht="19.5" hidden="1" thickBot="1" x14ac:dyDescent="0.3">
      <c r="A5262" s="954">
        <f t="shared" si="149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50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  <c r="Q5262" s="2"/>
      <c r="R5262" s="2"/>
    </row>
    <row r="5263" spans="1:18" ht="19.5" hidden="1" thickBot="1" x14ac:dyDescent="0.3">
      <c r="A5263" s="956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50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  <c r="Q5263" s="2"/>
      <c r="R5263" s="2"/>
    </row>
    <row r="5264" spans="1:18" ht="19.5" hidden="1" thickBot="1" x14ac:dyDescent="0.3">
      <c r="A5264" s="503">
        <f t="shared" si="149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50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  <c r="Q5264" s="2"/>
      <c r="R5264" s="2"/>
    </row>
    <row r="5265" spans="1:18" ht="19.5" hidden="1" thickBot="1" x14ac:dyDescent="0.3">
      <c r="A5265" s="954">
        <f t="shared" si="149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50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  <c r="Q5265" s="2"/>
      <c r="R5265" s="2"/>
    </row>
    <row r="5266" spans="1:18" ht="19.5" hidden="1" thickBot="1" x14ac:dyDescent="0.3">
      <c r="A5266" s="956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50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  <c r="Q5266" s="2"/>
      <c r="R5266" s="2"/>
    </row>
    <row r="5267" spans="1:18" ht="19.5" hidden="1" thickBot="1" x14ac:dyDescent="0.3">
      <c r="A5267" s="966">
        <f t="shared" si="149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50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  <c r="Q5267" s="2"/>
      <c r="R5267" s="2"/>
    </row>
    <row r="5268" spans="1:18" ht="19.5" hidden="1" thickBot="1" x14ac:dyDescent="0.3">
      <c r="A5268" s="967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50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  <c r="Q5268" s="2"/>
      <c r="R5268" s="2"/>
    </row>
    <row r="5269" spans="1:18" ht="19.5" hidden="1" thickBot="1" x14ac:dyDescent="0.3">
      <c r="A5269" s="968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50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  <c r="Q5269" s="2"/>
      <c r="R5269" s="2"/>
    </row>
    <row r="5270" spans="1:18" ht="19.5" hidden="1" thickBot="1" x14ac:dyDescent="0.3">
      <c r="A5270" s="954">
        <f t="shared" si="149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50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  <c r="Q5270" s="2"/>
      <c r="R5270" s="2"/>
    </row>
    <row r="5271" spans="1:18" ht="19.5" hidden="1" thickBot="1" x14ac:dyDescent="0.3">
      <c r="A5271" s="956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50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  <c r="Q5271" s="2"/>
      <c r="R5271" s="2"/>
    </row>
    <row r="5272" spans="1:18" ht="19.5" hidden="1" thickBot="1" x14ac:dyDescent="0.3">
      <c r="A5272" s="966">
        <f t="shared" si="149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50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  <c r="Q5272" s="2"/>
      <c r="R5272" s="2"/>
    </row>
    <row r="5273" spans="1:18" ht="19.5" hidden="1" thickBot="1" x14ac:dyDescent="0.3">
      <c r="A5273" s="968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50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  <c r="Q5273" s="2"/>
      <c r="R5273" s="2"/>
    </row>
    <row r="5274" spans="1:18" ht="38.25" hidden="1" thickBot="1" x14ac:dyDescent="0.3">
      <c r="A5274" s="513">
        <f t="shared" ref="A5274:A5295" si="151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50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  <c r="Q5274" s="2"/>
      <c r="R5274" s="2"/>
    </row>
    <row r="5275" spans="1:18" ht="19.5" hidden="1" thickBot="1" x14ac:dyDescent="0.3">
      <c r="A5275" s="966">
        <f t="shared" si="151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976" t="s">
        <v>1162</v>
      </c>
      <c r="H5275" s="535" t="s">
        <v>1161</v>
      </c>
      <c r="I5275" s="537" t="s">
        <v>1165</v>
      </c>
      <c r="J5275" s="538"/>
      <c r="K5275" s="535" t="str">
        <f t="shared" si="150"/>
        <v>12,25</v>
      </c>
      <c r="L5275" s="535" t="s">
        <v>28</v>
      </c>
      <c r="M5275" s="535">
        <v>6221.16</v>
      </c>
      <c r="N5275" s="539">
        <v>0.5</v>
      </c>
      <c r="O5275" s="2"/>
      <c r="P5275" s="2"/>
      <c r="Q5275" s="2"/>
      <c r="R5275" s="2"/>
    </row>
    <row r="5276" spans="1:18" ht="19.5" hidden="1" thickBot="1" x14ac:dyDescent="0.3">
      <c r="A5276" s="967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969"/>
      <c r="H5276" s="594" t="s">
        <v>1161</v>
      </c>
      <c r="I5276" s="596" t="s">
        <v>1165</v>
      </c>
      <c r="J5276" s="597"/>
      <c r="K5276" s="594" t="str">
        <f t="shared" si="150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  <c r="Q5276" s="2"/>
      <c r="R5276" s="2"/>
    </row>
    <row r="5277" spans="1:18" ht="19.5" hidden="1" thickBot="1" x14ac:dyDescent="0.3">
      <c r="A5277" s="513">
        <f t="shared" si="151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50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  <c r="Q5277" s="2"/>
      <c r="R5277" s="2"/>
    </row>
    <row r="5278" spans="1:18" ht="19.5" hidden="1" thickBot="1" x14ac:dyDescent="0.3">
      <c r="A5278" s="503">
        <f t="shared" si="151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50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  <c r="Q5278" s="2"/>
      <c r="R5278" s="2"/>
    </row>
    <row r="5279" spans="1:18" ht="19.5" hidden="1" thickBot="1" x14ac:dyDescent="0.3">
      <c r="A5279" s="954">
        <f t="shared" si="151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50"/>
        <v>12,25</v>
      </c>
      <c r="L5279" s="483" t="s">
        <v>266</v>
      </c>
      <c r="M5279" s="483">
        <v>3447.54</v>
      </c>
      <c r="N5279" s="486">
        <v>0.5</v>
      </c>
      <c r="O5279" s="2"/>
      <c r="P5279" s="2"/>
      <c r="Q5279" s="2"/>
      <c r="R5279" s="2"/>
    </row>
    <row r="5280" spans="1:18" ht="19.5" hidden="1" thickBot="1" x14ac:dyDescent="0.3">
      <c r="A5280" s="955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50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  <c r="Q5280" s="2"/>
      <c r="R5280" s="2"/>
    </row>
    <row r="5281" spans="1:18" ht="19.5" hidden="1" thickBot="1" x14ac:dyDescent="0.3">
      <c r="A5281" s="955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50"/>
        <v>12,25</v>
      </c>
      <c r="L5281" s="499" t="s">
        <v>266</v>
      </c>
      <c r="M5281" s="499">
        <v>5019</v>
      </c>
      <c r="N5281" s="502">
        <v>0.5</v>
      </c>
      <c r="O5281" s="2"/>
      <c r="P5281" s="2"/>
      <c r="Q5281" s="2"/>
      <c r="R5281" s="2"/>
    </row>
    <row r="5282" spans="1:18" ht="19.5" hidden="1" thickBot="1" x14ac:dyDescent="0.3">
      <c r="A5282" s="966">
        <f t="shared" si="151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50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  <c r="Q5282" s="2"/>
      <c r="R5282" s="2"/>
    </row>
    <row r="5283" spans="1:18" ht="19.5" hidden="1" thickBot="1" x14ac:dyDescent="0.3">
      <c r="A5283" s="968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50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  <c r="Q5283" s="2"/>
      <c r="R5283" s="2"/>
    </row>
    <row r="5284" spans="1:18" ht="19.5" hidden="1" thickBot="1" x14ac:dyDescent="0.3">
      <c r="A5284" s="513">
        <f t="shared" si="151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50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  <c r="Q5284" s="2"/>
      <c r="R5284" s="2"/>
    </row>
    <row r="5285" spans="1:18" ht="19.5" hidden="1" thickBot="1" x14ac:dyDescent="0.3">
      <c r="A5285" s="503">
        <f t="shared" si="151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50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  <c r="Q5285" s="2"/>
      <c r="R5285" s="2"/>
    </row>
    <row r="5286" spans="1:18" ht="19.5" hidden="1" thickBot="1" x14ac:dyDescent="0.3">
      <c r="A5286" s="954">
        <f t="shared" si="151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50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  <c r="Q5286" s="2"/>
      <c r="R5286" s="2"/>
    </row>
    <row r="5287" spans="1:18" ht="19.5" hidden="1" thickBot="1" x14ac:dyDescent="0.3">
      <c r="A5287" s="955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50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  <c r="Q5287" s="2"/>
      <c r="R5287" s="2"/>
    </row>
    <row r="5288" spans="1:18" ht="19.5" hidden="1" thickBot="1" x14ac:dyDescent="0.3">
      <c r="A5288" s="955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50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  <c r="Q5288" s="2"/>
      <c r="R5288" s="2"/>
    </row>
    <row r="5289" spans="1:18" ht="19.5" hidden="1" thickBot="1" x14ac:dyDescent="0.3">
      <c r="A5289" s="956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50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  <c r="Q5289" s="2"/>
      <c r="R5289" s="2"/>
    </row>
    <row r="5290" spans="1:18" ht="19.5" hidden="1" thickBot="1" x14ac:dyDescent="0.3">
      <c r="A5290" s="966">
        <f t="shared" si="151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50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  <c r="Q5290" s="2"/>
      <c r="R5290" s="2"/>
    </row>
    <row r="5291" spans="1:18" ht="19.5" hidden="1" thickBot="1" x14ac:dyDescent="0.3">
      <c r="A5291" s="967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50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  <c r="Q5291" s="2"/>
      <c r="R5291" s="2"/>
    </row>
    <row r="5292" spans="1:18" ht="19.5" hidden="1" thickBot="1" x14ac:dyDescent="0.3">
      <c r="A5292" s="968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50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  <c r="Q5292" s="2"/>
      <c r="R5292" s="2"/>
    </row>
    <row r="5293" spans="1:18" ht="19.5" hidden="1" thickBot="1" x14ac:dyDescent="0.3">
      <c r="A5293" s="513">
        <f t="shared" si="151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50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  <c r="Q5293" s="2"/>
      <c r="R5293" s="2"/>
    </row>
    <row r="5294" spans="1:18" ht="19.5" hidden="1" thickBot="1" x14ac:dyDescent="0.3">
      <c r="A5294" s="551">
        <f t="shared" si="151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50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  <c r="Q5294" s="2"/>
      <c r="R5294" s="2"/>
    </row>
    <row r="5295" spans="1:18" ht="19.5" hidden="1" thickBot="1" x14ac:dyDescent="0.3">
      <c r="A5295" s="513">
        <f t="shared" si="151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50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  <c r="Q5295" s="2"/>
      <c r="R5295" s="2"/>
    </row>
    <row r="5296" spans="1:18" ht="19.5" hidden="1" thickBot="1" x14ac:dyDescent="0.3">
      <c r="A5296" s="966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50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  <c r="Q5296" s="2"/>
      <c r="R5296" s="2"/>
    </row>
    <row r="5297" spans="1:18" ht="19.5" hidden="1" thickBot="1" x14ac:dyDescent="0.3">
      <c r="A5297" s="967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50"/>
        <v>12,25</v>
      </c>
      <c r="L5297" s="594" t="s">
        <v>266</v>
      </c>
      <c r="M5297" s="594">
        <v>567.36</v>
      </c>
      <c r="N5297" s="598">
        <v>0.375</v>
      </c>
      <c r="O5297" s="2"/>
      <c r="P5297" s="2"/>
      <c r="Q5297" s="2"/>
      <c r="R5297" s="2"/>
    </row>
    <row r="5298" spans="1:18" ht="19.5" hidden="1" thickBot="1" x14ac:dyDescent="0.3">
      <c r="A5298" s="954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50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  <c r="Q5298" s="2"/>
      <c r="R5298" s="2"/>
    </row>
    <row r="5299" spans="1:18" ht="19.5" hidden="1" thickBot="1" x14ac:dyDescent="0.3">
      <c r="A5299" s="956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50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  <c r="Q5299" s="2"/>
      <c r="R5299" s="2"/>
    </row>
    <row r="5300" spans="1:18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50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  <c r="Q5300" s="2"/>
      <c r="R5300" s="2"/>
    </row>
    <row r="5301" spans="1:18" ht="19.5" hidden="1" thickBot="1" x14ac:dyDescent="0.3">
      <c r="A5301" s="513">
        <f t="shared" ref="A5301:A5363" si="152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3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  <c r="Q5301" s="2"/>
      <c r="R5301" s="2"/>
    </row>
    <row r="5302" spans="1:18" ht="19.5" hidden="1" thickBot="1" x14ac:dyDescent="0.3">
      <c r="A5302" s="966">
        <f t="shared" si="152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3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  <c r="Q5302" s="2"/>
      <c r="R5302" s="2"/>
    </row>
    <row r="5303" spans="1:18" ht="19.5" hidden="1" thickBot="1" x14ac:dyDescent="0.3">
      <c r="A5303" s="967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3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  <c r="Q5303" s="2"/>
      <c r="R5303" s="2"/>
    </row>
    <row r="5304" spans="1:18" ht="19.5" hidden="1" thickBot="1" x14ac:dyDescent="0.3">
      <c r="A5304" s="968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3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  <c r="Q5304" s="2"/>
      <c r="R5304" s="2"/>
    </row>
    <row r="5305" spans="1:18" ht="19.5" hidden="1" thickBot="1" x14ac:dyDescent="0.3">
      <c r="A5305" s="954">
        <f t="shared" si="152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3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  <c r="Q5305" s="2"/>
      <c r="R5305" s="2"/>
    </row>
    <row r="5306" spans="1:18" ht="19.5" hidden="1" thickBot="1" x14ac:dyDescent="0.3">
      <c r="A5306" s="955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3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  <c r="Q5306" s="2"/>
      <c r="R5306" s="2"/>
    </row>
    <row r="5307" spans="1:18" ht="19.5" hidden="1" thickBot="1" x14ac:dyDescent="0.3">
      <c r="A5307" s="955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3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  <c r="Q5307" s="2"/>
      <c r="R5307" s="2"/>
    </row>
    <row r="5308" spans="1:18" ht="19.5" hidden="1" thickBot="1" x14ac:dyDescent="0.3">
      <c r="A5308" s="956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3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  <c r="Q5308" s="2"/>
      <c r="R5308" s="2"/>
    </row>
    <row r="5309" spans="1:18" ht="19.5" hidden="1" thickBot="1" x14ac:dyDescent="0.3">
      <c r="A5309" s="966">
        <f t="shared" si="152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3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  <c r="Q5309" s="2"/>
      <c r="R5309" s="2"/>
    </row>
    <row r="5310" spans="1:18" ht="19.5" hidden="1" thickBot="1" x14ac:dyDescent="0.3">
      <c r="A5310" s="968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3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  <c r="Q5310" s="2"/>
      <c r="R5310" s="2"/>
    </row>
    <row r="5311" spans="1:18" ht="19.5" hidden="1" thickBot="1" x14ac:dyDescent="0.3">
      <c r="A5311" s="954">
        <f t="shared" si="152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3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  <c r="Q5311" s="2"/>
      <c r="R5311" s="2"/>
    </row>
    <row r="5312" spans="1:18" ht="19.5" hidden="1" thickBot="1" x14ac:dyDescent="0.3">
      <c r="A5312" s="956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3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  <c r="Q5312" s="2"/>
      <c r="R5312" s="2"/>
    </row>
    <row r="5313" spans="1:18" ht="19.5" hidden="1" thickBot="1" x14ac:dyDescent="0.3">
      <c r="A5313" s="503">
        <f t="shared" si="152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3"/>
        <v>12,25</v>
      </c>
      <c r="L5313" s="508" t="s">
        <v>28</v>
      </c>
      <c r="M5313" s="508">
        <v>12207.6</v>
      </c>
      <c r="N5313" s="512">
        <v>0.5</v>
      </c>
      <c r="O5313" s="2"/>
      <c r="P5313" s="2"/>
      <c r="Q5313" s="2"/>
      <c r="R5313" s="2"/>
    </row>
    <row r="5314" spans="1:18" ht="19.5" hidden="1" thickBot="1" x14ac:dyDescent="0.3">
      <c r="A5314" s="513">
        <f t="shared" si="152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3"/>
        <v>12,25</v>
      </c>
      <c r="L5314" s="518" t="s">
        <v>266</v>
      </c>
      <c r="M5314" s="518">
        <v>18093.02</v>
      </c>
      <c r="N5314" s="522">
        <v>0.5</v>
      </c>
      <c r="O5314" s="2"/>
      <c r="P5314" s="2"/>
      <c r="Q5314" s="2"/>
      <c r="R5314" s="2"/>
    </row>
    <row r="5315" spans="1:18" ht="38.25" hidden="1" thickBot="1" x14ac:dyDescent="0.3">
      <c r="A5315" s="503">
        <f t="shared" si="152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3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  <c r="Q5315" s="2"/>
      <c r="R5315" s="2"/>
    </row>
    <row r="5316" spans="1:18" ht="19.5" hidden="1" thickBot="1" x14ac:dyDescent="0.3">
      <c r="A5316" s="954">
        <f t="shared" si="152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3"/>
        <v>12,25</v>
      </c>
      <c r="L5316" s="483" t="s">
        <v>266</v>
      </c>
      <c r="M5316" s="483">
        <v>12842.31</v>
      </c>
      <c r="N5316" s="486">
        <v>0.5</v>
      </c>
      <c r="O5316" s="2"/>
      <c r="P5316" s="2"/>
      <c r="Q5316" s="2"/>
      <c r="R5316" s="2"/>
    </row>
    <row r="5317" spans="1:18" ht="19.5" hidden="1" thickBot="1" x14ac:dyDescent="0.3">
      <c r="A5317" s="955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3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  <c r="Q5317" s="2"/>
      <c r="R5317" s="2"/>
    </row>
    <row r="5318" spans="1:18" ht="19.5" hidden="1" thickBot="1" x14ac:dyDescent="0.3">
      <c r="A5318" s="503">
        <f t="shared" si="152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3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  <c r="Q5318" s="2"/>
      <c r="R5318" s="2"/>
    </row>
    <row r="5319" spans="1:18" ht="19.5" hidden="1" thickBot="1" x14ac:dyDescent="0.3">
      <c r="A5319" s="513">
        <f t="shared" si="152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3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  <c r="Q5319" s="2"/>
      <c r="R5319" s="2"/>
    </row>
    <row r="5320" spans="1:18" ht="19.5" hidden="1" thickBot="1" x14ac:dyDescent="0.3">
      <c r="A5320" s="503">
        <f t="shared" si="152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3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  <c r="Q5320" s="2"/>
      <c r="R5320" s="2"/>
    </row>
    <row r="5321" spans="1:18" ht="19.5" hidden="1" thickBot="1" x14ac:dyDescent="0.3">
      <c r="A5321" s="954">
        <f t="shared" si="152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963" t="s">
        <v>1172</v>
      </c>
      <c r="H5321" s="483" t="s">
        <v>1171</v>
      </c>
      <c r="I5321" s="484" t="s">
        <v>1171</v>
      </c>
      <c r="J5321" s="485"/>
      <c r="K5321" s="483" t="str">
        <f t="shared" si="153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  <c r="Q5321" s="2"/>
      <c r="R5321" s="2"/>
    </row>
    <row r="5322" spans="1:18" ht="19.5" hidden="1" thickBot="1" x14ac:dyDescent="0.3">
      <c r="A5322" s="955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964"/>
      <c r="H5322" s="527" t="s">
        <v>1171</v>
      </c>
      <c r="I5322" s="528" t="s">
        <v>1171</v>
      </c>
      <c r="J5322" s="529"/>
      <c r="K5322" s="527" t="str">
        <f t="shared" si="153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  <c r="Q5322" s="2"/>
      <c r="R5322" s="2"/>
    </row>
    <row r="5323" spans="1:18" ht="19.5" hidden="1" thickBot="1" x14ac:dyDescent="0.3">
      <c r="A5323" s="955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964"/>
      <c r="H5323" s="527" t="s">
        <v>1171</v>
      </c>
      <c r="I5323" s="528" t="s">
        <v>1171</v>
      </c>
      <c r="J5323" s="529"/>
      <c r="K5323" s="527" t="str">
        <f t="shared" si="153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  <c r="Q5323" s="2"/>
      <c r="R5323" s="2"/>
    </row>
    <row r="5324" spans="1:18" ht="19.5" hidden="1" thickBot="1" x14ac:dyDescent="0.3">
      <c r="A5324" s="955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964"/>
      <c r="H5324" s="527" t="s">
        <v>1171</v>
      </c>
      <c r="I5324" s="528" t="s">
        <v>1171</v>
      </c>
      <c r="J5324" s="529"/>
      <c r="K5324" s="527" t="str">
        <f t="shared" si="153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  <c r="Q5324" s="2"/>
      <c r="R5324" s="2"/>
    </row>
    <row r="5325" spans="1:18" ht="19.5" hidden="1" thickBot="1" x14ac:dyDescent="0.3">
      <c r="A5325" s="955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964"/>
      <c r="H5325" s="499" t="s">
        <v>1171</v>
      </c>
      <c r="I5325" s="500" t="s">
        <v>1171</v>
      </c>
      <c r="J5325" s="501"/>
      <c r="K5325" s="499" t="str">
        <f t="shared" si="153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  <c r="Q5325" s="2"/>
      <c r="R5325" s="2"/>
    </row>
    <row r="5326" spans="1:18" ht="19.5" hidden="1" thickBot="1" x14ac:dyDescent="0.3">
      <c r="A5326" s="966">
        <f t="shared" si="152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3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  <c r="Q5326" s="2"/>
      <c r="R5326" s="2"/>
    </row>
    <row r="5327" spans="1:18" ht="19.5" hidden="1" thickBot="1" x14ac:dyDescent="0.3">
      <c r="A5327" s="968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3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  <c r="Q5327" s="2"/>
      <c r="R5327" s="2"/>
    </row>
    <row r="5328" spans="1:18" ht="19.5" hidden="1" thickBot="1" x14ac:dyDescent="0.3">
      <c r="A5328" s="513">
        <f t="shared" si="152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3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  <c r="Q5328" s="2"/>
      <c r="R5328" s="2"/>
    </row>
    <row r="5329" spans="1:18" ht="19.5" hidden="1" thickBot="1" x14ac:dyDescent="0.3">
      <c r="A5329" s="503">
        <f t="shared" si="152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3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  <c r="Q5329" s="2"/>
      <c r="R5329" s="2"/>
    </row>
    <row r="5330" spans="1:18" ht="19.5" hidden="1" thickBot="1" x14ac:dyDescent="0.3">
      <c r="A5330" s="513">
        <f t="shared" si="152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3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  <c r="Q5330" s="2"/>
      <c r="R5330" s="2"/>
    </row>
    <row r="5331" spans="1:18" ht="19.5" hidden="1" thickBot="1" x14ac:dyDescent="0.3">
      <c r="A5331" s="966">
        <f t="shared" si="152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3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  <c r="Q5331" s="2"/>
      <c r="R5331" s="2"/>
    </row>
    <row r="5332" spans="1:18" ht="19.5" hidden="1" thickBot="1" x14ac:dyDescent="0.3">
      <c r="A5332" s="967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3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  <c r="Q5332" s="2"/>
      <c r="R5332" s="2"/>
    </row>
    <row r="5333" spans="1:18" ht="19.5" hidden="1" thickBot="1" x14ac:dyDescent="0.3">
      <c r="A5333" s="967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3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  <c r="Q5333" s="2"/>
      <c r="R5333" s="2"/>
    </row>
    <row r="5334" spans="1:18" ht="19.5" hidden="1" thickBot="1" x14ac:dyDescent="0.3">
      <c r="A5334" s="968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3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  <c r="Q5334" s="2"/>
      <c r="R5334" s="2"/>
    </row>
    <row r="5335" spans="1:18" ht="19.5" hidden="1" thickBot="1" x14ac:dyDescent="0.3">
      <c r="A5335" s="513">
        <f t="shared" si="152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3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  <c r="Q5335" s="2"/>
      <c r="R5335" s="2"/>
    </row>
    <row r="5336" spans="1:18" ht="19.5" hidden="1" thickBot="1" x14ac:dyDescent="0.3">
      <c r="A5336" s="551">
        <f t="shared" si="152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3"/>
        <v>12,25</v>
      </c>
      <c r="L5336" s="556" t="s">
        <v>28</v>
      </c>
      <c r="M5336" s="556">
        <v>17162.96</v>
      </c>
      <c r="N5336" s="560">
        <v>0.5</v>
      </c>
      <c r="O5336" s="2"/>
      <c r="P5336" s="2"/>
      <c r="Q5336" s="2"/>
      <c r="R5336" s="2"/>
    </row>
    <row r="5337" spans="1:18" ht="19.5" hidden="1" thickBot="1" x14ac:dyDescent="0.3">
      <c r="A5337" s="513">
        <f t="shared" si="152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3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  <c r="Q5337" s="2"/>
      <c r="R5337" s="2"/>
    </row>
    <row r="5338" spans="1:18" ht="19.5" hidden="1" thickBot="1" x14ac:dyDescent="0.3">
      <c r="A5338" s="966">
        <f t="shared" si="152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3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  <c r="Q5338" s="2"/>
      <c r="R5338" s="2"/>
    </row>
    <row r="5339" spans="1:18" ht="57" hidden="1" thickBot="1" x14ac:dyDescent="0.3">
      <c r="A5339" s="967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3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  <c r="Q5339" s="2"/>
      <c r="R5339" s="2"/>
    </row>
    <row r="5340" spans="1:18" ht="19.5" hidden="1" thickBot="1" x14ac:dyDescent="0.3">
      <c r="A5340" s="967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3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  <c r="Q5340" s="2"/>
      <c r="R5340" s="2"/>
    </row>
    <row r="5341" spans="1:18" ht="19.5" hidden="1" thickBot="1" x14ac:dyDescent="0.3">
      <c r="A5341" s="968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3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  <c r="Q5341" s="2"/>
      <c r="R5341" s="2"/>
    </row>
    <row r="5342" spans="1:18" ht="19.5" hidden="1" thickBot="1" x14ac:dyDescent="0.3">
      <c r="A5342" s="954">
        <f t="shared" si="152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3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  <c r="Q5342" s="2"/>
      <c r="R5342" s="2"/>
    </row>
    <row r="5343" spans="1:18" ht="19.5" hidden="1" thickBot="1" x14ac:dyDescent="0.3">
      <c r="A5343" s="956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3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  <c r="Q5343" s="2"/>
      <c r="R5343" s="2"/>
    </row>
    <row r="5344" spans="1:18" ht="19.5" hidden="1" thickBot="1" x14ac:dyDescent="0.3">
      <c r="A5344" s="551">
        <f t="shared" si="152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3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  <c r="Q5344" s="2"/>
      <c r="R5344" s="2"/>
    </row>
    <row r="5345" spans="1:18" ht="19.5" hidden="1" thickBot="1" x14ac:dyDescent="0.3">
      <c r="A5345" s="513">
        <f t="shared" si="152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3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  <c r="Q5345" s="2"/>
      <c r="R5345" s="2"/>
    </row>
    <row r="5346" spans="1:18" ht="38.25" hidden="1" thickBot="1" x14ac:dyDescent="0.3">
      <c r="A5346" s="503">
        <f t="shared" si="152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3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  <c r="Q5346" s="2"/>
      <c r="R5346" s="2"/>
    </row>
    <row r="5347" spans="1:18" ht="19.5" hidden="1" thickBot="1" x14ac:dyDescent="0.3">
      <c r="A5347" s="513">
        <f t="shared" si="152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3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  <c r="Q5347" s="2"/>
      <c r="R5347" s="2"/>
    </row>
    <row r="5348" spans="1:18" ht="19.5" hidden="1" thickBot="1" x14ac:dyDescent="0.3">
      <c r="A5348" s="966">
        <f t="shared" si="152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3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  <c r="Q5348" s="2"/>
      <c r="R5348" s="2"/>
    </row>
    <row r="5349" spans="1:18" ht="19.5" hidden="1" thickBot="1" x14ac:dyDescent="0.3">
      <c r="A5349" s="967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3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  <c r="Q5349" s="2"/>
      <c r="R5349" s="2"/>
    </row>
    <row r="5350" spans="1:18" ht="19.5" hidden="1" thickBot="1" x14ac:dyDescent="0.3">
      <c r="A5350" s="968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3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  <c r="Q5350" s="2"/>
      <c r="R5350" s="2"/>
    </row>
    <row r="5351" spans="1:18" ht="19.5" hidden="1" thickBot="1" x14ac:dyDescent="0.3">
      <c r="A5351" s="954">
        <f t="shared" si="152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3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  <c r="Q5351" s="2"/>
      <c r="R5351" s="2"/>
    </row>
    <row r="5352" spans="1:18" ht="19.5" hidden="1" thickBot="1" x14ac:dyDescent="0.3">
      <c r="A5352" s="955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3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  <c r="Q5352" s="2"/>
      <c r="R5352" s="2"/>
    </row>
    <row r="5353" spans="1:18" ht="19.5" hidden="1" thickBot="1" x14ac:dyDescent="0.3">
      <c r="A5353" s="956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3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  <c r="Q5353" s="2"/>
      <c r="R5353" s="2"/>
    </row>
    <row r="5354" spans="1:18" ht="19.5" hidden="1" thickBot="1" x14ac:dyDescent="0.3">
      <c r="A5354" s="503">
        <f t="shared" si="152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3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  <c r="Q5354" s="2"/>
      <c r="R5354" s="2"/>
    </row>
    <row r="5355" spans="1:18" ht="19.5" hidden="1" thickBot="1" x14ac:dyDescent="0.3">
      <c r="A5355" s="954">
        <f t="shared" si="152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3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  <c r="Q5355" s="2"/>
      <c r="R5355" s="2"/>
    </row>
    <row r="5356" spans="1:18" ht="19.5" hidden="1" thickBot="1" x14ac:dyDescent="0.3">
      <c r="A5356" s="955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3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  <c r="Q5356" s="2"/>
      <c r="R5356" s="2"/>
    </row>
    <row r="5357" spans="1:18" ht="19.5" hidden="1" thickBot="1" x14ac:dyDescent="0.3">
      <c r="A5357" s="956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3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  <c r="Q5357" s="2"/>
      <c r="R5357" s="2"/>
    </row>
    <row r="5358" spans="1:18" ht="19.5" hidden="1" thickBot="1" x14ac:dyDescent="0.3">
      <c r="A5358" s="966">
        <f t="shared" si="152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3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  <c r="Q5358" s="2"/>
      <c r="R5358" s="2"/>
    </row>
    <row r="5359" spans="1:18" ht="19.5" hidden="1" thickBot="1" x14ac:dyDescent="0.3">
      <c r="A5359" s="968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3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  <c r="Q5359" s="2"/>
      <c r="R5359" s="2"/>
    </row>
    <row r="5360" spans="1:18" ht="19.5" hidden="1" thickBot="1" x14ac:dyDescent="0.3">
      <c r="A5360" s="572">
        <f t="shared" si="152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3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  <c r="Q5360" s="2"/>
      <c r="R5360" s="2"/>
    </row>
    <row r="5361" spans="1:18" ht="38.25" hidden="1" thickBot="1" x14ac:dyDescent="0.3">
      <c r="A5361" s="503">
        <f t="shared" si="152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3"/>
        <v>12,25</v>
      </c>
      <c r="L5361" s="508" t="s">
        <v>266</v>
      </c>
      <c r="M5361" s="508">
        <v>15030</v>
      </c>
      <c r="N5361" s="512">
        <v>0.375</v>
      </c>
      <c r="O5361" s="2"/>
      <c r="P5361" s="2"/>
      <c r="Q5361" s="2"/>
      <c r="R5361" s="2"/>
    </row>
    <row r="5362" spans="1:18" ht="38.25" hidden="1" thickBot="1" x14ac:dyDescent="0.3">
      <c r="A5362" s="513">
        <f t="shared" si="152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3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  <c r="Q5362" s="2"/>
      <c r="R5362" s="2"/>
    </row>
    <row r="5363" spans="1:18" ht="19.5" hidden="1" thickBot="1" x14ac:dyDescent="0.3">
      <c r="A5363" s="966">
        <f t="shared" si="152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976" t="s">
        <v>843</v>
      </c>
      <c r="H5363" s="535" t="s">
        <v>1179</v>
      </c>
      <c r="I5363" s="537" t="s">
        <v>1180</v>
      </c>
      <c r="J5363" s="538"/>
      <c r="K5363" s="535" t="str">
        <f t="shared" si="153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  <c r="Q5363" s="2"/>
      <c r="R5363" s="2"/>
    </row>
    <row r="5364" spans="1:18" ht="19.5" hidden="1" thickBot="1" x14ac:dyDescent="0.3">
      <c r="A5364" s="968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975"/>
      <c r="H5364" s="640" t="s">
        <v>1179</v>
      </c>
      <c r="I5364" s="642" t="s">
        <v>1180</v>
      </c>
      <c r="J5364" s="643"/>
      <c r="K5364" s="640" t="str">
        <f t="shared" si="153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  <c r="Q5364" s="2"/>
      <c r="R5364" s="2"/>
    </row>
    <row r="5365" spans="1:18" ht="19.5" hidden="1" thickBot="1" x14ac:dyDescent="0.3">
      <c r="A5365" s="572">
        <f t="shared" ref="A5365:A5432" si="154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3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  <c r="Q5365" s="2"/>
      <c r="R5365" s="2"/>
    </row>
    <row r="5366" spans="1:18" ht="19.5" hidden="1" thickBot="1" x14ac:dyDescent="0.3">
      <c r="A5366" s="503">
        <f t="shared" si="154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3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  <c r="Q5366" s="2"/>
      <c r="R5366" s="2"/>
    </row>
    <row r="5367" spans="1:18" ht="19.5" hidden="1" thickBot="1" x14ac:dyDescent="0.3">
      <c r="A5367" s="513">
        <f t="shared" si="154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5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  <c r="Q5367" s="2"/>
      <c r="R5367" s="2"/>
    </row>
    <row r="5368" spans="1:18" ht="19.5" hidden="1" thickBot="1" x14ac:dyDescent="0.3">
      <c r="A5368" s="503">
        <f t="shared" si="154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5"/>
        <v>12,25</v>
      </c>
      <c r="L5368" s="508" t="s">
        <v>266</v>
      </c>
      <c r="M5368" s="508">
        <v>18036</v>
      </c>
      <c r="N5368" s="512">
        <v>0.5</v>
      </c>
      <c r="O5368" s="2"/>
      <c r="P5368" s="2"/>
      <c r="Q5368" s="2"/>
      <c r="R5368" s="2"/>
    </row>
    <row r="5369" spans="1:18" ht="19.5" hidden="1" thickBot="1" x14ac:dyDescent="0.3">
      <c r="A5369" s="513">
        <f t="shared" si="154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5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  <c r="Q5369" s="2"/>
      <c r="R5369" s="2"/>
    </row>
    <row r="5370" spans="1:18" ht="19.5" hidden="1" thickBot="1" x14ac:dyDescent="0.3">
      <c r="A5370" s="966">
        <f t="shared" si="154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976" t="s">
        <v>467</v>
      </c>
      <c r="H5370" s="535" t="s">
        <v>1180</v>
      </c>
      <c r="I5370" s="537" t="s">
        <v>1182</v>
      </c>
      <c r="J5370" s="538"/>
      <c r="K5370" s="535" t="str">
        <f t="shared" si="155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  <c r="Q5370" s="2"/>
      <c r="R5370" s="2"/>
    </row>
    <row r="5371" spans="1:18" ht="19.5" hidden="1" thickBot="1" x14ac:dyDescent="0.3">
      <c r="A5371" s="967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969"/>
      <c r="H5371" s="567" t="s">
        <v>1180</v>
      </c>
      <c r="I5371" s="569" t="s">
        <v>1182</v>
      </c>
      <c r="J5371" s="570"/>
      <c r="K5371" s="567" t="str">
        <f t="shared" si="155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  <c r="Q5371" s="2"/>
      <c r="R5371" s="2"/>
    </row>
    <row r="5372" spans="1:18" ht="19.5" hidden="1" thickBot="1" x14ac:dyDescent="0.3">
      <c r="A5372" s="967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969"/>
      <c r="H5372" s="567" t="s">
        <v>1180</v>
      </c>
      <c r="I5372" s="569" t="s">
        <v>1182</v>
      </c>
      <c r="J5372" s="570"/>
      <c r="K5372" s="567" t="str">
        <f t="shared" si="155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  <c r="Q5372" s="2"/>
      <c r="R5372" s="2"/>
    </row>
    <row r="5373" spans="1:18" ht="19.5" hidden="1" thickBot="1" x14ac:dyDescent="0.3">
      <c r="A5373" s="967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969"/>
      <c r="H5373" s="594" t="s">
        <v>1180</v>
      </c>
      <c r="I5373" s="596" t="s">
        <v>1182</v>
      </c>
      <c r="J5373" s="597"/>
      <c r="K5373" s="594" t="str">
        <f t="shared" si="155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  <c r="Q5373" s="2"/>
      <c r="R5373" s="2"/>
    </row>
    <row r="5374" spans="1:18" ht="19.5" hidden="1" thickBot="1" x14ac:dyDescent="0.3">
      <c r="A5374" s="954">
        <f t="shared" si="154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5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  <c r="Q5374" s="2"/>
      <c r="R5374" s="2"/>
    </row>
    <row r="5375" spans="1:18" ht="19.5" hidden="1" thickBot="1" x14ac:dyDescent="0.3">
      <c r="A5375" s="956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5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  <c r="Q5375" s="2"/>
      <c r="R5375" s="2"/>
    </row>
    <row r="5376" spans="1:18" ht="19.5" hidden="1" thickBot="1" x14ac:dyDescent="0.3">
      <c r="A5376" s="503">
        <f t="shared" si="154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5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  <c r="Q5376" s="2"/>
      <c r="R5376" s="2"/>
    </row>
    <row r="5377" spans="1:18" ht="19.5" hidden="1" thickBot="1" x14ac:dyDescent="0.3">
      <c r="A5377" s="513">
        <f t="shared" si="154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5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  <c r="Q5377" s="2"/>
      <c r="R5377" s="2"/>
    </row>
    <row r="5378" spans="1:18" ht="19.5" hidden="1" thickBot="1" x14ac:dyDescent="0.3">
      <c r="A5378" s="966">
        <f t="shared" si="154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5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  <c r="Q5378" s="2"/>
      <c r="R5378" s="2"/>
    </row>
    <row r="5379" spans="1:18" ht="19.5" hidden="1" thickBot="1" x14ac:dyDescent="0.3">
      <c r="A5379" s="968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5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  <c r="Q5379" s="2"/>
      <c r="R5379" s="2"/>
    </row>
    <row r="5380" spans="1:18" ht="19.5" hidden="1" thickBot="1" x14ac:dyDescent="0.3">
      <c r="A5380" s="954">
        <f t="shared" si="154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5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  <c r="Q5380" s="2"/>
      <c r="R5380" s="2"/>
    </row>
    <row r="5381" spans="1:18" ht="19.5" hidden="1" thickBot="1" x14ac:dyDescent="0.3">
      <c r="A5381" s="956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5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  <c r="Q5381" s="2"/>
      <c r="R5381" s="2"/>
    </row>
    <row r="5382" spans="1:18" ht="19.5" hidden="1" thickBot="1" x14ac:dyDescent="0.3">
      <c r="A5382" s="503">
        <f t="shared" si="154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5"/>
        <v>12,25</v>
      </c>
      <c r="L5382" s="508" t="s">
        <v>28</v>
      </c>
      <c r="M5382" s="508">
        <v>17832.38</v>
      </c>
      <c r="N5382" s="512">
        <v>0.5</v>
      </c>
      <c r="O5382" s="2"/>
      <c r="P5382" s="2"/>
      <c r="Q5382" s="2"/>
      <c r="R5382" s="2"/>
    </row>
    <row r="5383" spans="1:18" ht="19.5" hidden="1" thickBot="1" x14ac:dyDescent="0.3">
      <c r="A5383" s="513">
        <f t="shared" si="154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5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  <c r="Q5383" s="2"/>
      <c r="R5383" s="2"/>
    </row>
    <row r="5384" spans="1:18" ht="19.5" hidden="1" thickBot="1" x14ac:dyDescent="0.3">
      <c r="A5384" s="551">
        <f t="shared" si="154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5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  <c r="Q5384" s="2"/>
      <c r="R5384" s="2"/>
    </row>
    <row r="5385" spans="1:18" ht="19.5" hidden="1" thickBot="1" x14ac:dyDescent="0.3">
      <c r="A5385" s="954">
        <f t="shared" si="154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5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  <c r="Q5385" s="2"/>
      <c r="R5385" s="2"/>
    </row>
    <row r="5386" spans="1:18" ht="57" hidden="1" thickBot="1" x14ac:dyDescent="0.3">
      <c r="A5386" s="956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5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  <c r="Q5386" s="2"/>
      <c r="R5386" s="2"/>
    </row>
    <row r="5387" spans="1:18" ht="19.5" hidden="1" thickBot="1" x14ac:dyDescent="0.3">
      <c r="A5387" s="966">
        <f t="shared" si="154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5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  <c r="Q5387" s="2"/>
      <c r="R5387" s="2"/>
    </row>
    <row r="5388" spans="1:18" ht="19.5" hidden="1" thickBot="1" x14ac:dyDescent="0.3">
      <c r="A5388" s="968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5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  <c r="Q5388" s="2"/>
      <c r="R5388" s="2"/>
    </row>
    <row r="5389" spans="1:18" ht="19.5" hidden="1" thickBot="1" x14ac:dyDescent="0.3">
      <c r="A5389" s="572">
        <f t="shared" si="154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5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  <c r="Q5389" s="2"/>
      <c r="R5389" s="2"/>
    </row>
    <row r="5390" spans="1:18" ht="19.5" hidden="1" thickBot="1" x14ac:dyDescent="0.3">
      <c r="A5390" s="503">
        <f t="shared" si="154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5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  <c r="Q5390" s="2"/>
      <c r="R5390" s="2"/>
    </row>
    <row r="5391" spans="1:18" ht="19.5" hidden="1" thickBot="1" x14ac:dyDescent="0.3">
      <c r="A5391" s="672">
        <f t="shared" si="154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5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  <c r="Q5391" s="2"/>
      <c r="R5391" s="2"/>
    </row>
    <row r="5392" spans="1:18" ht="38.25" hidden="1" thickBot="1" x14ac:dyDescent="0.3">
      <c r="A5392" s="503">
        <f t="shared" si="154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5"/>
        <v>12,25</v>
      </c>
      <c r="L5392" s="508" t="s">
        <v>28</v>
      </c>
      <c r="M5392" s="508">
        <v>9159.01</v>
      </c>
      <c r="N5392" s="512">
        <v>0.5</v>
      </c>
      <c r="O5392" s="2"/>
      <c r="P5392" s="2"/>
      <c r="Q5392" s="2"/>
      <c r="R5392" s="2"/>
    </row>
    <row r="5393" spans="1:18" ht="19.5" hidden="1" thickBot="1" x14ac:dyDescent="0.3">
      <c r="A5393" s="672">
        <f t="shared" si="154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5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  <c r="Q5393" s="2"/>
      <c r="R5393" s="2"/>
    </row>
    <row r="5394" spans="1:18" ht="19.5" hidden="1" thickBot="1" x14ac:dyDescent="0.3">
      <c r="A5394" s="966">
        <f t="shared" si="154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5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  <c r="Q5394" s="2"/>
      <c r="R5394" s="2"/>
    </row>
    <row r="5395" spans="1:18" ht="19.5" hidden="1" thickBot="1" x14ac:dyDescent="0.3">
      <c r="A5395" s="967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5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  <c r="Q5395" s="2"/>
      <c r="R5395" s="2"/>
    </row>
    <row r="5396" spans="1:18" ht="19.5" hidden="1" thickBot="1" x14ac:dyDescent="0.3">
      <c r="A5396" s="967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5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  <c r="Q5396" s="2"/>
      <c r="R5396" s="2"/>
    </row>
    <row r="5397" spans="1:18" ht="19.5" hidden="1" thickBot="1" x14ac:dyDescent="0.3">
      <c r="A5397" s="968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5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  <c r="Q5397" s="2"/>
      <c r="R5397" s="2"/>
    </row>
    <row r="5398" spans="1:18" ht="19.5" hidden="1" thickBot="1" x14ac:dyDescent="0.3">
      <c r="A5398" s="955">
        <f t="shared" si="154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5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  <c r="Q5398" s="2"/>
      <c r="R5398" s="2"/>
    </row>
    <row r="5399" spans="1:18" ht="19.5" hidden="1" thickBot="1" x14ac:dyDescent="0.3">
      <c r="A5399" s="955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5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  <c r="Q5399" s="2"/>
      <c r="R5399" s="2"/>
    </row>
    <row r="5400" spans="1:18" ht="19.5" hidden="1" thickBot="1" x14ac:dyDescent="0.3">
      <c r="A5400" s="966">
        <f t="shared" si="154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5"/>
        <v>12,25</v>
      </c>
      <c r="L5400" s="535" t="s">
        <v>28</v>
      </c>
      <c r="M5400" s="535">
        <v>5066.34</v>
      </c>
      <c r="N5400" s="539">
        <v>0.5</v>
      </c>
      <c r="O5400" s="2"/>
      <c r="P5400" s="2"/>
      <c r="Q5400" s="2"/>
      <c r="R5400" s="2"/>
    </row>
    <row r="5401" spans="1:18" ht="19.5" hidden="1" thickBot="1" x14ac:dyDescent="0.3">
      <c r="A5401" s="968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5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  <c r="Q5401" s="2"/>
      <c r="R5401" s="2"/>
    </row>
    <row r="5402" spans="1:18" ht="49.5" hidden="1" customHeight="1" x14ac:dyDescent="0.25">
      <c r="A5402" s="955">
        <f t="shared" si="154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964" t="s">
        <v>1185</v>
      </c>
      <c r="H5402" s="527" t="s">
        <v>1184</v>
      </c>
      <c r="I5402" s="528" t="s">
        <v>1184</v>
      </c>
      <c r="J5402" s="529"/>
      <c r="K5402" s="527" t="str">
        <f t="shared" si="155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  <c r="Q5402" s="2"/>
      <c r="R5402" s="2"/>
    </row>
    <row r="5403" spans="1:18" ht="49.5" hidden="1" customHeight="1" thickBot="1" x14ac:dyDescent="0.3">
      <c r="A5403" s="955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964"/>
      <c r="H5403" s="499" t="s">
        <v>1184</v>
      </c>
      <c r="I5403" s="500" t="s">
        <v>1184</v>
      </c>
      <c r="J5403" s="501"/>
      <c r="K5403" s="499" t="str">
        <f t="shared" si="155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  <c r="Q5403" s="2"/>
      <c r="R5403" s="2"/>
    </row>
    <row r="5404" spans="1:18" ht="19.5" hidden="1" thickBot="1" x14ac:dyDescent="0.3">
      <c r="A5404" s="503">
        <f t="shared" si="154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5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  <c r="Q5404" s="2"/>
      <c r="R5404" s="2"/>
    </row>
    <row r="5405" spans="1:18" ht="19.5" hidden="1" thickBot="1" x14ac:dyDescent="0.3">
      <c r="A5405" s="672">
        <f t="shared" si="154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5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  <c r="Q5405" s="2"/>
      <c r="R5405" s="2"/>
    </row>
    <row r="5406" spans="1:18" ht="19.5" hidden="1" thickBot="1" x14ac:dyDescent="0.3">
      <c r="A5406" s="966">
        <f t="shared" si="154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5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  <c r="Q5406" s="2"/>
      <c r="R5406" s="2"/>
    </row>
    <row r="5407" spans="1:18" ht="19.5" hidden="1" thickBot="1" x14ac:dyDescent="0.3">
      <c r="A5407" s="967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5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  <c r="Q5407" s="2"/>
      <c r="R5407" s="2"/>
    </row>
    <row r="5408" spans="1:18" ht="19.5" hidden="1" thickBot="1" x14ac:dyDescent="0.3">
      <c r="A5408" s="954">
        <f t="shared" si="154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963" t="s">
        <v>467</v>
      </c>
      <c r="H5408" s="483" t="s">
        <v>1184</v>
      </c>
      <c r="I5408" s="484" t="s">
        <v>1189</v>
      </c>
      <c r="J5408" s="485"/>
      <c r="K5408" s="483" t="str">
        <f t="shared" si="155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  <c r="Q5408" s="2"/>
      <c r="R5408" s="2"/>
    </row>
    <row r="5409" spans="1:18" ht="19.5" hidden="1" thickBot="1" x14ac:dyDescent="0.3">
      <c r="A5409" s="956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965"/>
      <c r="H5409" s="649" t="s">
        <v>1186</v>
      </c>
      <c r="I5409" s="651" t="s">
        <v>1189</v>
      </c>
      <c r="J5409" s="652"/>
      <c r="K5409" s="649" t="str">
        <f t="shared" si="155"/>
        <v>12,25</v>
      </c>
      <c r="L5409" s="649" t="s">
        <v>266</v>
      </c>
      <c r="M5409" s="649">
        <v>1418.4</v>
      </c>
      <c r="N5409" s="653">
        <v>0.375</v>
      </c>
      <c r="O5409" s="2"/>
      <c r="P5409" s="2"/>
      <c r="Q5409" s="2"/>
      <c r="R5409" s="2"/>
    </row>
    <row r="5410" spans="1:18" ht="38.25" hidden="1" thickBot="1" x14ac:dyDescent="0.3">
      <c r="A5410" s="503">
        <f t="shared" si="154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5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  <c r="Q5410" s="2"/>
      <c r="R5410" s="2"/>
    </row>
    <row r="5411" spans="1:18" ht="19.5" hidden="1" thickBot="1" x14ac:dyDescent="0.3">
      <c r="A5411" s="513">
        <f t="shared" si="154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5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  <c r="Q5411" s="2"/>
      <c r="R5411" s="2"/>
    </row>
    <row r="5412" spans="1:18" ht="19.5" hidden="1" thickBot="1" x14ac:dyDescent="0.3">
      <c r="A5412" s="966">
        <f t="shared" si="154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5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  <c r="Q5412" s="2"/>
      <c r="R5412" s="2"/>
    </row>
    <row r="5413" spans="1:18" ht="19.5" hidden="1" thickBot="1" x14ac:dyDescent="0.3">
      <c r="A5413" s="967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5"/>
        <v>12,25</v>
      </c>
      <c r="L5413" s="594" t="s">
        <v>266</v>
      </c>
      <c r="M5413" s="594">
        <v>2751.77</v>
      </c>
      <c r="N5413" s="598">
        <v>0.5</v>
      </c>
      <c r="O5413" s="2"/>
      <c r="P5413" s="2"/>
      <c r="Q5413" s="2"/>
      <c r="R5413" s="2"/>
    </row>
    <row r="5414" spans="1:18" ht="19.5" hidden="1" thickBot="1" x14ac:dyDescent="0.3">
      <c r="A5414" s="513">
        <f t="shared" si="154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5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  <c r="Q5414" s="2"/>
      <c r="R5414" s="2"/>
    </row>
    <row r="5415" spans="1:18" ht="19.5" hidden="1" thickBot="1" x14ac:dyDescent="0.3">
      <c r="A5415" s="503">
        <f t="shared" si="154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5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  <c r="Q5415" s="2"/>
      <c r="R5415" s="2"/>
    </row>
    <row r="5416" spans="1:18" ht="19.5" hidden="1" thickBot="1" x14ac:dyDescent="0.3">
      <c r="A5416" s="954">
        <f t="shared" si="154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963" t="s">
        <v>467</v>
      </c>
      <c r="H5416" s="483" t="s">
        <v>1188</v>
      </c>
      <c r="I5416" s="484" t="s">
        <v>1189</v>
      </c>
      <c r="J5416" s="485"/>
      <c r="K5416" s="483" t="str">
        <f t="shared" si="155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  <c r="Q5416" s="2"/>
      <c r="R5416" s="2"/>
    </row>
    <row r="5417" spans="1:18" ht="19.5" hidden="1" thickBot="1" x14ac:dyDescent="0.3">
      <c r="A5417" s="955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964"/>
      <c r="H5417" s="499" t="s">
        <v>1188</v>
      </c>
      <c r="I5417" s="500" t="s">
        <v>1189</v>
      </c>
      <c r="J5417" s="501"/>
      <c r="K5417" s="499" t="str">
        <f t="shared" si="155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  <c r="Q5417" s="2"/>
      <c r="R5417" s="2"/>
    </row>
    <row r="5418" spans="1:18" ht="19.5" hidden="1" thickBot="1" x14ac:dyDescent="0.3">
      <c r="A5418" s="966">
        <f t="shared" si="154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5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  <c r="Q5418" s="2"/>
      <c r="R5418" s="2"/>
    </row>
    <row r="5419" spans="1:18" ht="19.5" hidden="1" thickBot="1" x14ac:dyDescent="0.3">
      <c r="A5419" s="968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5"/>
        <v>12,25</v>
      </c>
      <c r="L5419" s="640" t="s">
        <v>265</v>
      </c>
      <c r="M5419" s="640">
        <v>6470.5</v>
      </c>
      <c r="N5419" s="644">
        <v>0.375</v>
      </c>
      <c r="O5419" s="2"/>
      <c r="P5419" s="2"/>
      <c r="Q5419" s="2"/>
      <c r="R5419" s="2"/>
    </row>
    <row r="5420" spans="1:18" ht="19.5" hidden="1" thickBot="1" x14ac:dyDescent="0.3">
      <c r="A5420" s="954">
        <f t="shared" si="154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5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  <c r="Q5420" s="2"/>
      <c r="R5420" s="2"/>
    </row>
    <row r="5421" spans="1:18" ht="19.5" hidden="1" thickBot="1" x14ac:dyDescent="0.3">
      <c r="A5421" s="956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5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  <c r="Q5421" s="2"/>
      <c r="R5421" s="2"/>
    </row>
    <row r="5422" spans="1:18" ht="19.5" hidden="1" thickBot="1" x14ac:dyDescent="0.3">
      <c r="A5422" s="503">
        <f t="shared" si="154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5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  <c r="Q5422" s="2"/>
      <c r="R5422" s="2"/>
    </row>
    <row r="5423" spans="1:18" ht="19.5" hidden="1" thickBot="1" x14ac:dyDescent="0.3">
      <c r="A5423" s="513">
        <f t="shared" si="154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5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  <c r="Q5423" s="2"/>
      <c r="R5423" s="2"/>
    </row>
    <row r="5424" spans="1:18" ht="19.5" hidden="1" thickBot="1" x14ac:dyDescent="0.3">
      <c r="A5424" s="551">
        <f t="shared" si="154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5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  <c r="Q5424" s="2"/>
      <c r="R5424" s="2"/>
    </row>
    <row r="5425" spans="1:18" ht="19.5" hidden="1" thickBot="1" x14ac:dyDescent="0.3">
      <c r="A5425" s="513">
        <f t="shared" si="154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5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  <c r="Q5425" s="2"/>
      <c r="R5425" s="2"/>
    </row>
    <row r="5426" spans="1:18" ht="19.5" hidden="1" thickBot="1" x14ac:dyDescent="0.3">
      <c r="A5426" s="503">
        <f t="shared" si="154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5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  <c r="Q5426" s="2"/>
      <c r="R5426" s="2"/>
    </row>
    <row r="5427" spans="1:18" ht="19.5" hidden="1" thickBot="1" x14ac:dyDescent="0.3">
      <c r="A5427" s="513">
        <f t="shared" si="154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5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  <c r="Q5427" s="2"/>
      <c r="R5427" s="2"/>
    </row>
    <row r="5428" spans="1:18" ht="19.5" hidden="1" thickBot="1" x14ac:dyDescent="0.3">
      <c r="A5428" s="966">
        <f t="shared" si="154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5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  <c r="Q5428" s="2"/>
      <c r="R5428" s="2"/>
    </row>
    <row r="5429" spans="1:18" ht="19.5" hidden="1" thickBot="1" x14ac:dyDescent="0.3">
      <c r="A5429" s="968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5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  <c r="Q5429" s="2"/>
      <c r="R5429" s="2"/>
    </row>
    <row r="5430" spans="1:18" ht="19.5" hidden="1" thickBot="1" x14ac:dyDescent="0.3">
      <c r="A5430" s="954">
        <f t="shared" si="154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5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  <c r="Q5430" s="2"/>
      <c r="R5430" s="2"/>
    </row>
    <row r="5431" spans="1:18" ht="19.5" hidden="1" thickBot="1" x14ac:dyDescent="0.3">
      <c r="A5431" s="956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6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  <c r="Q5431" s="2"/>
      <c r="R5431" s="2"/>
    </row>
    <row r="5432" spans="1:18" ht="19.5" hidden="1" thickBot="1" x14ac:dyDescent="0.3">
      <c r="A5432" s="966">
        <f t="shared" si="154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6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  <c r="Q5432" s="2"/>
      <c r="R5432" s="2"/>
    </row>
    <row r="5433" spans="1:18" ht="19.5" hidden="1" thickBot="1" x14ac:dyDescent="0.3">
      <c r="A5433" s="968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6"/>
        <v>01,26</v>
      </c>
      <c r="L5433" s="640" t="s">
        <v>28</v>
      </c>
      <c r="M5433" s="640">
        <v>8772.86</v>
      </c>
      <c r="N5433" s="644">
        <v>0.5</v>
      </c>
      <c r="O5433" s="2"/>
      <c r="P5433" s="2"/>
      <c r="Q5433" s="2"/>
      <c r="R5433" s="2"/>
    </row>
    <row r="5434" spans="1:18" ht="19.5" hidden="1" thickBot="1" x14ac:dyDescent="0.3">
      <c r="A5434" s="513">
        <f t="shared" ref="A5434:A5454" si="157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6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  <c r="Q5434" s="2"/>
      <c r="R5434" s="2"/>
    </row>
    <row r="5435" spans="1:18" ht="19.5" hidden="1" thickBot="1" x14ac:dyDescent="0.3">
      <c r="A5435" s="551">
        <f t="shared" si="157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6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  <c r="Q5435" s="2"/>
      <c r="R5435" s="2"/>
    </row>
    <row r="5436" spans="1:18" ht="19.5" hidden="1" thickBot="1" x14ac:dyDescent="0.3">
      <c r="A5436" s="954">
        <f t="shared" si="157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963" t="s">
        <v>1195</v>
      </c>
      <c r="H5436" s="483" t="s">
        <v>1194</v>
      </c>
      <c r="I5436" s="484" t="s">
        <v>1197</v>
      </c>
      <c r="J5436" s="485"/>
      <c r="K5436" s="483" t="str">
        <f t="shared" si="156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  <c r="Q5436" s="2"/>
      <c r="R5436" s="2"/>
    </row>
    <row r="5437" spans="1:18" ht="19.5" hidden="1" thickBot="1" x14ac:dyDescent="0.3">
      <c r="A5437" s="956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965"/>
      <c r="H5437" s="649" t="s">
        <v>1194</v>
      </c>
      <c r="I5437" s="651" t="s">
        <v>1197</v>
      </c>
      <c r="J5437" s="652"/>
      <c r="K5437" s="649" t="str">
        <f t="shared" si="156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  <c r="Q5437" s="2"/>
      <c r="R5437" s="2"/>
    </row>
    <row r="5438" spans="1:18" ht="19.5" hidden="1" thickBot="1" x14ac:dyDescent="0.3">
      <c r="A5438" s="503">
        <f t="shared" si="157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6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  <c r="Q5438" s="2"/>
      <c r="R5438" s="2"/>
    </row>
    <row r="5439" spans="1:18" ht="19.5" hidden="1" thickBot="1" x14ac:dyDescent="0.3">
      <c r="A5439" s="954">
        <f t="shared" si="157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6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  <c r="Q5439" s="2"/>
      <c r="R5439" s="2"/>
    </row>
    <row r="5440" spans="1:18" ht="19.5" hidden="1" thickBot="1" x14ac:dyDescent="0.3">
      <c r="A5440" s="956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6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  <c r="Q5440" s="2"/>
      <c r="R5440" s="2"/>
    </row>
    <row r="5441" spans="1:18" ht="19.5" hidden="1" thickBot="1" x14ac:dyDescent="0.3">
      <c r="A5441" s="966">
        <f t="shared" si="157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6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  <c r="Q5441" s="2"/>
      <c r="R5441" s="2"/>
    </row>
    <row r="5442" spans="1:18" ht="19.5" hidden="1" thickBot="1" x14ac:dyDescent="0.3">
      <c r="A5442" s="968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6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  <c r="Q5442" s="2"/>
      <c r="R5442" s="2"/>
    </row>
    <row r="5443" spans="1:18" ht="19.5" hidden="1" thickBot="1" x14ac:dyDescent="0.3">
      <c r="A5443" s="954">
        <f t="shared" si="157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6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  <c r="Q5443" s="2"/>
      <c r="R5443" s="2"/>
    </row>
    <row r="5444" spans="1:18" ht="19.5" hidden="1" thickBot="1" x14ac:dyDescent="0.3">
      <c r="A5444" s="956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6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  <c r="Q5444" s="2"/>
      <c r="R5444" s="2"/>
    </row>
    <row r="5445" spans="1:18" ht="19.5" hidden="1" thickBot="1" x14ac:dyDescent="0.3">
      <c r="A5445" s="966">
        <f t="shared" si="157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6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  <c r="Q5445" s="2"/>
      <c r="R5445" s="2"/>
    </row>
    <row r="5446" spans="1:18" ht="19.5" hidden="1" thickBot="1" x14ac:dyDescent="0.3">
      <c r="A5446" s="968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6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  <c r="Q5446" s="2"/>
      <c r="R5446" s="2"/>
    </row>
    <row r="5447" spans="1:18" ht="57" hidden="1" thickBot="1" x14ac:dyDescent="0.3">
      <c r="A5447" s="513">
        <f t="shared" si="157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6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  <c r="Q5447" s="2"/>
      <c r="R5447" s="2"/>
    </row>
    <row r="5448" spans="1:18" ht="38.25" hidden="1" thickBot="1" x14ac:dyDescent="0.3">
      <c r="A5448" s="503">
        <f t="shared" si="157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6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  <c r="Q5448" s="2"/>
      <c r="R5448" s="2"/>
    </row>
    <row r="5449" spans="1:18" ht="19.5" hidden="1" thickBot="1" x14ac:dyDescent="0.3">
      <c r="A5449" s="954">
        <f t="shared" si="157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6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  <c r="Q5449" s="2"/>
      <c r="R5449" s="2"/>
    </row>
    <row r="5450" spans="1:18" ht="19.5" hidden="1" thickBot="1" x14ac:dyDescent="0.3">
      <c r="A5450" s="955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6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  <c r="Q5450" s="2"/>
      <c r="R5450" s="2"/>
    </row>
    <row r="5451" spans="1:18" ht="19.5" hidden="1" thickBot="1" x14ac:dyDescent="0.3">
      <c r="A5451" s="956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6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  <c r="Q5451" s="2"/>
      <c r="R5451" s="2"/>
    </row>
    <row r="5452" spans="1:18" ht="19.5" hidden="1" thickBot="1" x14ac:dyDescent="0.3">
      <c r="A5452" s="966">
        <f t="shared" si="157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6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  <c r="Q5452" s="2"/>
      <c r="R5452" s="2"/>
    </row>
    <row r="5453" spans="1:18" ht="19.5" hidden="1" thickBot="1" x14ac:dyDescent="0.3">
      <c r="A5453" s="968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6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  <c r="Q5453" s="2"/>
      <c r="R5453" s="2"/>
    </row>
    <row r="5454" spans="1:18" ht="19.5" hidden="1" thickBot="1" x14ac:dyDescent="0.3">
      <c r="A5454" s="572">
        <f t="shared" si="157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6"/>
        <v>01,26</v>
      </c>
      <c r="L5454" s="577" t="s">
        <v>28</v>
      </c>
      <c r="M5454" s="577">
        <v>9398.4</v>
      </c>
      <c r="N5454" s="581">
        <v>0.5</v>
      </c>
      <c r="O5454" s="2"/>
      <c r="P5454" s="2"/>
      <c r="Q5454" s="2"/>
      <c r="R5454" s="2"/>
    </row>
    <row r="5455" spans="1:18" ht="19.5" hidden="1" thickBot="1" x14ac:dyDescent="0.3">
      <c r="A5455" s="966">
        <f t="shared" ref="A5455:A5518" si="158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6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  <c r="Q5455" s="2"/>
      <c r="R5455" s="2"/>
    </row>
    <row r="5456" spans="1:18" ht="19.5" hidden="1" thickBot="1" x14ac:dyDescent="0.3">
      <c r="A5456" s="968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6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  <c r="Q5456" s="2"/>
      <c r="R5456" s="2"/>
    </row>
    <row r="5457" spans="1:18" ht="19.5" hidden="1" thickBot="1" x14ac:dyDescent="0.3">
      <c r="A5457" s="513">
        <f t="shared" si="158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6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  <c r="Q5457" s="2"/>
      <c r="R5457" s="2"/>
    </row>
    <row r="5458" spans="1:18" ht="19.5" hidden="1" thickBot="1" x14ac:dyDescent="0.3">
      <c r="A5458" s="503">
        <f t="shared" si="158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6"/>
        <v>01,26</v>
      </c>
      <c r="L5458" s="508" t="s">
        <v>266</v>
      </c>
      <c r="M5458" s="508">
        <v>18154.95</v>
      </c>
      <c r="N5458" s="512">
        <v>0.5</v>
      </c>
      <c r="O5458" s="2"/>
      <c r="P5458" s="2"/>
      <c r="Q5458" s="2"/>
      <c r="R5458" s="2"/>
    </row>
    <row r="5459" spans="1:18" ht="19.5" hidden="1" thickBot="1" x14ac:dyDescent="0.3">
      <c r="A5459" s="513">
        <f t="shared" si="158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6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  <c r="Q5459" s="2"/>
      <c r="R5459" s="2"/>
    </row>
    <row r="5460" spans="1:18" ht="19.5" hidden="1" thickBot="1" x14ac:dyDescent="0.3">
      <c r="A5460" s="551">
        <f t="shared" si="158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6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  <c r="Q5460" s="2"/>
      <c r="R5460" s="2"/>
    </row>
    <row r="5461" spans="1:18" ht="19.5" hidden="1" thickBot="1" x14ac:dyDescent="0.3">
      <c r="A5461" s="513">
        <f t="shared" si="158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6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  <c r="Q5461" s="2"/>
      <c r="R5461" s="2"/>
    </row>
    <row r="5462" spans="1:18" ht="19.5" hidden="1" thickBot="1" x14ac:dyDescent="0.3">
      <c r="A5462" s="503">
        <f t="shared" si="158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6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  <c r="Q5462" s="2"/>
      <c r="R5462" s="2"/>
    </row>
    <row r="5463" spans="1:18" ht="19.5" hidden="1" thickBot="1" x14ac:dyDescent="0.3">
      <c r="A5463" s="513">
        <f t="shared" si="158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6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  <c r="Q5463" s="2"/>
      <c r="R5463" s="2"/>
    </row>
    <row r="5464" spans="1:18" ht="19.5" hidden="1" thickBot="1" x14ac:dyDescent="0.3">
      <c r="A5464" s="966">
        <f t="shared" si="158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6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  <c r="Q5464" s="2"/>
      <c r="R5464" s="2"/>
    </row>
    <row r="5465" spans="1:18" ht="19.5" hidden="1" thickBot="1" x14ac:dyDescent="0.3">
      <c r="A5465" s="967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6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  <c r="Q5465" s="2"/>
      <c r="R5465" s="2"/>
    </row>
    <row r="5466" spans="1:18" ht="19.5" hidden="1" thickBot="1" x14ac:dyDescent="0.3">
      <c r="A5466" s="967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6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  <c r="Q5466" s="2"/>
      <c r="R5466" s="2"/>
    </row>
    <row r="5467" spans="1:18" ht="19.5" hidden="1" thickBot="1" x14ac:dyDescent="0.3">
      <c r="A5467" s="954">
        <f t="shared" si="158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6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  <c r="Q5467" s="2"/>
      <c r="R5467" s="2"/>
    </row>
    <row r="5468" spans="1:18" ht="19.5" hidden="1" thickBot="1" x14ac:dyDescent="0.3">
      <c r="A5468" s="956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6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  <c r="Q5468" s="2"/>
      <c r="R5468" s="2"/>
    </row>
    <row r="5469" spans="1:18" ht="19.5" hidden="1" thickBot="1" x14ac:dyDescent="0.3">
      <c r="A5469" s="503">
        <f t="shared" si="158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6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  <c r="Q5469" s="2"/>
      <c r="R5469" s="2"/>
    </row>
    <row r="5470" spans="1:18" ht="19.5" hidden="1" thickBot="1" x14ac:dyDescent="0.3">
      <c r="A5470" s="954">
        <f t="shared" si="158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6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  <c r="Q5470" s="2"/>
      <c r="R5470" s="2"/>
    </row>
    <row r="5471" spans="1:18" ht="38.25" hidden="1" thickBot="1" x14ac:dyDescent="0.3">
      <c r="A5471" s="956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6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  <c r="Q5471" s="2"/>
      <c r="R5471" s="2"/>
    </row>
    <row r="5472" spans="1:18" ht="19.5" hidden="1" thickBot="1" x14ac:dyDescent="0.3">
      <c r="A5472" s="966">
        <f t="shared" si="158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6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  <c r="Q5472" s="2"/>
      <c r="R5472" s="2"/>
    </row>
    <row r="5473" spans="1:18" ht="57" hidden="1" thickBot="1" x14ac:dyDescent="0.3">
      <c r="A5473" s="967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6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  <c r="Q5473" s="2"/>
      <c r="R5473" s="2"/>
    </row>
    <row r="5474" spans="1:18" ht="19.5" hidden="1" thickBot="1" x14ac:dyDescent="0.3">
      <c r="A5474" s="968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6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  <c r="Q5474" s="2"/>
      <c r="R5474" s="2"/>
    </row>
    <row r="5475" spans="1:18" ht="19.5" hidden="1" thickBot="1" x14ac:dyDescent="0.3">
      <c r="A5475" s="513">
        <f t="shared" si="158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6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  <c r="Q5475" s="2"/>
      <c r="R5475" s="2"/>
    </row>
    <row r="5476" spans="1:18" ht="19.5" hidden="1" thickBot="1" x14ac:dyDescent="0.3">
      <c r="A5476" s="966">
        <f t="shared" si="158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6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  <c r="Q5476" s="2"/>
      <c r="R5476" s="2"/>
    </row>
    <row r="5477" spans="1:18" ht="19.5" hidden="1" thickBot="1" x14ac:dyDescent="0.3">
      <c r="A5477" s="967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6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  <c r="Q5477" s="2"/>
      <c r="R5477" s="2"/>
    </row>
    <row r="5478" spans="1:18" ht="19.5" hidden="1" thickBot="1" x14ac:dyDescent="0.3">
      <c r="A5478" s="968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6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  <c r="Q5478" s="2"/>
      <c r="R5478" s="2"/>
    </row>
    <row r="5479" spans="1:18" ht="19.5" hidden="1" thickBot="1" x14ac:dyDescent="0.3">
      <c r="A5479" s="954">
        <f t="shared" si="158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6"/>
        <v>01,26</v>
      </c>
      <c r="L5479" s="483" t="s">
        <v>28</v>
      </c>
      <c r="M5479" s="483">
        <v>2025</v>
      </c>
      <c r="N5479" s="486">
        <v>0.5</v>
      </c>
      <c r="O5479" s="2"/>
      <c r="P5479" s="2"/>
      <c r="Q5479" s="2"/>
      <c r="R5479" s="2"/>
    </row>
    <row r="5480" spans="1:18" ht="19.5" hidden="1" thickBot="1" x14ac:dyDescent="0.3">
      <c r="A5480" s="955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6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  <c r="Q5480" s="2"/>
      <c r="R5480" s="2"/>
    </row>
    <row r="5481" spans="1:18" ht="19.5" hidden="1" thickBot="1" x14ac:dyDescent="0.3">
      <c r="A5481" s="956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6"/>
        <v>01,26</v>
      </c>
      <c r="L5481" s="649" t="s">
        <v>28</v>
      </c>
      <c r="M5481" s="649">
        <v>1197.04</v>
      </c>
      <c r="N5481" s="653">
        <v>0.5</v>
      </c>
      <c r="O5481" s="2"/>
      <c r="P5481" s="2"/>
      <c r="Q5481" s="2"/>
      <c r="R5481" s="2"/>
    </row>
    <row r="5482" spans="1:18" ht="19.5" hidden="1" thickBot="1" x14ac:dyDescent="0.3">
      <c r="A5482" s="966">
        <f t="shared" si="158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6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  <c r="Q5482" s="2"/>
      <c r="R5482" s="2"/>
    </row>
    <row r="5483" spans="1:18" ht="19.5" hidden="1" thickBot="1" x14ac:dyDescent="0.3">
      <c r="A5483" s="967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6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  <c r="Q5483" s="2"/>
      <c r="R5483" s="2"/>
    </row>
    <row r="5484" spans="1:18" ht="19.5" hidden="1" thickBot="1" x14ac:dyDescent="0.3">
      <c r="A5484" s="968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6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  <c r="Q5484" s="2"/>
      <c r="R5484" s="2"/>
    </row>
    <row r="5485" spans="1:18" ht="19.5" hidden="1" thickBot="1" x14ac:dyDescent="0.3">
      <c r="A5485" s="954">
        <f t="shared" si="158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6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  <c r="Q5485" s="2"/>
      <c r="R5485" s="2"/>
    </row>
    <row r="5486" spans="1:18" ht="19.5" hidden="1" thickBot="1" x14ac:dyDescent="0.3">
      <c r="A5486" s="955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6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  <c r="Q5486" s="2"/>
      <c r="R5486" s="2"/>
    </row>
    <row r="5487" spans="1:18" ht="19.5" hidden="1" thickBot="1" x14ac:dyDescent="0.3">
      <c r="A5487" s="503">
        <f t="shared" si="158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6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  <c r="Q5487" s="2"/>
      <c r="R5487" s="2"/>
    </row>
    <row r="5488" spans="1:18" ht="19.5" hidden="1" thickBot="1" x14ac:dyDescent="0.3">
      <c r="A5488" s="513">
        <f t="shared" si="158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6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  <c r="Q5488" s="2"/>
      <c r="R5488" s="2"/>
    </row>
    <row r="5489" spans="1:18" ht="19.5" hidden="1" thickBot="1" x14ac:dyDescent="0.3">
      <c r="A5489" s="966">
        <f t="shared" si="158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976" t="s">
        <v>1206</v>
      </c>
      <c r="H5489" s="535" t="s">
        <v>1205</v>
      </c>
      <c r="I5489" s="537" t="s">
        <v>1205</v>
      </c>
      <c r="J5489" s="538"/>
      <c r="K5489" s="535" t="str">
        <f t="shared" si="156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  <c r="Q5489" s="2"/>
      <c r="R5489" s="2"/>
    </row>
    <row r="5490" spans="1:18" ht="19.5" hidden="1" thickBot="1" x14ac:dyDescent="0.3">
      <c r="A5490" s="968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975"/>
      <c r="H5490" s="640" t="s">
        <v>1205</v>
      </c>
      <c r="I5490" s="642" t="s">
        <v>1205</v>
      </c>
      <c r="J5490" s="643"/>
      <c r="K5490" s="640" t="str">
        <f t="shared" si="156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  <c r="Q5490" s="2"/>
      <c r="R5490" s="2"/>
    </row>
    <row r="5491" spans="1:18" ht="38.25" hidden="1" thickBot="1" x14ac:dyDescent="0.3">
      <c r="A5491" s="513">
        <f t="shared" si="158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6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  <c r="Q5491" s="2"/>
      <c r="R5491" s="2"/>
    </row>
    <row r="5492" spans="1:18" ht="19.5" hidden="1" thickBot="1" x14ac:dyDescent="0.3">
      <c r="A5492" s="503">
        <f t="shared" si="158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6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  <c r="Q5492" s="2"/>
      <c r="R5492" s="2"/>
    </row>
    <row r="5493" spans="1:18" ht="19.5" hidden="1" thickBot="1" x14ac:dyDescent="0.3">
      <c r="A5493" s="954">
        <f t="shared" si="158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6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  <c r="Q5493" s="2"/>
      <c r="R5493" s="2"/>
    </row>
    <row r="5494" spans="1:18" ht="19.5" hidden="1" thickBot="1" x14ac:dyDescent="0.3">
      <c r="A5494" s="955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6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  <c r="Q5494" s="2"/>
      <c r="R5494" s="2"/>
    </row>
    <row r="5495" spans="1:18" ht="19.5" hidden="1" thickBot="1" x14ac:dyDescent="0.3">
      <c r="A5495" s="956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9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  <c r="Q5495" s="2"/>
      <c r="R5495" s="2"/>
    </row>
    <row r="5496" spans="1:18" ht="19.5" hidden="1" thickBot="1" x14ac:dyDescent="0.3">
      <c r="A5496" s="503">
        <f t="shared" si="158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9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  <c r="Q5496" s="2"/>
      <c r="R5496" s="2"/>
    </row>
    <row r="5497" spans="1:18" ht="19.5" hidden="1" thickBot="1" x14ac:dyDescent="0.3">
      <c r="A5497" s="954">
        <f t="shared" si="158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9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  <c r="Q5497" s="2"/>
      <c r="R5497" s="2"/>
    </row>
    <row r="5498" spans="1:18" ht="19.5" hidden="1" thickBot="1" x14ac:dyDescent="0.3">
      <c r="A5498" s="956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9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  <c r="Q5498" s="2"/>
      <c r="R5498" s="2"/>
    </row>
    <row r="5499" spans="1:18" ht="19.5" hidden="1" thickBot="1" x14ac:dyDescent="0.3">
      <c r="A5499" s="966">
        <f t="shared" si="158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9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  <c r="Q5499" s="2"/>
      <c r="R5499" s="2"/>
    </row>
    <row r="5500" spans="1:18" ht="19.5" hidden="1" thickBot="1" x14ac:dyDescent="0.3">
      <c r="A5500" s="968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9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  <c r="Q5500" s="2"/>
      <c r="R5500" s="2"/>
    </row>
    <row r="5501" spans="1:18" ht="19.5" hidden="1" thickBot="1" x14ac:dyDescent="0.3">
      <c r="A5501" s="954">
        <f t="shared" si="158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9"/>
        <v>01,26</v>
      </c>
      <c r="L5501" s="483" t="s">
        <v>28</v>
      </c>
      <c r="M5501" s="483">
        <v>4416.8</v>
      </c>
      <c r="N5501" s="486">
        <v>0.5</v>
      </c>
      <c r="O5501" s="2"/>
      <c r="P5501" s="2"/>
      <c r="Q5501" s="2"/>
      <c r="R5501" s="2"/>
    </row>
    <row r="5502" spans="1:18" ht="19.5" hidden="1" thickBot="1" x14ac:dyDescent="0.3">
      <c r="A5502" s="956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9"/>
        <v>01,26</v>
      </c>
      <c r="L5502" s="649" t="s">
        <v>28</v>
      </c>
      <c r="M5502" s="649">
        <v>6702.72</v>
      </c>
      <c r="N5502" s="653">
        <v>0.5</v>
      </c>
      <c r="O5502" s="2"/>
      <c r="P5502" s="2"/>
      <c r="Q5502" s="2"/>
      <c r="R5502" s="2"/>
    </row>
    <row r="5503" spans="1:18" ht="19.5" hidden="1" thickBot="1" x14ac:dyDescent="0.3">
      <c r="A5503" s="551">
        <f t="shared" si="158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9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  <c r="Q5503" s="2"/>
      <c r="R5503" s="2"/>
    </row>
    <row r="5504" spans="1:18" ht="19.5" hidden="1" thickBot="1" x14ac:dyDescent="0.3">
      <c r="A5504" s="954">
        <f t="shared" si="158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963" t="s">
        <v>1209</v>
      </c>
      <c r="H5504" s="483" t="s">
        <v>1208</v>
      </c>
      <c r="I5504" s="484" t="s">
        <v>1211</v>
      </c>
      <c r="J5504" s="485"/>
      <c r="K5504" s="483" t="str">
        <f t="shared" si="159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  <c r="Q5504" s="2"/>
      <c r="R5504" s="2"/>
    </row>
    <row r="5505" spans="1:18" ht="19.5" hidden="1" thickBot="1" x14ac:dyDescent="0.3">
      <c r="A5505" s="956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965"/>
      <c r="H5505" s="649" t="s">
        <v>1208</v>
      </c>
      <c r="I5505" s="651" t="s">
        <v>1211</v>
      </c>
      <c r="J5505" s="652"/>
      <c r="K5505" s="649" t="str">
        <f t="shared" si="159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  <c r="Q5505" s="2"/>
      <c r="R5505" s="2"/>
    </row>
    <row r="5506" spans="1:18" ht="38.25" hidden="1" thickBot="1" x14ac:dyDescent="0.3">
      <c r="A5506" s="503">
        <f t="shared" si="158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9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  <c r="Q5506" s="2"/>
      <c r="R5506" s="2"/>
    </row>
    <row r="5507" spans="1:18" ht="19.5" hidden="1" thickBot="1" x14ac:dyDescent="0.3">
      <c r="A5507" s="954">
        <f t="shared" si="158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9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  <c r="Q5507" s="2"/>
      <c r="R5507" s="2"/>
    </row>
    <row r="5508" spans="1:18" ht="19.5" hidden="1" thickBot="1" x14ac:dyDescent="0.3">
      <c r="A5508" s="956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9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  <c r="Q5508" s="2"/>
      <c r="R5508" s="2"/>
    </row>
    <row r="5509" spans="1:18" ht="19.5" hidden="1" thickBot="1" x14ac:dyDescent="0.3">
      <c r="A5509" s="503">
        <f t="shared" si="158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9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  <c r="Q5509" s="2"/>
      <c r="R5509" s="2"/>
    </row>
    <row r="5510" spans="1:18" ht="19.5" hidden="1" thickBot="1" x14ac:dyDescent="0.3">
      <c r="A5510" s="572">
        <f t="shared" si="158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9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  <c r="Q5510" s="2"/>
      <c r="R5510" s="2"/>
    </row>
    <row r="5511" spans="1:18" ht="19.5" hidden="1" thickBot="1" x14ac:dyDescent="0.3">
      <c r="A5511" s="966">
        <f t="shared" si="158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9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  <c r="Q5511" s="2"/>
      <c r="R5511" s="2"/>
    </row>
    <row r="5512" spans="1:18" ht="19.5" hidden="1" thickBot="1" x14ac:dyDescent="0.3">
      <c r="A5512" s="968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9"/>
        <v>01,26</v>
      </c>
      <c r="L5512" s="640" t="s">
        <v>265</v>
      </c>
      <c r="M5512" s="640">
        <v>5843.7</v>
      </c>
      <c r="N5512" s="644">
        <v>0.375</v>
      </c>
      <c r="O5512" s="2"/>
      <c r="P5512" s="2"/>
      <c r="Q5512" s="2"/>
      <c r="R5512" s="2"/>
    </row>
    <row r="5513" spans="1:18" ht="19.5" hidden="1" thickBot="1" x14ac:dyDescent="0.3">
      <c r="A5513" s="954">
        <f t="shared" si="158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9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  <c r="Q5513" s="2"/>
      <c r="R5513" s="2"/>
    </row>
    <row r="5514" spans="1:18" ht="19.5" hidden="1" thickBot="1" x14ac:dyDescent="0.3">
      <c r="A5514" s="956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9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  <c r="Q5514" s="2"/>
      <c r="R5514" s="2"/>
    </row>
    <row r="5515" spans="1:18" ht="19.5" hidden="1" thickBot="1" x14ac:dyDescent="0.3">
      <c r="A5515" s="966">
        <f t="shared" si="158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976" t="s">
        <v>467</v>
      </c>
      <c r="H5515" s="535" t="s">
        <v>1212</v>
      </c>
      <c r="I5515" s="537" t="s">
        <v>1213</v>
      </c>
      <c r="J5515" s="538"/>
      <c r="K5515" s="535" t="str">
        <f t="shared" si="159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  <c r="Q5515" s="2"/>
      <c r="R5515" s="2"/>
    </row>
    <row r="5516" spans="1:18" ht="19.5" hidden="1" thickBot="1" x14ac:dyDescent="0.3">
      <c r="A5516" s="968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975"/>
      <c r="H5516" s="640" t="s">
        <v>1212</v>
      </c>
      <c r="I5516" s="642" t="s">
        <v>1213</v>
      </c>
      <c r="J5516" s="643"/>
      <c r="K5516" s="640" t="str">
        <f t="shared" si="159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  <c r="Q5516" s="2"/>
      <c r="R5516" s="2"/>
    </row>
    <row r="5517" spans="1:18" ht="19.5" hidden="1" thickBot="1" x14ac:dyDescent="0.3">
      <c r="A5517" s="513">
        <f t="shared" si="158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9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  <c r="Q5517" s="2"/>
      <c r="R5517" s="2"/>
    </row>
    <row r="5518" spans="1:18" ht="19.5" hidden="1" thickBot="1" x14ac:dyDescent="0.3">
      <c r="A5518" s="966">
        <f t="shared" si="158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9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  <c r="Q5518" s="2"/>
      <c r="R5518" s="2"/>
    </row>
    <row r="5519" spans="1:18" ht="19.5" hidden="1" thickBot="1" x14ac:dyDescent="0.3">
      <c r="A5519" s="967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9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  <c r="Q5519" s="2"/>
      <c r="R5519" s="2"/>
    </row>
    <row r="5520" spans="1:18" ht="57" hidden="1" thickBot="1" x14ac:dyDescent="0.3">
      <c r="A5520" s="967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9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  <c r="Q5520" s="2"/>
      <c r="R5520" s="2"/>
    </row>
    <row r="5521" spans="1:18" ht="19.5" hidden="1" thickBot="1" x14ac:dyDescent="0.3">
      <c r="A5521" s="967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9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  <c r="Q5521" s="2"/>
      <c r="R5521" s="2"/>
    </row>
    <row r="5522" spans="1:18" ht="19.5" hidden="1" thickBot="1" x14ac:dyDescent="0.3">
      <c r="A5522" s="968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9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  <c r="Q5522" s="2"/>
      <c r="R5522" s="2"/>
    </row>
    <row r="5523" spans="1:18" ht="19.5" hidden="1" thickBot="1" x14ac:dyDescent="0.3">
      <c r="A5523" s="954">
        <f t="shared" ref="A5523:A5584" si="160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9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  <c r="Q5523" s="2"/>
      <c r="R5523" s="2"/>
    </row>
    <row r="5524" spans="1:18" ht="19.5" hidden="1" thickBot="1" x14ac:dyDescent="0.3">
      <c r="A5524" s="955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9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  <c r="Q5524" s="2"/>
      <c r="R5524" s="2"/>
    </row>
    <row r="5525" spans="1:18" ht="19.5" hidden="1" thickBot="1" x14ac:dyDescent="0.3">
      <c r="A5525" s="956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9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  <c r="Q5525" s="2"/>
      <c r="R5525" s="2"/>
    </row>
    <row r="5526" spans="1:18" ht="19.5" hidden="1" thickBot="1" x14ac:dyDescent="0.3">
      <c r="A5526" s="503">
        <f t="shared" si="160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9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  <c r="Q5526" s="2"/>
      <c r="R5526" s="2"/>
    </row>
    <row r="5527" spans="1:18" ht="19.5" hidden="1" thickBot="1" x14ac:dyDescent="0.3">
      <c r="A5527" s="954">
        <f t="shared" si="160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9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  <c r="Q5527" s="2"/>
      <c r="R5527" s="2"/>
    </row>
    <row r="5528" spans="1:18" ht="19.5" hidden="1" thickBot="1" x14ac:dyDescent="0.3">
      <c r="A5528" s="955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9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  <c r="Q5528" s="2"/>
      <c r="R5528" s="2"/>
    </row>
    <row r="5529" spans="1:18" ht="19.5" hidden="1" thickBot="1" x14ac:dyDescent="0.3">
      <c r="A5529" s="503">
        <f t="shared" si="160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9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  <c r="Q5529" s="2"/>
      <c r="R5529" s="2"/>
    </row>
    <row r="5530" spans="1:18" ht="19.5" hidden="1" thickBot="1" x14ac:dyDescent="0.3">
      <c r="A5530" s="513">
        <f t="shared" si="160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9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  <c r="Q5530" s="2"/>
      <c r="R5530" s="2"/>
    </row>
    <row r="5531" spans="1:18" ht="19.5" hidden="1" thickBot="1" x14ac:dyDescent="0.3">
      <c r="A5531" s="966">
        <f t="shared" si="160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976" t="s">
        <v>1152</v>
      </c>
      <c r="H5531" s="535" t="s">
        <v>1214</v>
      </c>
      <c r="I5531" s="537" t="s">
        <v>1214</v>
      </c>
      <c r="J5531" s="538"/>
      <c r="K5531" s="535" t="str">
        <f t="shared" si="159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  <c r="Q5531" s="2"/>
      <c r="R5531" s="2"/>
    </row>
    <row r="5532" spans="1:18" ht="19.5" hidden="1" thickBot="1" x14ac:dyDescent="0.3">
      <c r="A5532" s="968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975"/>
      <c r="H5532" s="640" t="s">
        <v>1214</v>
      </c>
      <c r="I5532" s="642" t="s">
        <v>1214</v>
      </c>
      <c r="J5532" s="643"/>
      <c r="K5532" s="640" t="str">
        <f t="shared" si="159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  <c r="Q5532" s="2"/>
      <c r="R5532" s="2"/>
    </row>
    <row r="5533" spans="1:18" ht="19.5" hidden="1" thickBot="1" x14ac:dyDescent="0.3">
      <c r="A5533" s="513">
        <f t="shared" si="160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9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  <c r="Q5533" s="2"/>
      <c r="R5533" s="2"/>
    </row>
    <row r="5534" spans="1:18" ht="19.5" hidden="1" thickBot="1" x14ac:dyDescent="0.3">
      <c r="A5534" s="966">
        <f t="shared" si="160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976" t="s">
        <v>1217</v>
      </c>
      <c r="H5534" s="535" t="s">
        <v>1215</v>
      </c>
      <c r="I5534" s="537" t="s">
        <v>1216</v>
      </c>
      <c r="J5534" s="538"/>
      <c r="K5534" s="535" t="str">
        <f t="shared" si="159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  <c r="Q5534" s="2"/>
      <c r="R5534" s="2"/>
    </row>
    <row r="5535" spans="1:18" ht="19.5" hidden="1" thickBot="1" x14ac:dyDescent="0.3">
      <c r="A5535" s="967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969"/>
      <c r="H5535" s="567" t="s">
        <v>1215</v>
      </c>
      <c r="I5535" s="569" t="s">
        <v>1216</v>
      </c>
      <c r="J5535" s="677" t="s">
        <v>644</v>
      </c>
      <c r="K5535" s="567" t="str">
        <f t="shared" si="159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  <c r="Q5535" s="2"/>
      <c r="R5535" s="2"/>
    </row>
    <row r="5536" spans="1:18" ht="19.5" hidden="1" thickBot="1" x14ac:dyDescent="0.3">
      <c r="A5536" s="967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969"/>
      <c r="H5536" s="567" t="s">
        <v>1215</v>
      </c>
      <c r="I5536" s="569" t="s">
        <v>1216</v>
      </c>
      <c r="J5536" s="570"/>
      <c r="K5536" s="567" t="str">
        <f t="shared" si="159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  <c r="Q5536" s="2"/>
      <c r="R5536" s="2"/>
    </row>
    <row r="5537" spans="1:18" ht="19.5" hidden="1" thickBot="1" x14ac:dyDescent="0.3">
      <c r="A5537" s="967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969"/>
      <c r="H5537" s="567" t="s">
        <v>1215</v>
      </c>
      <c r="I5537" s="569" t="s">
        <v>1216</v>
      </c>
      <c r="J5537" s="677" t="s">
        <v>644</v>
      </c>
      <c r="K5537" s="567" t="str">
        <f t="shared" si="159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  <c r="Q5537" s="2"/>
      <c r="R5537" s="2"/>
    </row>
    <row r="5538" spans="1:18" ht="19.5" hidden="1" thickBot="1" x14ac:dyDescent="0.3">
      <c r="A5538" s="968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975"/>
      <c r="H5538" s="640" t="s">
        <v>1215</v>
      </c>
      <c r="I5538" s="642" t="s">
        <v>1216</v>
      </c>
      <c r="J5538" s="643"/>
      <c r="K5538" s="640" t="str">
        <f t="shared" si="159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  <c r="Q5538" s="2"/>
      <c r="R5538" s="2"/>
    </row>
    <row r="5539" spans="1:18" ht="19.5" hidden="1" thickBot="1" x14ac:dyDescent="0.3">
      <c r="A5539" s="954">
        <f t="shared" si="160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9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  <c r="Q5539" s="2"/>
      <c r="R5539" s="2"/>
    </row>
    <row r="5540" spans="1:18" ht="19.5" hidden="1" thickBot="1" x14ac:dyDescent="0.3">
      <c r="A5540" s="955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9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  <c r="Q5540" s="2"/>
      <c r="R5540" s="2"/>
    </row>
    <row r="5541" spans="1:18" ht="19.5" hidden="1" thickBot="1" x14ac:dyDescent="0.3">
      <c r="A5541" s="956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9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  <c r="Q5541" s="2"/>
      <c r="R5541" s="2"/>
    </row>
    <row r="5542" spans="1:18" ht="19.5" hidden="1" thickBot="1" x14ac:dyDescent="0.3">
      <c r="A5542" s="966">
        <f t="shared" si="160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9"/>
        <v>01,26</v>
      </c>
      <c r="L5542" s="535" t="s">
        <v>266</v>
      </c>
      <c r="M5542" s="535">
        <v>7347.9</v>
      </c>
      <c r="N5542" s="539">
        <v>0.5</v>
      </c>
      <c r="O5542" s="2"/>
      <c r="P5542" s="2"/>
      <c r="Q5542" s="2"/>
      <c r="R5542" s="2"/>
    </row>
    <row r="5543" spans="1:18" ht="19.5" hidden="1" thickBot="1" x14ac:dyDescent="0.3">
      <c r="A5543" s="967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9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  <c r="Q5543" s="2"/>
      <c r="R5543" s="2"/>
    </row>
    <row r="5544" spans="1:18" ht="19.5" hidden="1" thickBot="1" x14ac:dyDescent="0.3">
      <c r="A5544" s="967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9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  <c r="Q5544" s="2"/>
      <c r="R5544" s="2"/>
    </row>
    <row r="5545" spans="1:18" ht="19.5" hidden="1" thickBot="1" x14ac:dyDescent="0.3">
      <c r="A5545" s="967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9"/>
        <v>01,26</v>
      </c>
      <c r="L5545" s="567" t="s">
        <v>28</v>
      </c>
      <c r="M5545" s="567">
        <v>2440.92</v>
      </c>
      <c r="N5545" s="571">
        <v>0.5</v>
      </c>
      <c r="O5545" s="2"/>
      <c r="P5545" s="2"/>
      <c r="Q5545" s="2"/>
      <c r="R5545" s="2"/>
    </row>
    <row r="5546" spans="1:18" ht="19.5" hidden="1" thickBot="1" x14ac:dyDescent="0.3">
      <c r="A5546" s="968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9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  <c r="Q5546" s="2"/>
      <c r="R5546" s="2"/>
    </row>
    <row r="5547" spans="1:18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9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  <c r="Q5547" s="2"/>
      <c r="R5547" s="2"/>
    </row>
    <row r="5548" spans="1:18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9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  <c r="Q5548" s="2"/>
      <c r="R5548" s="2"/>
    </row>
    <row r="5549" spans="1:18" ht="27.75" hidden="1" customHeight="1" x14ac:dyDescent="0.25">
      <c r="A5549" s="954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963" t="s">
        <v>1218</v>
      </c>
      <c r="H5549" s="483" t="s">
        <v>1215</v>
      </c>
      <c r="I5549" s="484" t="s">
        <v>1215</v>
      </c>
      <c r="J5549" s="485"/>
      <c r="K5549" s="483" t="str">
        <f t="shared" si="159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  <c r="Q5549" s="2"/>
      <c r="R5549" s="2"/>
    </row>
    <row r="5550" spans="1:18" ht="27.75" hidden="1" customHeight="1" thickBot="1" x14ac:dyDescent="0.3">
      <c r="A5550" s="956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965"/>
      <c r="H5550" s="649" t="s">
        <v>1215</v>
      </c>
      <c r="I5550" s="651" t="s">
        <v>1215</v>
      </c>
      <c r="J5550" s="652"/>
      <c r="K5550" s="649" t="str">
        <f t="shared" si="159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  <c r="Q5550" s="2"/>
      <c r="R5550" s="2"/>
    </row>
    <row r="5551" spans="1:18" ht="19.5" hidden="1" thickBot="1" x14ac:dyDescent="0.3">
      <c r="A5551" s="966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9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  <c r="Q5551" s="2"/>
      <c r="R5551" s="2"/>
    </row>
    <row r="5552" spans="1:18" ht="19.5" hidden="1" thickBot="1" x14ac:dyDescent="0.3">
      <c r="A5552" s="968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9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  <c r="Q5552" s="2"/>
      <c r="R5552" s="2"/>
    </row>
    <row r="5553" spans="1:18" ht="19.5" hidden="1" thickBot="1" x14ac:dyDescent="0.3">
      <c r="A5553" s="954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9"/>
        <v>01,26</v>
      </c>
      <c r="L5553" s="483" t="s">
        <v>28</v>
      </c>
      <c r="M5553" s="483">
        <v>4014.96</v>
      </c>
      <c r="N5553" s="486">
        <v>0.5</v>
      </c>
      <c r="O5553" s="2"/>
      <c r="P5553" s="2"/>
      <c r="Q5553" s="2"/>
      <c r="R5553" s="2"/>
    </row>
    <row r="5554" spans="1:18" ht="19.5" hidden="1" thickBot="1" x14ac:dyDescent="0.3">
      <c r="A5554" s="955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9"/>
        <v>01,26</v>
      </c>
      <c r="L5554" s="527" t="s">
        <v>28</v>
      </c>
      <c r="M5554" s="527">
        <v>4923.2</v>
      </c>
      <c r="N5554" s="530">
        <v>0.5</v>
      </c>
      <c r="O5554" s="2"/>
      <c r="P5554" s="2"/>
      <c r="Q5554" s="2"/>
      <c r="R5554" s="2"/>
    </row>
    <row r="5555" spans="1:18" ht="19.5" hidden="1" thickBot="1" x14ac:dyDescent="0.3">
      <c r="A5555" s="956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9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  <c r="Q5555" s="2"/>
      <c r="R5555" s="2"/>
    </row>
    <row r="5556" spans="1:18" ht="19.5" hidden="1" thickBot="1" x14ac:dyDescent="0.3">
      <c r="A5556" s="503">
        <f t="shared" ref="A5556:A5561" si="161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9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  <c r="Q5556" s="2"/>
      <c r="R5556" s="2"/>
    </row>
    <row r="5557" spans="1:18" ht="19.5" hidden="1" thickBot="1" x14ac:dyDescent="0.3">
      <c r="A5557" s="513">
        <f t="shared" si="161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9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  <c r="Q5557" s="2"/>
      <c r="R5557" s="2"/>
    </row>
    <row r="5558" spans="1:18" ht="38.25" hidden="1" thickBot="1" x14ac:dyDescent="0.3">
      <c r="A5558" s="551">
        <f t="shared" si="161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9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  <c r="Q5558" s="2"/>
      <c r="R5558" s="2"/>
    </row>
    <row r="5559" spans="1:18" ht="19.5" hidden="1" thickBot="1" x14ac:dyDescent="0.3">
      <c r="A5559" s="513">
        <f t="shared" si="161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2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  <c r="Q5559" s="2"/>
      <c r="R5559" s="2"/>
    </row>
    <row r="5560" spans="1:18" ht="19.5" hidden="1" thickBot="1" x14ac:dyDescent="0.3">
      <c r="A5560" s="503">
        <f t="shared" si="161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2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  <c r="Q5560" s="2"/>
      <c r="R5560" s="2"/>
    </row>
    <row r="5561" spans="1:18" ht="19.5" hidden="1" thickBot="1" x14ac:dyDescent="0.3">
      <c r="A5561" s="954">
        <f t="shared" si="161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2"/>
        <v>01,26</v>
      </c>
      <c r="L5561" s="483" t="s">
        <v>266</v>
      </c>
      <c r="M5561" s="483">
        <v>10775.11</v>
      </c>
      <c r="N5561" s="486">
        <v>0.5</v>
      </c>
      <c r="O5561" s="2"/>
      <c r="P5561" s="2"/>
      <c r="Q5561" s="2"/>
      <c r="R5561" s="2"/>
    </row>
    <row r="5562" spans="1:18" ht="19.5" hidden="1" thickBot="1" x14ac:dyDescent="0.3">
      <c r="A5562" s="956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2"/>
        <v>01,26</v>
      </c>
      <c r="L5562" s="649" t="s">
        <v>266</v>
      </c>
      <c r="M5562" s="649">
        <v>6525</v>
      </c>
      <c r="N5562" s="653">
        <v>0.5</v>
      </c>
      <c r="O5562" s="2"/>
      <c r="P5562" s="2"/>
      <c r="Q5562" s="2"/>
      <c r="R5562" s="2"/>
    </row>
    <row r="5563" spans="1:18" ht="19.5" hidden="1" thickBot="1" x14ac:dyDescent="0.3">
      <c r="A5563" s="551">
        <f t="shared" si="160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2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  <c r="Q5563" s="2"/>
      <c r="R5563" s="2"/>
    </row>
    <row r="5564" spans="1:18" ht="19.5" hidden="1" thickBot="1" x14ac:dyDescent="0.3">
      <c r="A5564" s="954">
        <f t="shared" si="160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2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  <c r="Q5564" s="2"/>
      <c r="R5564" s="2"/>
    </row>
    <row r="5565" spans="1:18" ht="19.5" hidden="1" thickBot="1" x14ac:dyDescent="0.3">
      <c r="A5565" s="956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2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  <c r="Q5565" s="2"/>
      <c r="R5565" s="2"/>
    </row>
    <row r="5566" spans="1:18" ht="19.5" hidden="1" thickBot="1" x14ac:dyDescent="0.3">
      <c r="A5566" s="503">
        <f t="shared" si="160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2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  <c r="Q5566" s="2"/>
      <c r="R5566" s="2"/>
    </row>
    <row r="5567" spans="1:18" ht="19.5" hidden="1" thickBot="1" x14ac:dyDescent="0.3">
      <c r="A5567" s="513">
        <f t="shared" si="160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2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  <c r="Q5567" s="2"/>
      <c r="R5567" s="2"/>
    </row>
    <row r="5568" spans="1:18" ht="19.5" hidden="1" thickBot="1" x14ac:dyDescent="0.3">
      <c r="A5568" s="503">
        <f t="shared" si="160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2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  <c r="Q5568" s="2"/>
      <c r="R5568" s="2"/>
    </row>
    <row r="5569" spans="1:18" ht="19.5" hidden="1" thickBot="1" x14ac:dyDescent="0.3">
      <c r="A5569" s="513">
        <f t="shared" si="160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2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  <c r="Q5569" s="2"/>
      <c r="R5569" s="2"/>
    </row>
    <row r="5570" spans="1:18" ht="19.5" hidden="1" thickBot="1" x14ac:dyDescent="0.3">
      <c r="A5570" s="966">
        <f t="shared" si="160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2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  <c r="Q5570" s="2"/>
      <c r="R5570" s="2"/>
    </row>
    <row r="5571" spans="1:18" ht="19.5" hidden="1" thickBot="1" x14ac:dyDescent="0.3">
      <c r="A5571" s="967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2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  <c r="Q5571" s="2"/>
      <c r="R5571" s="2"/>
    </row>
    <row r="5572" spans="1:18" ht="19.5" hidden="1" thickBot="1" x14ac:dyDescent="0.3">
      <c r="A5572" s="968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2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  <c r="Q5572" s="2"/>
      <c r="R5572" s="2"/>
    </row>
    <row r="5573" spans="1:18" ht="19.5" hidden="1" thickBot="1" x14ac:dyDescent="0.3">
      <c r="A5573" s="954">
        <f t="shared" si="160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2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  <c r="Q5573" s="2"/>
      <c r="R5573" s="2"/>
    </row>
    <row r="5574" spans="1:18" ht="19.5" hidden="1" thickBot="1" x14ac:dyDescent="0.3">
      <c r="A5574" s="956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2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  <c r="Q5574" s="2"/>
      <c r="R5574" s="2"/>
    </row>
    <row r="5575" spans="1:18" ht="19.5" hidden="1" thickBot="1" x14ac:dyDescent="0.3">
      <c r="A5575" s="966">
        <f t="shared" si="160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2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  <c r="Q5575" s="2"/>
      <c r="R5575" s="2"/>
    </row>
    <row r="5576" spans="1:18" ht="19.5" hidden="1" thickBot="1" x14ac:dyDescent="0.3">
      <c r="A5576" s="968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2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  <c r="Q5576" s="2"/>
      <c r="R5576" s="2"/>
    </row>
    <row r="5577" spans="1:18" ht="19.5" hidden="1" thickBot="1" x14ac:dyDescent="0.3">
      <c r="A5577" s="954">
        <f t="shared" si="160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2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  <c r="Q5577" s="2"/>
      <c r="R5577" s="2"/>
    </row>
    <row r="5578" spans="1:18" ht="19.5" hidden="1" thickBot="1" x14ac:dyDescent="0.3">
      <c r="A5578" s="955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2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  <c r="Q5578" s="2"/>
      <c r="R5578" s="2"/>
    </row>
    <row r="5579" spans="1:18" ht="19.5" hidden="1" thickBot="1" x14ac:dyDescent="0.3">
      <c r="A5579" s="503">
        <f t="shared" si="160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2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  <c r="Q5579" s="2"/>
      <c r="R5579" s="2"/>
    </row>
    <row r="5580" spans="1:18" ht="19.5" hidden="1" thickBot="1" x14ac:dyDescent="0.3">
      <c r="A5580" s="513">
        <f t="shared" si="160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2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  <c r="Q5580" s="2"/>
      <c r="R5580" s="2"/>
    </row>
    <row r="5581" spans="1:18" ht="38.25" hidden="1" thickBot="1" x14ac:dyDescent="0.3">
      <c r="A5581" s="503">
        <f t="shared" si="160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2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  <c r="Q5581" s="2"/>
      <c r="R5581" s="2"/>
    </row>
    <row r="5582" spans="1:18" ht="38.25" hidden="1" thickBot="1" x14ac:dyDescent="0.3">
      <c r="A5582" s="513">
        <f t="shared" si="160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2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  <c r="Q5582" s="2"/>
      <c r="R5582" s="2"/>
    </row>
    <row r="5583" spans="1:18" ht="19.5" hidden="1" thickBot="1" x14ac:dyDescent="0.3">
      <c r="A5583" s="503">
        <f t="shared" si="160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2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  <c r="Q5583" s="2"/>
      <c r="R5583" s="2"/>
    </row>
    <row r="5584" spans="1:18" ht="19.5" hidden="1" thickBot="1" x14ac:dyDescent="0.3">
      <c r="A5584" s="954">
        <f t="shared" si="160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2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  <c r="Q5584" s="2"/>
      <c r="R5584" s="2"/>
    </row>
    <row r="5585" spans="1:18" ht="19.5" hidden="1" thickBot="1" x14ac:dyDescent="0.3">
      <c r="A5585" s="955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2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  <c r="Q5585" s="2"/>
      <c r="R5585" s="2"/>
    </row>
    <row r="5586" spans="1:18" ht="19.5" hidden="1" thickBot="1" x14ac:dyDescent="0.3">
      <c r="A5586" s="955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2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  <c r="Q5586" s="2"/>
      <c r="R5586" s="2"/>
    </row>
    <row r="5587" spans="1:18" ht="19.5" hidden="1" thickBot="1" x14ac:dyDescent="0.3">
      <c r="A5587" s="956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2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  <c r="Q5587" s="2"/>
      <c r="R5587" s="2"/>
    </row>
    <row r="5588" spans="1:18" ht="19.5" hidden="1" thickBot="1" x14ac:dyDescent="0.3">
      <c r="A5588" s="966">
        <f t="shared" ref="A5588:A5651" si="163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2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  <c r="Q5588" s="2"/>
      <c r="R5588" s="2"/>
    </row>
    <row r="5589" spans="1:18" ht="19.5" hidden="1" thickBot="1" x14ac:dyDescent="0.3">
      <c r="A5589" s="968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2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  <c r="Q5589" s="2"/>
      <c r="R5589" s="2"/>
    </row>
    <row r="5590" spans="1:18" ht="19.5" hidden="1" thickBot="1" x14ac:dyDescent="0.3">
      <c r="A5590" s="954">
        <f t="shared" si="163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2"/>
        <v>01,26</v>
      </c>
      <c r="L5590" s="483" t="s">
        <v>28</v>
      </c>
      <c r="M5590" s="483">
        <v>7906.56</v>
      </c>
      <c r="N5590" s="486">
        <v>0.5</v>
      </c>
      <c r="O5590" s="2"/>
      <c r="P5590" s="2"/>
      <c r="Q5590" s="2"/>
      <c r="R5590" s="2"/>
    </row>
    <row r="5591" spans="1:18" ht="19.5" hidden="1" thickBot="1" x14ac:dyDescent="0.3">
      <c r="A5591" s="955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2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  <c r="Q5591" s="2"/>
      <c r="R5591" s="2"/>
    </row>
    <row r="5592" spans="1:18" ht="19.5" hidden="1" thickBot="1" x14ac:dyDescent="0.3">
      <c r="A5592" s="956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2"/>
        <v>01,26</v>
      </c>
      <c r="L5592" s="649" t="s">
        <v>28</v>
      </c>
      <c r="M5592" s="649">
        <v>3555.46</v>
      </c>
      <c r="N5592" s="653">
        <v>0.5</v>
      </c>
      <c r="O5592" s="2"/>
      <c r="P5592" s="2"/>
      <c r="Q5592" s="2"/>
      <c r="R5592" s="2"/>
    </row>
    <row r="5593" spans="1:18" ht="19.5" hidden="1" thickBot="1" x14ac:dyDescent="0.3">
      <c r="A5593" s="966">
        <f t="shared" si="163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2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  <c r="Q5593" s="2"/>
      <c r="R5593" s="2"/>
    </row>
    <row r="5594" spans="1:18" ht="19.5" hidden="1" thickBot="1" x14ac:dyDescent="0.3">
      <c r="A5594" s="968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2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  <c r="Q5594" s="2"/>
      <c r="R5594" s="2"/>
    </row>
    <row r="5595" spans="1:18" ht="19.5" hidden="1" thickBot="1" x14ac:dyDescent="0.3">
      <c r="A5595" s="954">
        <f t="shared" si="163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2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  <c r="Q5595" s="2"/>
      <c r="R5595" s="2"/>
    </row>
    <row r="5596" spans="1:18" ht="19.5" hidden="1" thickBot="1" x14ac:dyDescent="0.3">
      <c r="A5596" s="956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2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  <c r="Q5596" s="2"/>
      <c r="R5596" s="2"/>
    </row>
    <row r="5597" spans="1:18" ht="19.5" hidden="1" thickBot="1" x14ac:dyDescent="0.3">
      <c r="A5597" s="503">
        <f t="shared" si="163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2"/>
        <v>01,26</v>
      </c>
      <c r="L5597" s="508" t="s">
        <v>28</v>
      </c>
      <c r="M5597" s="508">
        <v>7969.2</v>
      </c>
      <c r="N5597" s="512">
        <v>0.5</v>
      </c>
      <c r="O5597" s="2"/>
      <c r="P5597" s="2"/>
      <c r="Q5597" s="2"/>
      <c r="R5597" s="2"/>
    </row>
    <row r="5598" spans="1:18" ht="19.5" hidden="1" thickBot="1" x14ac:dyDescent="0.3">
      <c r="A5598" s="572">
        <f t="shared" si="163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2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  <c r="Q5598" s="2"/>
      <c r="R5598" s="2"/>
    </row>
    <row r="5599" spans="1:18" ht="19.5" hidden="1" thickBot="1" x14ac:dyDescent="0.3">
      <c r="A5599" s="966">
        <f t="shared" si="163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976" t="s">
        <v>1229</v>
      </c>
      <c r="H5599" s="535" t="s">
        <v>1228</v>
      </c>
      <c r="I5599" s="537" t="s">
        <v>1231</v>
      </c>
      <c r="J5599" s="538"/>
      <c r="K5599" s="535" t="str">
        <f t="shared" si="162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  <c r="Q5599" s="2"/>
      <c r="R5599" s="2"/>
    </row>
    <row r="5600" spans="1:18" ht="19.5" hidden="1" thickBot="1" x14ac:dyDescent="0.3">
      <c r="A5600" s="968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975"/>
      <c r="H5600" s="640" t="s">
        <v>1228</v>
      </c>
      <c r="I5600" s="642" t="s">
        <v>1231</v>
      </c>
      <c r="J5600" s="643"/>
      <c r="K5600" s="640" t="str">
        <f t="shared" si="162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  <c r="Q5600" s="2"/>
      <c r="R5600" s="2"/>
    </row>
    <row r="5601" spans="1:18" ht="38.25" hidden="1" thickBot="1" x14ac:dyDescent="0.3">
      <c r="A5601" s="513">
        <f t="shared" si="163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2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  <c r="Q5601" s="2"/>
      <c r="R5601" s="2"/>
    </row>
    <row r="5602" spans="1:18" ht="19.5" hidden="1" thickBot="1" x14ac:dyDescent="0.3">
      <c r="A5602" s="966">
        <f t="shared" si="163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2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  <c r="Q5602" s="2"/>
      <c r="R5602" s="2"/>
    </row>
    <row r="5603" spans="1:18" ht="19.5" hidden="1" thickBot="1" x14ac:dyDescent="0.3">
      <c r="A5603" s="967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2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  <c r="Q5603" s="2"/>
      <c r="R5603" s="2"/>
    </row>
    <row r="5604" spans="1:18" ht="19.5" hidden="1" thickBot="1" x14ac:dyDescent="0.3">
      <c r="A5604" s="513">
        <f t="shared" si="163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2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  <c r="Q5604" s="2"/>
      <c r="R5604" s="2"/>
    </row>
    <row r="5605" spans="1:18" ht="19.5" hidden="1" thickBot="1" x14ac:dyDescent="0.3">
      <c r="A5605" s="503">
        <f t="shared" si="163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2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  <c r="Q5605" s="2"/>
      <c r="R5605" s="2"/>
    </row>
    <row r="5606" spans="1:18" ht="19.5" hidden="1" thickBot="1" x14ac:dyDescent="0.3">
      <c r="A5606" s="954">
        <f t="shared" si="163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2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  <c r="Q5606" s="2"/>
      <c r="R5606" s="2"/>
    </row>
    <row r="5607" spans="1:18" ht="19.5" hidden="1" thickBot="1" x14ac:dyDescent="0.3">
      <c r="A5607" s="956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2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  <c r="Q5607" s="2"/>
      <c r="R5607" s="2"/>
    </row>
    <row r="5608" spans="1:18" ht="19.5" hidden="1" thickBot="1" x14ac:dyDescent="0.3">
      <c r="A5608" s="551">
        <f t="shared" si="163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2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  <c r="Q5608" s="2"/>
      <c r="R5608" s="2"/>
    </row>
    <row r="5609" spans="1:18" ht="19.5" hidden="1" thickBot="1" x14ac:dyDescent="0.3">
      <c r="A5609" s="954">
        <f t="shared" si="163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2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  <c r="Q5609" s="2"/>
      <c r="R5609" s="2"/>
    </row>
    <row r="5610" spans="1:18" ht="19.5" hidden="1" thickBot="1" x14ac:dyDescent="0.3">
      <c r="A5610" s="956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2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  <c r="Q5610" s="2"/>
      <c r="R5610" s="2"/>
    </row>
    <row r="5611" spans="1:18" ht="19.5" hidden="1" thickBot="1" x14ac:dyDescent="0.3">
      <c r="A5611" s="503">
        <f t="shared" si="163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2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  <c r="Q5611" s="2"/>
      <c r="R5611" s="2"/>
    </row>
    <row r="5612" spans="1:18" ht="19.5" hidden="1" thickBot="1" x14ac:dyDescent="0.3">
      <c r="A5612" s="954">
        <f t="shared" si="163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2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  <c r="Q5612" s="2"/>
      <c r="R5612" s="2"/>
    </row>
    <row r="5613" spans="1:18" ht="57" hidden="1" thickBot="1" x14ac:dyDescent="0.3">
      <c r="A5613" s="955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2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  <c r="Q5613" s="2"/>
      <c r="R5613" s="2"/>
    </row>
    <row r="5614" spans="1:18" ht="19.5" hidden="1" thickBot="1" x14ac:dyDescent="0.3">
      <c r="A5614" s="955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2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  <c r="Q5614" s="2"/>
      <c r="R5614" s="2"/>
    </row>
    <row r="5615" spans="1:18" ht="19.5" hidden="1" thickBot="1" x14ac:dyDescent="0.3">
      <c r="A5615" s="956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2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  <c r="Q5615" s="2"/>
      <c r="R5615" s="2"/>
    </row>
    <row r="5616" spans="1:18" ht="19.5" hidden="1" thickBot="1" x14ac:dyDescent="0.3">
      <c r="A5616" s="503">
        <f t="shared" si="163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2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  <c r="Q5616" s="2"/>
      <c r="R5616" s="2"/>
    </row>
    <row r="5617" spans="1:18" ht="19.5" hidden="1" thickBot="1" x14ac:dyDescent="0.3">
      <c r="A5617" s="954">
        <f t="shared" si="163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2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  <c r="Q5617" s="2"/>
      <c r="R5617" s="2"/>
    </row>
    <row r="5618" spans="1:18" ht="19.5" hidden="1" thickBot="1" x14ac:dyDescent="0.3">
      <c r="A5618" s="956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2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  <c r="Q5618" s="2"/>
      <c r="R5618" s="2"/>
    </row>
    <row r="5619" spans="1:18" ht="19.5" hidden="1" thickBot="1" x14ac:dyDescent="0.3">
      <c r="A5619" s="966">
        <f t="shared" si="163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2"/>
        <v>02,26</v>
      </c>
      <c r="L5619" s="535" t="s">
        <v>28</v>
      </c>
      <c r="M5619" s="535">
        <v>12621.18</v>
      </c>
      <c r="N5619" s="539">
        <v>0.5</v>
      </c>
      <c r="O5619" s="2"/>
      <c r="P5619" s="2"/>
      <c r="Q5619" s="2"/>
      <c r="R5619" s="2"/>
    </row>
    <row r="5620" spans="1:18" ht="19.5" hidden="1" thickBot="1" x14ac:dyDescent="0.3">
      <c r="A5620" s="968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2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  <c r="Q5620" s="2"/>
      <c r="R5620" s="2"/>
    </row>
    <row r="5621" spans="1:18" ht="19.5" hidden="1" thickBot="1" x14ac:dyDescent="0.3">
      <c r="A5621" s="954">
        <f t="shared" si="163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2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  <c r="Q5621" s="2"/>
      <c r="R5621" s="2"/>
    </row>
    <row r="5622" spans="1:18" ht="19.5" hidden="1" thickBot="1" x14ac:dyDescent="0.3">
      <c r="A5622" s="956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2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  <c r="Q5622" s="2"/>
      <c r="R5622" s="2"/>
    </row>
    <row r="5623" spans="1:18" ht="29.25" hidden="1" customHeight="1" x14ac:dyDescent="0.25">
      <c r="A5623" s="966">
        <f t="shared" si="163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976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4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  <c r="Q5623" s="2"/>
      <c r="R5623" s="2"/>
    </row>
    <row r="5624" spans="1:18" ht="29.25" hidden="1" customHeight="1" thickBot="1" x14ac:dyDescent="0.3">
      <c r="A5624" s="968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975"/>
      <c r="H5624" s="640" t="s">
        <v>1233</v>
      </c>
      <c r="I5624" s="642" t="s">
        <v>1235</v>
      </c>
      <c r="J5624" s="643"/>
      <c r="K5624" s="640" t="str">
        <f t="shared" si="164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  <c r="Q5624" s="2"/>
      <c r="R5624" s="2"/>
    </row>
    <row r="5625" spans="1:18" ht="19.5" hidden="1" thickBot="1" x14ac:dyDescent="0.3">
      <c r="A5625" s="954">
        <f t="shared" si="163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4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  <c r="Q5625" s="2"/>
      <c r="R5625" s="2"/>
    </row>
    <row r="5626" spans="1:18" ht="19.5" hidden="1" thickBot="1" x14ac:dyDescent="0.3">
      <c r="A5626" s="956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4"/>
        <v>02,26</v>
      </c>
      <c r="L5626" s="649" t="s">
        <v>266</v>
      </c>
      <c r="M5626" s="649">
        <v>1070.7</v>
      </c>
      <c r="N5626" s="653">
        <v>0.375</v>
      </c>
      <c r="O5626" s="2"/>
      <c r="P5626" s="2"/>
      <c r="Q5626" s="2"/>
      <c r="R5626" s="2"/>
    </row>
    <row r="5627" spans="1:18" ht="19.5" hidden="1" thickBot="1" x14ac:dyDescent="0.3">
      <c r="A5627" s="676">
        <f t="shared" si="163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4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  <c r="Q5627" s="2"/>
      <c r="R5627" s="2"/>
    </row>
    <row r="5628" spans="1:18" ht="19.5" hidden="1" thickBot="1" x14ac:dyDescent="0.3">
      <c r="A5628" s="678">
        <f t="shared" si="163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4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  <c r="Q5628" s="2"/>
      <c r="R5628" s="2"/>
    </row>
    <row r="5629" spans="1:18" ht="19.5" hidden="1" thickBot="1" x14ac:dyDescent="0.3">
      <c r="A5629" s="676">
        <f t="shared" si="163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4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  <c r="Q5629" s="2"/>
      <c r="R5629" s="2"/>
    </row>
    <row r="5630" spans="1:18" ht="19.5" hidden="1" thickBot="1" x14ac:dyDescent="0.3">
      <c r="A5630" s="676">
        <f t="shared" si="163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4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  <c r="Q5630" s="2"/>
      <c r="R5630" s="2"/>
    </row>
    <row r="5631" spans="1:18" ht="19.5" hidden="1" thickBot="1" x14ac:dyDescent="0.3">
      <c r="A5631" s="676">
        <f t="shared" si="163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4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  <c r="Q5631" s="2"/>
      <c r="R5631" s="2"/>
    </row>
    <row r="5632" spans="1:18" ht="19.5" hidden="1" thickBot="1" x14ac:dyDescent="0.3">
      <c r="A5632" s="676">
        <f t="shared" si="163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4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  <c r="Q5632" s="2"/>
      <c r="R5632" s="2"/>
    </row>
    <row r="5633" spans="1:18" ht="19.5" hidden="1" thickBot="1" x14ac:dyDescent="0.3">
      <c r="A5633" s="676">
        <f t="shared" si="163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4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  <c r="Q5633" s="2"/>
      <c r="R5633" s="2"/>
    </row>
    <row r="5634" spans="1:18" ht="19.5" hidden="1" thickBot="1" x14ac:dyDescent="0.3">
      <c r="A5634" s="676">
        <f t="shared" si="163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4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  <c r="Q5634" s="2"/>
      <c r="R5634" s="2"/>
    </row>
    <row r="5635" spans="1:18" ht="19.5" hidden="1" thickBot="1" x14ac:dyDescent="0.3">
      <c r="A5635" s="676">
        <f t="shared" si="163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4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  <c r="Q5635" s="2"/>
      <c r="R5635" s="2"/>
    </row>
    <row r="5636" spans="1:18" ht="19.5" hidden="1" thickBot="1" x14ac:dyDescent="0.3">
      <c r="A5636" s="676">
        <f t="shared" si="163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4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  <c r="Q5636" s="2"/>
      <c r="R5636" s="2"/>
    </row>
    <row r="5637" spans="1:18" ht="19.5" hidden="1" thickBot="1" x14ac:dyDescent="0.3">
      <c r="A5637" s="676">
        <f t="shared" si="163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4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  <c r="Q5637" s="2"/>
      <c r="R5637" s="2"/>
    </row>
    <row r="5638" spans="1:18" ht="19.5" hidden="1" thickBot="1" x14ac:dyDescent="0.3">
      <c r="A5638" s="676">
        <f t="shared" si="163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4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  <c r="Q5638" s="2"/>
      <c r="R5638" s="2"/>
    </row>
    <row r="5639" spans="1:18" ht="19.5" hidden="1" thickBot="1" x14ac:dyDescent="0.3">
      <c r="A5639" s="676">
        <f t="shared" si="163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4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  <c r="Q5639" s="2"/>
      <c r="R5639" s="2"/>
    </row>
    <row r="5640" spans="1:18" ht="19.5" hidden="1" thickBot="1" x14ac:dyDescent="0.3">
      <c r="A5640" s="676">
        <f t="shared" si="163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4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  <c r="Q5640" s="2"/>
      <c r="R5640" s="2"/>
    </row>
    <row r="5641" spans="1:18" ht="19.5" hidden="1" thickBot="1" x14ac:dyDescent="0.3">
      <c r="A5641" s="676">
        <f t="shared" si="163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4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  <c r="Q5641" s="2"/>
      <c r="R5641" s="2"/>
    </row>
    <row r="5642" spans="1:18" ht="19.5" hidden="1" thickBot="1" x14ac:dyDescent="0.3">
      <c r="A5642" s="676">
        <f t="shared" si="163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4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  <c r="Q5642" s="2"/>
      <c r="R5642" s="2"/>
    </row>
    <row r="5643" spans="1:18" ht="19.5" hidden="1" thickBot="1" x14ac:dyDescent="0.3">
      <c r="A5643" s="676">
        <f t="shared" si="163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4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  <c r="Q5643" s="2"/>
      <c r="R5643" s="2"/>
    </row>
    <row r="5644" spans="1:18" ht="19.5" hidden="1" thickBot="1" x14ac:dyDescent="0.3">
      <c r="A5644" s="676">
        <f t="shared" si="163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4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  <c r="Q5644" s="2"/>
      <c r="R5644" s="2"/>
    </row>
    <row r="5645" spans="1:18" ht="38.25" hidden="1" thickBot="1" x14ac:dyDescent="0.3">
      <c r="A5645" s="676">
        <f t="shared" si="163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4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  <c r="Q5645" s="2"/>
      <c r="R5645" s="2"/>
    </row>
    <row r="5646" spans="1:18" ht="19.5" hidden="1" thickBot="1" x14ac:dyDescent="0.3">
      <c r="A5646" s="676">
        <f t="shared" si="163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4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  <c r="Q5646" s="2"/>
      <c r="R5646" s="2"/>
    </row>
    <row r="5647" spans="1:18" ht="19.5" hidden="1" thickBot="1" x14ac:dyDescent="0.3">
      <c r="A5647" s="676">
        <f t="shared" si="163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4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  <c r="Q5647" s="2"/>
      <c r="R5647" s="2"/>
    </row>
    <row r="5648" spans="1:18" ht="19.5" hidden="1" thickBot="1" x14ac:dyDescent="0.3">
      <c r="A5648" s="676">
        <f t="shared" si="163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4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  <c r="Q5648" s="2"/>
      <c r="R5648" s="2"/>
    </row>
    <row r="5649" spans="1:18" ht="19.5" hidden="1" thickBot="1" x14ac:dyDescent="0.3">
      <c r="A5649" s="676">
        <f t="shared" si="163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4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  <c r="Q5649" s="2"/>
      <c r="R5649" s="2"/>
    </row>
    <row r="5650" spans="1:18" ht="19.5" hidden="1" thickBot="1" x14ac:dyDescent="0.3">
      <c r="A5650" s="676">
        <f t="shared" si="163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4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  <c r="Q5650" s="2"/>
      <c r="R5650" s="2"/>
    </row>
    <row r="5651" spans="1:18" ht="19.5" hidden="1" thickBot="1" x14ac:dyDescent="0.3">
      <c r="A5651" s="676">
        <f t="shared" si="163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4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  <c r="Q5651" s="2"/>
      <c r="R5651" s="2"/>
    </row>
    <row r="5652" spans="1:18" ht="19.5" hidden="1" thickBot="1" x14ac:dyDescent="0.3">
      <c r="A5652" s="676">
        <f t="shared" ref="A5652:A5715" si="165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4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  <c r="Q5652" s="2"/>
      <c r="R5652" s="2"/>
    </row>
    <row r="5653" spans="1:18" ht="19.5" hidden="1" thickBot="1" x14ac:dyDescent="0.3">
      <c r="A5653" s="676">
        <f t="shared" si="165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4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  <c r="Q5653" s="2"/>
      <c r="R5653" s="2"/>
    </row>
    <row r="5654" spans="1:18" ht="19.5" hidden="1" thickBot="1" x14ac:dyDescent="0.3">
      <c r="A5654" s="676">
        <f t="shared" si="165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4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  <c r="Q5654" s="2"/>
      <c r="R5654" s="2"/>
    </row>
    <row r="5655" spans="1:18" ht="19.5" hidden="1" thickBot="1" x14ac:dyDescent="0.3">
      <c r="A5655" s="676">
        <f t="shared" si="165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4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  <c r="Q5655" s="2"/>
      <c r="R5655" s="2"/>
    </row>
    <row r="5656" spans="1:18" ht="19.5" hidden="1" thickBot="1" x14ac:dyDescent="0.3">
      <c r="A5656" s="676">
        <f t="shared" si="165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4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  <c r="Q5656" s="2"/>
      <c r="R5656" s="2"/>
    </row>
    <row r="5657" spans="1:18" ht="19.5" hidden="1" thickBot="1" x14ac:dyDescent="0.3">
      <c r="A5657" s="676">
        <f t="shared" si="165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4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  <c r="Q5657" s="2"/>
      <c r="R5657" s="2"/>
    </row>
    <row r="5658" spans="1:18" ht="19.5" hidden="1" thickBot="1" x14ac:dyDescent="0.3">
      <c r="A5658" s="676">
        <f t="shared" si="165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4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  <c r="Q5658" s="2"/>
      <c r="R5658" s="2"/>
    </row>
    <row r="5659" spans="1:18" ht="19.5" hidden="1" thickBot="1" x14ac:dyDescent="0.3">
      <c r="A5659" s="676">
        <f t="shared" si="165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4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  <c r="Q5659" s="2"/>
      <c r="R5659" s="2"/>
    </row>
    <row r="5660" spans="1:18" ht="19.5" hidden="1" thickBot="1" x14ac:dyDescent="0.3">
      <c r="A5660" s="676">
        <f t="shared" si="165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4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  <c r="Q5660" s="2"/>
      <c r="R5660" s="2"/>
    </row>
    <row r="5661" spans="1:18" ht="94.5" hidden="1" thickBot="1" x14ac:dyDescent="0.3">
      <c r="A5661" s="676">
        <f t="shared" si="165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4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  <c r="Q5661" s="2"/>
      <c r="R5661" s="2"/>
    </row>
    <row r="5662" spans="1:18" ht="19.5" hidden="1" thickBot="1" x14ac:dyDescent="0.3">
      <c r="A5662" s="676">
        <f t="shared" si="165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4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  <c r="Q5662" s="2"/>
      <c r="R5662" s="2"/>
    </row>
    <row r="5663" spans="1:18" ht="19.5" hidden="1" thickBot="1" x14ac:dyDescent="0.3">
      <c r="A5663" s="676">
        <f t="shared" si="165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4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  <c r="Q5663" s="2"/>
      <c r="R5663" s="2"/>
    </row>
    <row r="5664" spans="1:18" ht="19.5" hidden="1" thickBot="1" x14ac:dyDescent="0.3">
      <c r="A5664" s="676">
        <f t="shared" si="165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4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  <c r="Q5664" s="2"/>
      <c r="R5664" s="2"/>
    </row>
    <row r="5665" spans="1:18" ht="19.5" hidden="1" thickBot="1" x14ac:dyDescent="0.3">
      <c r="A5665" s="676">
        <f t="shared" si="165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4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  <c r="Q5665" s="2"/>
      <c r="R5665" s="2"/>
    </row>
    <row r="5666" spans="1:18" ht="57" hidden="1" thickBot="1" x14ac:dyDescent="0.3">
      <c r="A5666" s="676">
        <f t="shared" si="165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4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  <c r="Q5666" s="2"/>
      <c r="R5666" s="2"/>
    </row>
    <row r="5667" spans="1:18" ht="19.5" hidden="1" thickBot="1" x14ac:dyDescent="0.3">
      <c r="A5667" s="676">
        <f t="shared" si="165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4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  <c r="Q5667" s="2"/>
      <c r="R5667" s="2"/>
    </row>
    <row r="5668" spans="1:18" ht="19.5" hidden="1" thickBot="1" x14ac:dyDescent="0.3">
      <c r="A5668" s="676">
        <f t="shared" si="165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4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  <c r="Q5668" s="2"/>
      <c r="R5668" s="2"/>
    </row>
    <row r="5669" spans="1:18" ht="19.5" hidden="1" thickBot="1" x14ac:dyDescent="0.3">
      <c r="A5669" s="676">
        <f t="shared" si="165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4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  <c r="Q5669" s="2"/>
      <c r="R5669" s="2"/>
    </row>
    <row r="5670" spans="1:18" ht="19.5" hidden="1" thickBot="1" x14ac:dyDescent="0.3">
      <c r="A5670" s="676">
        <f t="shared" si="165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4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  <c r="Q5670" s="2"/>
      <c r="R5670" s="2"/>
    </row>
    <row r="5671" spans="1:18" ht="19.5" hidden="1" thickBot="1" x14ac:dyDescent="0.3">
      <c r="A5671" s="676">
        <f t="shared" si="165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4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  <c r="Q5671" s="2"/>
      <c r="R5671" s="2"/>
    </row>
    <row r="5672" spans="1:18" ht="19.5" hidden="1" thickBot="1" x14ac:dyDescent="0.3">
      <c r="A5672" s="676">
        <f t="shared" si="165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4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  <c r="Q5672" s="2"/>
      <c r="R5672" s="2"/>
    </row>
    <row r="5673" spans="1:18" ht="19.5" hidden="1" thickBot="1" x14ac:dyDescent="0.3">
      <c r="A5673" s="676">
        <f t="shared" si="165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4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  <c r="Q5673" s="2"/>
      <c r="R5673" s="2"/>
    </row>
    <row r="5674" spans="1:18" ht="19.5" hidden="1" thickBot="1" x14ac:dyDescent="0.3">
      <c r="A5674" s="676">
        <f t="shared" si="165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4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  <c r="Q5674" s="2"/>
      <c r="R5674" s="2"/>
    </row>
    <row r="5675" spans="1:18" ht="38.25" hidden="1" thickBot="1" x14ac:dyDescent="0.3">
      <c r="A5675" s="676">
        <f t="shared" si="165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4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  <c r="Q5675" s="2"/>
      <c r="R5675" s="2"/>
    </row>
    <row r="5676" spans="1:18" ht="19.5" hidden="1" thickBot="1" x14ac:dyDescent="0.3">
      <c r="A5676" s="676">
        <f t="shared" si="165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4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  <c r="Q5676" s="2"/>
      <c r="R5676" s="2"/>
    </row>
    <row r="5677" spans="1:18" ht="19.5" hidden="1" thickBot="1" x14ac:dyDescent="0.3">
      <c r="A5677" s="676">
        <f t="shared" si="165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4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  <c r="Q5677" s="2"/>
      <c r="R5677" s="2"/>
    </row>
    <row r="5678" spans="1:18" ht="19.5" hidden="1" thickBot="1" x14ac:dyDescent="0.3">
      <c r="A5678" s="676">
        <f t="shared" ref="A5678:A5689" si="166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4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  <c r="Q5678" s="2"/>
      <c r="R5678" s="2"/>
    </row>
    <row r="5679" spans="1:18" ht="19.5" hidden="1" thickBot="1" x14ac:dyDescent="0.3">
      <c r="A5679" s="676">
        <f t="shared" si="166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4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  <c r="Q5679" s="2"/>
      <c r="R5679" s="2"/>
    </row>
    <row r="5680" spans="1:18" ht="19.5" hidden="1" thickBot="1" x14ac:dyDescent="0.3">
      <c r="A5680" s="676">
        <f t="shared" si="166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4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  <c r="Q5680" s="2"/>
      <c r="R5680" s="2"/>
    </row>
    <row r="5681" spans="1:18" ht="19.5" hidden="1" thickBot="1" x14ac:dyDescent="0.3">
      <c r="A5681" s="676">
        <f t="shared" si="166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4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  <c r="Q5681" s="2"/>
      <c r="R5681" s="2"/>
    </row>
    <row r="5682" spans="1:18" ht="19.5" hidden="1" thickBot="1" x14ac:dyDescent="0.3">
      <c r="A5682" s="676">
        <f t="shared" si="166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4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  <c r="Q5682" s="2"/>
      <c r="R5682" s="2"/>
    </row>
    <row r="5683" spans="1:18" ht="19.5" hidden="1" thickBot="1" x14ac:dyDescent="0.3">
      <c r="A5683" s="676">
        <f t="shared" si="166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4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  <c r="Q5683" s="2"/>
      <c r="R5683" s="2"/>
    </row>
    <row r="5684" spans="1:18" ht="19.5" hidden="1" thickBot="1" x14ac:dyDescent="0.3">
      <c r="A5684" s="676">
        <f t="shared" si="166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4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  <c r="Q5684" s="2"/>
      <c r="R5684" s="2"/>
    </row>
    <row r="5685" spans="1:18" ht="19.5" hidden="1" thickBot="1" x14ac:dyDescent="0.3">
      <c r="A5685" s="676">
        <f t="shared" si="166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4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  <c r="Q5685" s="2"/>
      <c r="R5685" s="2"/>
    </row>
    <row r="5686" spans="1:18" ht="19.5" hidden="1" thickBot="1" x14ac:dyDescent="0.3">
      <c r="A5686" s="676">
        <f t="shared" si="166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4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  <c r="Q5686" s="2"/>
      <c r="R5686" s="2"/>
    </row>
    <row r="5687" spans="1:18" ht="19.5" hidden="1" thickBot="1" x14ac:dyDescent="0.3">
      <c r="A5687" s="676">
        <f t="shared" si="166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7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  <c r="Q5687" s="2"/>
      <c r="R5687" s="2"/>
    </row>
    <row r="5688" spans="1:18" ht="19.5" hidden="1" thickBot="1" x14ac:dyDescent="0.3">
      <c r="A5688" s="676">
        <f t="shared" si="166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7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  <c r="Q5688" s="2"/>
      <c r="R5688" s="2"/>
    </row>
    <row r="5689" spans="1:18" ht="19.5" hidden="1" thickBot="1" x14ac:dyDescent="0.3">
      <c r="A5689" s="676">
        <f t="shared" si="166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7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  <c r="Q5689" s="2"/>
      <c r="R5689" s="2"/>
    </row>
    <row r="5690" spans="1:18" ht="19.5" hidden="1" thickBot="1" x14ac:dyDescent="0.3">
      <c r="A5690" s="676">
        <f t="shared" si="165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7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  <c r="Q5690" s="2"/>
      <c r="R5690" s="2"/>
    </row>
    <row r="5691" spans="1:18" ht="19.5" hidden="1" thickBot="1" x14ac:dyDescent="0.3">
      <c r="A5691" s="676">
        <f t="shared" si="165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7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  <c r="Q5691" s="2"/>
      <c r="R5691" s="2"/>
    </row>
    <row r="5692" spans="1:18" ht="19.5" hidden="1" thickBot="1" x14ac:dyDescent="0.3">
      <c r="A5692" s="676">
        <f t="shared" si="165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7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  <c r="Q5692" s="2"/>
      <c r="R5692" s="2"/>
    </row>
    <row r="5693" spans="1:18" ht="19.5" hidden="1" thickBot="1" x14ac:dyDescent="0.3">
      <c r="A5693" s="676">
        <f t="shared" si="165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7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  <c r="Q5693" s="2"/>
      <c r="R5693" s="2"/>
    </row>
    <row r="5694" spans="1:18" ht="19.5" hidden="1" thickBot="1" x14ac:dyDescent="0.3">
      <c r="A5694" s="676">
        <f t="shared" si="165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7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  <c r="Q5694" s="2"/>
      <c r="R5694" s="2"/>
    </row>
    <row r="5695" spans="1:18" ht="19.5" hidden="1" thickBot="1" x14ac:dyDescent="0.3">
      <c r="A5695" s="676">
        <f t="shared" si="165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7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  <c r="Q5695" s="2"/>
      <c r="R5695" s="2"/>
    </row>
    <row r="5696" spans="1:18" ht="19.5" hidden="1" thickBot="1" x14ac:dyDescent="0.3">
      <c r="A5696" s="676">
        <f t="shared" si="165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7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  <c r="Q5696" s="2"/>
      <c r="R5696" s="2"/>
    </row>
    <row r="5697" spans="1:18" ht="19.5" hidden="1" thickBot="1" x14ac:dyDescent="0.3">
      <c r="A5697" s="676">
        <f t="shared" si="165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7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  <c r="Q5697" s="2"/>
      <c r="R5697" s="2"/>
    </row>
    <row r="5698" spans="1:18" ht="19.5" hidden="1" thickBot="1" x14ac:dyDescent="0.3">
      <c r="A5698" s="676">
        <f t="shared" si="165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7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  <c r="Q5698" s="2"/>
      <c r="R5698" s="2"/>
    </row>
    <row r="5699" spans="1:18" ht="19.5" hidden="1" thickBot="1" x14ac:dyDescent="0.3">
      <c r="A5699" s="676">
        <f t="shared" si="165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7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  <c r="Q5699" s="2"/>
      <c r="R5699" s="2"/>
    </row>
    <row r="5700" spans="1:18" ht="19.5" hidden="1" thickBot="1" x14ac:dyDescent="0.3">
      <c r="A5700" s="676">
        <f t="shared" si="165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7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  <c r="Q5700" s="2"/>
      <c r="R5700" s="2"/>
    </row>
    <row r="5701" spans="1:18" ht="19.5" hidden="1" thickBot="1" x14ac:dyDescent="0.3">
      <c r="A5701" s="676">
        <f t="shared" si="165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7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  <c r="Q5701" s="2"/>
      <c r="R5701" s="2"/>
    </row>
    <row r="5702" spans="1:18" ht="19.5" hidden="1" thickBot="1" x14ac:dyDescent="0.3">
      <c r="A5702" s="676">
        <f t="shared" si="165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7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  <c r="Q5702" s="2"/>
      <c r="R5702" s="2"/>
    </row>
    <row r="5703" spans="1:18" ht="19.5" hidden="1" thickBot="1" x14ac:dyDescent="0.3">
      <c r="A5703" s="676">
        <f t="shared" si="165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7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  <c r="Q5703" s="2"/>
      <c r="R5703" s="2"/>
    </row>
    <row r="5704" spans="1:18" ht="19.5" hidden="1" thickBot="1" x14ac:dyDescent="0.3">
      <c r="A5704" s="676">
        <f t="shared" si="165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7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  <c r="Q5704" s="2"/>
      <c r="R5704" s="2"/>
    </row>
    <row r="5705" spans="1:18" ht="19.5" hidden="1" thickBot="1" x14ac:dyDescent="0.3">
      <c r="A5705" s="676">
        <f t="shared" si="165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7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  <c r="Q5705" s="2"/>
      <c r="R5705" s="2"/>
    </row>
    <row r="5706" spans="1:18" ht="57" hidden="1" thickBot="1" x14ac:dyDescent="0.3">
      <c r="A5706" s="676">
        <f t="shared" si="165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7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  <c r="Q5706" s="2"/>
      <c r="R5706" s="2"/>
    </row>
    <row r="5707" spans="1:18" ht="19.5" hidden="1" thickBot="1" x14ac:dyDescent="0.3">
      <c r="A5707" s="676">
        <f t="shared" si="165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7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  <c r="Q5707" s="2"/>
      <c r="R5707" s="2"/>
    </row>
    <row r="5708" spans="1:18" ht="19.5" hidden="1" thickBot="1" x14ac:dyDescent="0.3">
      <c r="A5708" s="676">
        <f t="shared" si="165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7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  <c r="Q5708" s="2"/>
      <c r="R5708" s="2"/>
    </row>
    <row r="5709" spans="1:18" ht="19.5" hidden="1" thickBot="1" x14ac:dyDescent="0.3">
      <c r="A5709" s="676">
        <f t="shared" si="165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7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  <c r="Q5709" s="2"/>
      <c r="R5709" s="2"/>
    </row>
    <row r="5710" spans="1:18" ht="19.5" hidden="1" thickBot="1" x14ac:dyDescent="0.3">
      <c r="A5710" s="676">
        <f t="shared" si="165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7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  <c r="Q5710" s="2"/>
      <c r="R5710" s="2"/>
    </row>
    <row r="5711" spans="1:18" ht="19.5" hidden="1" thickBot="1" x14ac:dyDescent="0.3">
      <c r="A5711" s="676">
        <f t="shared" si="165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7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  <c r="Q5711" s="2"/>
      <c r="R5711" s="2"/>
    </row>
    <row r="5712" spans="1:18" ht="19.5" hidden="1" thickBot="1" x14ac:dyDescent="0.3">
      <c r="A5712" s="676">
        <f t="shared" si="165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7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  <c r="Q5712" s="2"/>
      <c r="R5712" s="2"/>
    </row>
    <row r="5713" spans="1:18" ht="38.25" hidden="1" thickBot="1" x14ac:dyDescent="0.3">
      <c r="A5713" s="676">
        <f t="shared" si="165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7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  <c r="Q5713" s="2"/>
      <c r="R5713" s="2"/>
    </row>
    <row r="5714" spans="1:18" ht="19.5" hidden="1" thickBot="1" x14ac:dyDescent="0.3">
      <c r="A5714" s="676">
        <f t="shared" si="165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7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  <c r="Q5714" s="2"/>
      <c r="R5714" s="2"/>
    </row>
    <row r="5715" spans="1:18" ht="19.5" hidden="1" thickBot="1" x14ac:dyDescent="0.3">
      <c r="A5715" s="676">
        <f t="shared" si="165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7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  <c r="Q5715" s="2"/>
      <c r="R5715" s="2"/>
    </row>
    <row r="5716" spans="1:18" ht="19.5" hidden="1" thickBot="1" x14ac:dyDescent="0.3">
      <c r="A5716" s="676">
        <f t="shared" ref="A5716:A5779" si="168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7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  <c r="Q5716" s="2"/>
      <c r="R5716" s="2"/>
    </row>
    <row r="5717" spans="1:18" ht="19.5" hidden="1" thickBot="1" x14ac:dyDescent="0.3">
      <c r="A5717" s="676">
        <f t="shared" si="168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7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  <c r="Q5717" s="2"/>
      <c r="R5717" s="2"/>
    </row>
    <row r="5718" spans="1:18" ht="19.5" hidden="1" thickBot="1" x14ac:dyDescent="0.3">
      <c r="A5718" s="676">
        <f t="shared" si="168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7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  <c r="Q5718" s="2"/>
      <c r="R5718" s="2"/>
    </row>
    <row r="5719" spans="1:18" ht="19.5" hidden="1" thickBot="1" x14ac:dyDescent="0.3">
      <c r="A5719" s="676">
        <f t="shared" si="168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7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  <c r="Q5719" s="2"/>
      <c r="R5719" s="2"/>
    </row>
    <row r="5720" spans="1:18" ht="19.5" hidden="1" thickBot="1" x14ac:dyDescent="0.3">
      <c r="A5720" s="676">
        <f t="shared" si="168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7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  <c r="Q5720" s="2"/>
      <c r="R5720" s="2"/>
    </row>
    <row r="5721" spans="1:18" ht="19.5" hidden="1" thickBot="1" x14ac:dyDescent="0.3">
      <c r="A5721" s="676">
        <f t="shared" si="168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7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  <c r="Q5721" s="2"/>
      <c r="R5721" s="2"/>
    </row>
    <row r="5722" spans="1:18" ht="19.5" hidden="1" thickBot="1" x14ac:dyDescent="0.3">
      <c r="A5722" s="676">
        <f t="shared" si="168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7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  <c r="Q5722" s="2"/>
      <c r="R5722" s="2"/>
    </row>
    <row r="5723" spans="1:18" ht="19.5" hidden="1" thickBot="1" x14ac:dyDescent="0.3">
      <c r="A5723" s="676">
        <f t="shared" si="168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7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  <c r="Q5723" s="2"/>
      <c r="R5723" s="2"/>
    </row>
    <row r="5724" spans="1:18" ht="19.5" hidden="1" thickBot="1" x14ac:dyDescent="0.3">
      <c r="A5724" s="676">
        <f t="shared" si="168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7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  <c r="Q5724" s="2"/>
      <c r="R5724" s="2"/>
    </row>
    <row r="5725" spans="1:18" ht="19.5" hidden="1" thickBot="1" x14ac:dyDescent="0.3">
      <c r="A5725" s="676">
        <f t="shared" si="168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7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  <c r="Q5725" s="2"/>
      <c r="R5725" s="2"/>
    </row>
    <row r="5726" spans="1:18" ht="19.5" hidden="1" thickBot="1" x14ac:dyDescent="0.3">
      <c r="A5726" s="676">
        <f t="shared" si="168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7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  <c r="Q5726" s="2"/>
      <c r="R5726" s="2"/>
    </row>
    <row r="5727" spans="1:18" ht="19.5" hidden="1" thickBot="1" x14ac:dyDescent="0.3">
      <c r="A5727" s="676">
        <f t="shared" si="168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7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  <c r="Q5727" s="2"/>
      <c r="R5727" s="2"/>
    </row>
    <row r="5728" spans="1:18" ht="19.5" hidden="1" thickBot="1" x14ac:dyDescent="0.3">
      <c r="A5728" s="676">
        <f t="shared" si="168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7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  <c r="Q5728" s="2"/>
      <c r="R5728" s="2"/>
    </row>
    <row r="5729" spans="1:18" ht="19.5" hidden="1" thickBot="1" x14ac:dyDescent="0.3">
      <c r="A5729" s="676">
        <f t="shared" si="168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7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  <c r="Q5729" s="2"/>
      <c r="R5729" s="2"/>
    </row>
    <row r="5730" spans="1:18" ht="19.5" hidden="1" thickBot="1" x14ac:dyDescent="0.3">
      <c r="A5730" s="678">
        <f t="shared" si="168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7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  <c r="Q5730" s="2"/>
      <c r="R5730" s="2"/>
    </row>
    <row r="5731" spans="1:18" ht="19.5" hidden="1" thickBot="1" x14ac:dyDescent="0.3">
      <c r="A5731" s="676">
        <f t="shared" si="168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7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  <c r="Q5731" s="2"/>
      <c r="R5731" s="2"/>
    </row>
    <row r="5732" spans="1:18" ht="19.5" hidden="1" thickBot="1" x14ac:dyDescent="0.3">
      <c r="A5732" s="678">
        <f t="shared" si="168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7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  <c r="Q5732" s="2"/>
      <c r="R5732" s="2"/>
    </row>
    <row r="5733" spans="1:18" ht="19.5" hidden="1" thickBot="1" x14ac:dyDescent="0.3">
      <c r="A5733" s="676">
        <f t="shared" si="168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7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  <c r="Q5733" s="2"/>
      <c r="R5733" s="2"/>
    </row>
    <row r="5734" spans="1:18" ht="19.5" hidden="1" thickBot="1" x14ac:dyDescent="0.3">
      <c r="A5734" s="678">
        <f t="shared" si="168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7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  <c r="Q5734" s="2"/>
      <c r="R5734" s="2"/>
    </row>
    <row r="5735" spans="1:18" ht="19.5" hidden="1" thickBot="1" x14ac:dyDescent="0.3">
      <c r="A5735" s="678">
        <f t="shared" si="168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7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  <c r="Q5735" s="2"/>
      <c r="R5735" s="2"/>
    </row>
    <row r="5736" spans="1:18" ht="19.5" hidden="1" thickBot="1" x14ac:dyDescent="0.3">
      <c r="A5736" s="676">
        <f t="shared" si="168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7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  <c r="Q5736" s="2"/>
      <c r="R5736" s="2"/>
    </row>
    <row r="5737" spans="1:18" ht="19.5" hidden="1" thickBot="1" x14ac:dyDescent="0.3">
      <c r="A5737" s="678">
        <f t="shared" si="168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7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  <c r="Q5737" s="2"/>
      <c r="R5737" s="2"/>
    </row>
    <row r="5738" spans="1:18" ht="19.5" hidden="1" thickBot="1" x14ac:dyDescent="0.3">
      <c r="A5738" s="676">
        <f t="shared" si="168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7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  <c r="Q5738" s="2"/>
      <c r="R5738" s="2"/>
    </row>
    <row r="5739" spans="1:18" ht="19.5" hidden="1" thickBot="1" x14ac:dyDescent="0.3">
      <c r="A5739" s="676">
        <f t="shared" si="168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7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  <c r="Q5739" s="2"/>
      <c r="R5739" s="2"/>
    </row>
    <row r="5740" spans="1:18" ht="19.5" hidden="1" thickBot="1" x14ac:dyDescent="0.3">
      <c r="A5740" s="676">
        <f t="shared" si="168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7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  <c r="Q5740" s="2"/>
      <c r="R5740" s="2"/>
    </row>
    <row r="5741" spans="1:18" ht="19.5" hidden="1" thickBot="1" x14ac:dyDescent="0.3">
      <c r="A5741" s="676">
        <f t="shared" si="168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7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  <c r="Q5741" s="2"/>
      <c r="R5741" s="2"/>
    </row>
    <row r="5742" spans="1:18" ht="19.5" hidden="1" thickBot="1" x14ac:dyDescent="0.3">
      <c r="A5742" s="678">
        <f t="shared" si="168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7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  <c r="Q5742" s="2"/>
      <c r="R5742" s="2"/>
    </row>
    <row r="5743" spans="1:18" ht="57" hidden="1" thickBot="1" x14ac:dyDescent="0.3">
      <c r="A5743" s="678">
        <f t="shared" si="168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7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  <c r="Q5743" s="2"/>
      <c r="R5743" s="2"/>
    </row>
    <row r="5744" spans="1:18" ht="19.5" hidden="1" thickBot="1" x14ac:dyDescent="0.3">
      <c r="A5744" s="678">
        <f t="shared" si="168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7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  <c r="Q5744" s="2"/>
      <c r="R5744" s="2"/>
    </row>
    <row r="5745" spans="1:18" ht="19.5" hidden="1" thickBot="1" x14ac:dyDescent="0.3">
      <c r="A5745" s="676">
        <f t="shared" si="168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7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  <c r="Q5745" s="2"/>
      <c r="R5745" s="2"/>
    </row>
    <row r="5746" spans="1:18" ht="19.5" hidden="1" thickBot="1" x14ac:dyDescent="0.3">
      <c r="A5746" s="676">
        <f t="shared" si="168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7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  <c r="Q5746" s="2"/>
      <c r="R5746" s="2"/>
    </row>
    <row r="5747" spans="1:18" ht="19.5" hidden="1" thickBot="1" x14ac:dyDescent="0.3">
      <c r="A5747" s="678">
        <f t="shared" si="168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7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  <c r="Q5747" s="2"/>
      <c r="R5747" s="2"/>
    </row>
    <row r="5748" spans="1:18" ht="19.5" hidden="1" thickBot="1" x14ac:dyDescent="0.3">
      <c r="A5748" s="678">
        <f t="shared" si="168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7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  <c r="Q5748" s="2"/>
      <c r="R5748" s="2"/>
    </row>
    <row r="5749" spans="1:18" ht="19.5" hidden="1" thickBot="1" x14ac:dyDescent="0.3">
      <c r="A5749" s="678">
        <f t="shared" si="168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7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  <c r="Q5749" s="2"/>
      <c r="R5749" s="2"/>
    </row>
    <row r="5750" spans="1:18" ht="19.5" hidden="1" thickBot="1" x14ac:dyDescent="0.3">
      <c r="A5750" s="676">
        <f t="shared" si="168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7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  <c r="Q5750" s="2"/>
      <c r="R5750" s="2"/>
    </row>
    <row r="5751" spans="1:18" ht="19.5" hidden="1" thickBot="1" x14ac:dyDescent="0.3">
      <c r="A5751" s="678">
        <f t="shared" si="168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9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  <c r="Q5751" s="2"/>
      <c r="R5751" s="2"/>
    </row>
    <row r="5752" spans="1:18" ht="19.5" hidden="1" thickBot="1" x14ac:dyDescent="0.3">
      <c r="A5752" s="678">
        <f t="shared" si="168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9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  <c r="Q5752" s="2"/>
      <c r="R5752" s="2"/>
    </row>
    <row r="5753" spans="1:18" ht="19.5" hidden="1" thickBot="1" x14ac:dyDescent="0.3">
      <c r="A5753" s="676">
        <f t="shared" si="168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9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  <c r="Q5753" s="2"/>
      <c r="R5753" s="2"/>
    </row>
    <row r="5754" spans="1:18" ht="19.5" hidden="1" thickBot="1" x14ac:dyDescent="0.3">
      <c r="A5754" s="676">
        <f t="shared" si="168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9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  <c r="Q5754" s="2"/>
      <c r="R5754" s="2"/>
    </row>
    <row r="5755" spans="1:18" ht="38.25" hidden="1" thickBot="1" x14ac:dyDescent="0.3">
      <c r="A5755" s="678">
        <f t="shared" si="168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9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  <c r="Q5755" s="2"/>
      <c r="R5755" s="2"/>
    </row>
    <row r="5756" spans="1:18" ht="19.5" hidden="1" thickBot="1" x14ac:dyDescent="0.3">
      <c r="A5756" s="676">
        <f t="shared" si="168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9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  <c r="Q5756" s="2"/>
      <c r="R5756" s="2"/>
    </row>
    <row r="5757" spans="1:18" ht="19.5" hidden="1" thickBot="1" x14ac:dyDescent="0.3">
      <c r="A5757" s="676">
        <f t="shared" si="168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9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  <c r="Q5757" s="2"/>
      <c r="R5757" s="2"/>
    </row>
    <row r="5758" spans="1:18" ht="19.5" hidden="1" thickBot="1" x14ac:dyDescent="0.3">
      <c r="A5758" s="678">
        <f t="shared" si="168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9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  <c r="Q5758" s="2"/>
      <c r="R5758" s="2"/>
    </row>
    <row r="5759" spans="1:18" ht="19.5" hidden="1" thickBot="1" x14ac:dyDescent="0.3">
      <c r="A5759" s="676">
        <f t="shared" si="168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9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  <c r="Q5759" s="2"/>
      <c r="R5759" s="2"/>
    </row>
    <row r="5760" spans="1:18" ht="19.5" hidden="1" thickBot="1" x14ac:dyDescent="0.3">
      <c r="A5760" s="527">
        <f t="shared" si="168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9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  <c r="Q5760" s="2"/>
      <c r="R5760" s="2"/>
    </row>
    <row r="5761" spans="1:18" ht="19.5" hidden="1" thickBot="1" x14ac:dyDescent="0.3">
      <c r="A5761" s="527">
        <f t="shared" si="168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9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  <c r="Q5761" s="2"/>
      <c r="R5761" s="2"/>
    </row>
    <row r="5762" spans="1:18" ht="19.5" hidden="1" thickBot="1" x14ac:dyDescent="0.3">
      <c r="A5762" s="527">
        <f t="shared" si="168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9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  <c r="Q5762" s="2"/>
      <c r="R5762" s="2"/>
    </row>
    <row r="5763" spans="1:18" ht="19.5" hidden="1" thickBot="1" x14ac:dyDescent="0.3">
      <c r="A5763" s="676">
        <f t="shared" si="168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9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  <c r="Q5763" s="2"/>
      <c r="R5763" s="2"/>
    </row>
    <row r="5764" spans="1:18" ht="19.5" hidden="1" thickBot="1" x14ac:dyDescent="0.3">
      <c r="A5764" s="676">
        <f t="shared" si="168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9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  <c r="Q5764" s="2"/>
      <c r="R5764" s="2"/>
    </row>
    <row r="5765" spans="1:18" ht="19.5" hidden="1" thickBot="1" x14ac:dyDescent="0.3">
      <c r="A5765" s="678">
        <f t="shared" si="168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9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  <c r="Q5765" s="2"/>
      <c r="R5765" s="2"/>
    </row>
    <row r="5766" spans="1:18" ht="38.25" hidden="1" thickBot="1" x14ac:dyDescent="0.3">
      <c r="A5766" s="678">
        <f t="shared" si="168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9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  <c r="Q5766" s="2"/>
      <c r="R5766" s="2"/>
    </row>
    <row r="5767" spans="1:18" ht="19.5" hidden="1" thickBot="1" x14ac:dyDescent="0.3">
      <c r="A5767" s="676">
        <f t="shared" si="168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9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  <c r="Q5767" s="2"/>
      <c r="R5767" s="2"/>
    </row>
    <row r="5768" spans="1:18" ht="19.5" hidden="1" thickBot="1" x14ac:dyDescent="0.3">
      <c r="A5768" s="676">
        <f t="shared" si="168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9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  <c r="Q5768" s="2"/>
      <c r="R5768" s="2"/>
    </row>
    <row r="5769" spans="1:18" ht="19.5" hidden="1" thickBot="1" x14ac:dyDescent="0.3">
      <c r="A5769" s="678">
        <f t="shared" si="168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9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  <c r="Q5769" s="2"/>
      <c r="R5769" s="2"/>
    </row>
    <row r="5770" spans="1:18" ht="19.5" hidden="1" thickBot="1" x14ac:dyDescent="0.3">
      <c r="A5770" s="676">
        <f t="shared" si="168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9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  <c r="Q5770" s="2"/>
      <c r="R5770" s="2"/>
    </row>
    <row r="5771" spans="1:18" ht="19.5" hidden="1" thickBot="1" x14ac:dyDescent="0.3">
      <c r="A5771" s="676">
        <f t="shared" si="168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9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  <c r="Q5771" s="2"/>
      <c r="R5771" s="2"/>
    </row>
    <row r="5772" spans="1:18" ht="19.5" hidden="1" thickBot="1" x14ac:dyDescent="0.3">
      <c r="A5772" s="676">
        <f t="shared" si="168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9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  <c r="Q5772" s="2"/>
      <c r="R5772" s="2"/>
    </row>
    <row r="5773" spans="1:18" ht="19.5" hidden="1" thickBot="1" x14ac:dyDescent="0.3">
      <c r="A5773" s="678">
        <f t="shared" si="168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9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  <c r="Q5773" s="2"/>
      <c r="R5773" s="2"/>
    </row>
    <row r="5774" spans="1:18" ht="19.5" hidden="1" thickBot="1" x14ac:dyDescent="0.3">
      <c r="A5774" s="678">
        <f t="shared" si="168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9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  <c r="Q5774" s="2"/>
      <c r="R5774" s="2"/>
    </row>
    <row r="5775" spans="1:18" ht="19.5" hidden="1" thickBot="1" x14ac:dyDescent="0.3">
      <c r="A5775" s="676">
        <f t="shared" si="168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9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  <c r="Q5775" s="2"/>
      <c r="R5775" s="2"/>
    </row>
    <row r="5776" spans="1:18" ht="19.5" hidden="1" thickBot="1" x14ac:dyDescent="0.3">
      <c r="A5776" s="678">
        <f t="shared" si="168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9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  <c r="Q5776" s="2"/>
      <c r="R5776" s="2"/>
    </row>
    <row r="5777" spans="1:18" ht="19.5" hidden="1" thickBot="1" x14ac:dyDescent="0.3">
      <c r="A5777" s="676">
        <f t="shared" si="168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9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  <c r="Q5777" s="2"/>
      <c r="R5777" s="2"/>
    </row>
    <row r="5778" spans="1:18" ht="19.5" hidden="1" thickBot="1" x14ac:dyDescent="0.3">
      <c r="A5778" s="678">
        <f t="shared" si="168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9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  <c r="Q5778" s="2"/>
      <c r="R5778" s="2"/>
    </row>
    <row r="5779" spans="1:18" ht="19.5" hidden="1" thickBot="1" x14ac:dyDescent="0.3">
      <c r="A5779" s="676">
        <f t="shared" si="168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9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  <c r="Q5779" s="2"/>
      <c r="R5779" s="2"/>
    </row>
    <row r="5780" spans="1:18" ht="19.5" hidden="1" thickBot="1" x14ac:dyDescent="0.3">
      <c r="A5780" s="678">
        <f t="shared" ref="A5780:A5843" si="170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9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  <c r="Q5780" s="2"/>
      <c r="R5780" s="2"/>
    </row>
    <row r="5781" spans="1:18" ht="19.5" hidden="1" thickBot="1" x14ac:dyDescent="0.3">
      <c r="A5781" s="678">
        <f t="shared" si="170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9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  <c r="Q5781" s="2"/>
      <c r="R5781" s="2"/>
    </row>
    <row r="5782" spans="1:18" ht="19.5" hidden="1" thickBot="1" x14ac:dyDescent="0.3">
      <c r="A5782" s="676">
        <f t="shared" si="170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9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  <c r="Q5782" s="2"/>
      <c r="R5782" s="2"/>
    </row>
    <row r="5783" spans="1:18" ht="19.5" hidden="1" thickBot="1" x14ac:dyDescent="0.3">
      <c r="A5783" s="678">
        <f t="shared" si="170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9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  <c r="Q5783" s="2"/>
      <c r="R5783" s="2"/>
    </row>
    <row r="5784" spans="1:18" ht="38.25" hidden="1" thickBot="1" x14ac:dyDescent="0.3">
      <c r="A5784" s="676">
        <f t="shared" si="170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9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  <c r="Q5784" s="2"/>
      <c r="R5784" s="2"/>
    </row>
    <row r="5785" spans="1:18" ht="19.5" hidden="1" thickBot="1" x14ac:dyDescent="0.3">
      <c r="A5785" s="676">
        <f t="shared" si="170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9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  <c r="Q5785" s="2"/>
      <c r="R5785" s="2"/>
    </row>
    <row r="5786" spans="1:18" ht="19.5" hidden="1" thickBot="1" x14ac:dyDescent="0.3">
      <c r="A5786" s="676">
        <f t="shared" si="170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9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  <c r="Q5786" s="2"/>
      <c r="R5786" s="2"/>
    </row>
    <row r="5787" spans="1:18" ht="19.5" hidden="1" thickBot="1" x14ac:dyDescent="0.3">
      <c r="A5787" s="678">
        <f t="shared" si="170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9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  <c r="Q5787" s="2"/>
      <c r="R5787" s="2"/>
    </row>
    <row r="5788" spans="1:18" ht="19.5" hidden="1" thickBot="1" x14ac:dyDescent="0.3">
      <c r="A5788" s="678">
        <f t="shared" si="170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9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  <c r="Q5788" s="2"/>
      <c r="R5788" s="2"/>
    </row>
    <row r="5789" spans="1:18" ht="19.5" hidden="1" thickBot="1" x14ac:dyDescent="0.3">
      <c r="A5789" s="678">
        <f t="shared" si="170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9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  <c r="Q5789" s="2"/>
      <c r="R5789" s="2"/>
    </row>
    <row r="5790" spans="1:18" ht="19.5" hidden="1" thickBot="1" x14ac:dyDescent="0.3">
      <c r="A5790" s="678">
        <f t="shared" si="170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9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  <c r="Q5790" s="2"/>
      <c r="R5790" s="2"/>
    </row>
    <row r="5791" spans="1:18" ht="19.5" hidden="1" thickBot="1" x14ac:dyDescent="0.3">
      <c r="A5791" s="676">
        <f t="shared" si="170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9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  <c r="Q5791" s="2"/>
      <c r="R5791" s="2"/>
    </row>
    <row r="5792" spans="1:18" ht="19.5" hidden="1" thickBot="1" x14ac:dyDescent="0.3">
      <c r="A5792" s="676">
        <f t="shared" si="170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9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  <c r="Q5792" s="2"/>
      <c r="R5792" s="2"/>
    </row>
    <row r="5793" spans="1:18" ht="19.5" hidden="1" thickBot="1" x14ac:dyDescent="0.3">
      <c r="A5793" s="678">
        <f t="shared" si="170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9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  <c r="Q5793" s="2"/>
      <c r="R5793" s="2"/>
    </row>
    <row r="5794" spans="1:18" ht="19.5" hidden="1" thickBot="1" x14ac:dyDescent="0.3">
      <c r="A5794" s="678">
        <f t="shared" si="170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9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  <c r="Q5794" s="2"/>
      <c r="R5794" s="2"/>
    </row>
    <row r="5795" spans="1:18" ht="19.5" hidden="1" thickBot="1" x14ac:dyDescent="0.3">
      <c r="A5795" s="678">
        <f t="shared" si="170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9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  <c r="Q5795" s="2"/>
      <c r="R5795" s="2"/>
    </row>
    <row r="5796" spans="1:18" ht="19.5" hidden="1" thickBot="1" x14ac:dyDescent="0.3">
      <c r="A5796" s="676">
        <f t="shared" si="170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9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  <c r="Q5796" s="2"/>
      <c r="R5796" s="2"/>
    </row>
    <row r="5797" spans="1:18" ht="19.5" hidden="1" thickBot="1" x14ac:dyDescent="0.3">
      <c r="A5797" s="676">
        <f t="shared" si="170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9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  <c r="Q5797" s="2"/>
      <c r="R5797" s="2"/>
    </row>
    <row r="5798" spans="1:18" ht="19.5" hidden="1" thickBot="1" x14ac:dyDescent="0.3">
      <c r="A5798" s="678">
        <f t="shared" si="170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9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  <c r="Q5798" s="2"/>
      <c r="R5798" s="2"/>
    </row>
    <row r="5799" spans="1:18" ht="19.5" hidden="1" thickBot="1" x14ac:dyDescent="0.3">
      <c r="A5799" s="678">
        <f t="shared" si="170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9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  <c r="Q5799" s="2"/>
      <c r="R5799" s="2"/>
    </row>
    <row r="5800" spans="1:18" ht="19.5" hidden="1" thickBot="1" x14ac:dyDescent="0.3">
      <c r="A5800" s="676">
        <f t="shared" si="170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9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  <c r="Q5800" s="2"/>
      <c r="R5800" s="2"/>
    </row>
    <row r="5801" spans="1:18" ht="38.25" hidden="1" thickBot="1" x14ac:dyDescent="0.3">
      <c r="A5801" s="678">
        <f t="shared" si="170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9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  <c r="Q5801" s="2"/>
      <c r="R5801" s="2"/>
    </row>
    <row r="5802" spans="1:18" ht="19.5" hidden="1" thickBot="1" x14ac:dyDescent="0.3">
      <c r="A5802" s="676">
        <f t="shared" si="170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9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  <c r="Q5802" s="2"/>
      <c r="R5802" s="2"/>
    </row>
    <row r="5803" spans="1:18" ht="19.5" hidden="1" thickBot="1" x14ac:dyDescent="0.3">
      <c r="A5803" s="678">
        <f t="shared" si="170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9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  <c r="Q5803" s="2"/>
      <c r="R5803" s="2"/>
    </row>
    <row r="5804" spans="1:18" ht="19.5" hidden="1" thickBot="1" x14ac:dyDescent="0.3">
      <c r="A5804" s="678">
        <f t="shared" si="170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9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  <c r="Q5804" s="2"/>
      <c r="R5804" s="2"/>
    </row>
    <row r="5805" spans="1:18" ht="19.5" hidden="1" thickBot="1" x14ac:dyDescent="0.3">
      <c r="A5805" s="678">
        <f t="shared" si="170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9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  <c r="Q5805" s="2"/>
      <c r="R5805" s="2"/>
    </row>
    <row r="5806" spans="1:18" ht="19.5" hidden="1" thickBot="1" x14ac:dyDescent="0.3">
      <c r="A5806" s="678">
        <f t="shared" si="170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9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  <c r="Q5806" s="2"/>
      <c r="R5806" s="2"/>
    </row>
    <row r="5807" spans="1:18" ht="19.5" hidden="1" thickBot="1" x14ac:dyDescent="0.3">
      <c r="A5807" s="676">
        <f t="shared" si="170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9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  <c r="Q5807" s="2"/>
      <c r="R5807" s="2"/>
    </row>
    <row r="5808" spans="1:18" ht="19.5" hidden="1" thickBot="1" x14ac:dyDescent="0.3">
      <c r="A5808" s="676">
        <f t="shared" si="170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9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  <c r="Q5808" s="2"/>
      <c r="R5808" s="2"/>
    </row>
    <row r="5809" spans="1:18" ht="19.5" hidden="1" thickBot="1" x14ac:dyDescent="0.3">
      <c r="A5809" s="676">
        <f t="shared" si="170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9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  <c r="Q5809" s="2"/>
      <c r="R5809" s="2"/>
    </row>
    <row r="5810" spans="1:18" ht="19.5" hidden="1" thickBot="1" x14ac:dyDescent="0.3">
      <c r="A5810" s="678">
        <f t="shared" si="170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9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  <c r="Q5810" s="2"/>
      <c r="R5810" s="2"/>
    </row>
    <row r="5811" spans="1:18" ht="19.5" hidden="1" thickBot="1" x14ac:dyDescent="0.3">
      <c r="A5811" s="678">
        <f t="shared" si="170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9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  <c r="Q5811" s="2"/>
      <c r="R5811" s="2"/>
    </row>
    <row r="5812" spans="1:18" ht="19.5" hidden="1" thickBot="1" x14ac:dyDescent="0.3">
      <c r="A5812" s="678">
        <f t="shared" si="170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9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  <c r="Q5812" s="2"/>
      <c r="R5812" s="2"/>
    </row>
    <row r="5813" spans="1:18" ht="19.5" hidden="1" thickBot="1" x14ac:dyDescent="0.3">
      <c r="A5813" s="676">
        <f t="shared" si="170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9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  <c r="Q5813" s="2"/>
      <c r="R5813" s="2"/>
    </row>
    <row r="5814" spans="1:18" ht="19.5" hidden="1" thickBot="1" x14ac:dyDescent="0.3">
      <c r="A5814" s="678">
        <f t="shared" si="170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9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  <c r="Q5814" s="2"/>
      <c r="R5814" s="2"/>
    </row>
    <row r="5815" spans="1:18" ht="19.5" hidden="1" thickBot="1" x14ac:dyDescent="0.3">
      <c r="A5815" s="676">
        <f t="shared" si="170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1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  <c r="Q5815" s="2"/>
      <c r="R5815" s="2"/>
    </row>
    <row r="5816" spans="1:18" ht="19.5" hidden="1" thickBot="1" x14ac:dyDescent="0.3">
      <c r="A5816" s="678">
        <f t="shared" si="170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1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  <c r="Q5816" s="2"/>
      <c r="R5816" s="2"/>
    </row>
    <row r="5817" spans="1:18" ht="19.5" hidden="1" thickBot="1" x14ac:dyDescent="0.3">
      <c r="A5817" s="678">
        <f t="shared" si="170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1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  <c r="Q5817" s="2"/>
      <c r="R5817" s="2"/>
    </row>
    <row r="5818" spans="1:18" ht="19.5" hidden="1" thickBot="1" x14ac:dyDescent="0.3">
      <c r="A5818" s="676">
        <f t="shared" si="170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1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  <c r="Q5818" s="2"/>
      <c r="R5818" s="2"/>
    </row>
    <row r="5819" spans="1:18" ht="19.5" hidden="1" thickBot="1" x14ac:dyDescent="0.3">
      <c r="A5819" s="676">
        <f t="shared" si="170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1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  <c r="Q5819" s="2"/>
      <c r="R5819" s="2"/>
    </row>
    <row r="5820" spans="1:18" ht="19.5" hidden="1" thickBot="1" x14ac:dyDescent="0.3">
      <c r="A5820" s="678">
        <f t="shared" si="170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1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  <c r="Q5820" s="2"/>
      <c r="R5820" s="2"/>
    </row>
    <row r="5821" spans="1:18" ht="19.5" hidden="1" thickBot="1" x14ac:dyDescent="0.3">
      <c r="A5821" s="676">
        <f t="shared" si="170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1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  <c r="Q5821" s="2"/>
      <c r="R5821" s="2"/>
    </row>
    <row r="5822" spans="1:18" ht="19.5" hidden="1" thickBot="1" x14ac:dyDescent="0.3">
      <c r="A5822" s="676">
        <f t="shared" si="170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1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  <c r="Q5822" s="2"/>
      <c r="R5822" s="2"/>
    </row>
    <row r="5823" spans="1:18" ht="38.25" hidden="1" thickBot="1" x14ac:dyDescent="0.3">
      <c r="A5823" s="676">
        <f t="shared" si="170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1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  <c r="Q5823" s="2"/>
      <c r="R5823" s="2"/>
    </row>
    <row r="5824" spans="1:18" ht="19.5" hidden="1" thickBot="1" x14ac:dyDescent="0.3">
      <c r="A5824" s="678">
        <f t="shared" si="170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1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  <c r="Q5824" s="2"/>
      <c r="R5824" s="2"/>
    </row>
    <row r="5825" spans="1:18" ht="19.5" hidden="1" thickBot="1" x14ac:dyDescent="0.3">
      <c r="A5825" s="678">
        <f t="shared" si="170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1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  <c r="Q5825" s="2"/>
      <c r="R5825" s="2"/>
    </row>
    <row r="5826" spans="1:18" ht="19.5" hidden="1" thickBot="1" x14ac:dyDescent="0.3">
      <c r="A5826" s="676">
        <f t="shared" si="170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1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  <c r="Q5826" s="2"/>
      <c r="R5826" s="2"/>
    </row>
    <row r="5827" spans="1:18" ht="19.5" hidden="1" thickBot="1" x14ac:dyDescent="0.3">
      <c r="A5827" s="678">
        <f t="shared" si="170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1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  <c r="Q5827" s="2"/>
      <c r="R5827" s="2"/>
    </row>
    <row r="5828" spans="1:18" ht="19.5" hidden="1" thickBot="1" x14ac:dyDescent="0.3">
      <c r="A5828" s="678">
        <f t="shared" si="170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1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  <c r="Q5828" s="2"/>
      <c r="R5828" s="2"/>
    </row>
    <row r="5829" spans="1:18" ht="19.5" hidden="1" thickBot="1" x14ac:dyDescent="0.3">
      <c r="A5829" s="678">
        <f t="shared" si="170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1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  <c r="Q5829" s="2"/>
      <c r="R5829" s="2"/>
    </row>
    <row r="5830" spans="1:18" ht="19.5" hidden="1" thickBot="1" x14ac:dyDescent="0.3">
      <c r="A5830" s="676">
        <f t="shared" si="170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1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  <c r="Q5830" s="2"/>
      <c r="R5830" s="2"/>
    </row>
    <row r="5831" spans="1:18" ht="19.5" hidden="1" thickBot="1" x14ac:dyDescent="0.3">
      <c r="A5831" s="676">
        <f t="shared" si="170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1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  <c r="Q5831" s="2"/>
      <c r="R5831" s="2"/>
    </row>
    <row r="5832" spans="1:18" ht="19.5" hidden="1" thickBot="1" x14ac:dyDescent="0.3">
      <c r="A5832" s="678">
        <f t="shared" si="170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1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  <c r="Q5832" s="2"/>
      <c r="R5832" s="2"/>
    </row>
    <row r="5833" spans="1:18" ht="19.5" hidden="1" thickBot="1" x14ac:dyDescent="0.3">
      <c r="A5833" s="676">
        <f t="shared" si="170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1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  <c r="Q5833" s="2"/>
      <c r="R5833" s="2"/>
    </row>
    <row r="5834" spans="1:18" ht="19.5" hidden="1" thickBot="1" x14ac:dyDescent="0.3">
      <c r="A5834" s="678">
        <f t="shared" si="170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1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  <c r="Q5834" s="2"/>
      <c r="R5834" s="2"/>
    </row>
    <row r="5835" spans="1:18" ht="19.5" hidden="1" thickBot="1" x14ac:dyDescent="0.3">
      <c r="A5835" s="676">
        <f t="shared" si="170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1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  <c r="Q5835" s="2"/>
      <c r="R5835" s="2"/>
    </row>
    <row r="5836" spans="1:18" ht="57" hidden="1" thickBot="1" x14ac:dyDescent="0.3">
      <c r="A5836" s="676">
        <f t="shared" si="170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1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  <c r="Q5836" s="2"/>
      <c r="R5836" s="2"/>
    </row>
    <row r="5837" spans="1:18" ht="19.5" hidden="1" thickBot="1" x14ac:dyDescent="0.3">
      <c r="A5837" s="676">
        <f t="shared" si="170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1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  <c r="Q5837" s="2"/>
      <c r="R5837" s="2"/>
    </row>
    <row r="5838" spans="1:18" ht="38.25" hidden="1" thickBot="1" x14ac:dyDescent="0.3">
      <c r="A5838" s="678">
        <f t="shared" si="170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1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  <c r="Q5838" s="2"/>
      <c r="R5838" s="2"/>
    </row>
    <row r="5839" spans="1:18" ht="19.5" hidden="1" thickBot="1" x14ac:dyDescent="0.3">
      <c r="A5839" s="676">
        <f t="shared" si="170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1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  <c r="Q5839" s="2"/>
      <c r="R5839" s="2"/>
    </row>
    <row r="5840" spans="1:18" ht="19.5" hidden="1" thickBot="1" x14ac:dyDescent="0.3">
      <c r="A5840" s="678">
        <f t="shared" si="170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1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  <c r="Q5840" s="2"/>
      <c r="R5840" s="2"/>
    </row>
    <row r="5841" spans="1:18" ht="19.5" hidden="1" thickBot="1" x14ac:dyDescent="0.3">
      <c r="A5841" s="678">
        <f t="shared" si="170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1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  <c r="Q5841" s="2"/>
      <c r="R5841" s="2"/>
    </row>
    <row r="5842" spans="1:18" ht="19.5" hidden="1" thickBot="1" x14ac:dyDescent="0.3">
      <c r="A5842" s="678">
        <f t="shared" si="170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1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  <c r="Q5842" s="2"/>
      <c r="R5842" s="2"/>
    </row>
    <row r="5843" spans="1:18" ht="19.5" hidden="1" thickBot="1" x14ac:dyDescent="0.3">
      <c r="A5843" s="678">
        <f t="shared" si="170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1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  <c r="Q5843" s="2"/>
      <c r="R5843" s="2"/>
    </row>
    <row r="5844" spans="1:18" ht="19.5" hidden="1" thickBot="1" x14ac:dyDescent="0.3">
      <c r="A5844" s="676">
        <f t="shared" ref="A5844:A5908" si="172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1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  <c r="Q5844" s="2"/>
      <c r="R5844" s="2"/>
    </row>
    <row r="5845" spans="1:18" ht="19.5" hidden="1" thickBot="1" x14ac:dyDescent="0.3">
      <c r="A5845" s="676">
        <f t="shared" si="172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1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  <c r="Q5845" s="2"/>
      <c r="R5845" s="2"/>
    </row>
    <row r="5846" spans="1:18" ht="19.5" hidden="1" thickBot="1" x14ac:dyDescent="0.3">
      <c r="A5846" s="676">
        <f t="shared" si="172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1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  <c r="Q5846" s="2"/>
      <c r="R5846" s="2"/>
    </row>
    <row r="5847" spans="1:18" ht="19.5" hidden="1" thickBot="1" x14ac:dyDescent="0.3">
      <c r="A5847" s="678">
        <f t="shared" si="172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1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  <c r="Q5847" s="2"/>
      <c r="R5847" s="2"/>
    </row>
    <row r="5848" spans="1:18" ht="19.5" hidden="1" thickBot="1" x14ac:dyDescent="0.3">
      <c r="A5848" s="678">
        <f t="shared" si="172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1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  <c r="Q5848" s="2"/>
      <c r="R5848" s="2"/>
    </row>
    <row r="5849" spans="1:18" ht="19.5" hidden="1" thickBot="1" x14ac:dyDescent="0.3">
      <c r="A5849" s="676">
        <f t="shared" si="172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1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  <c r="Q5849" s="2"/>
      <c r="R5849" s="2"/>
    </row>
    <row r="5850" spans="1:18" ht="19.5" hidden="1" thickBot="1" x14ac:dyDescent="0.3">
      <c r="A5850" s="676">
        <f t="shared" si="172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1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  <c r="Q5850" s="2"/>
      <c r="R5850" s="2"/>
    </row>
    <row r="5851" spans="1:18" ht="19.5" hidden="1" thickBot="1" x14ac:dyDescent="0.3">
      <c r="A5851" s="676">
        <f t="shared" si="172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1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  <c r="Q5851" s="2"/>
      <c r="R5851" s="2"/>
    </row>
    <row r="5852" spans="1:18" ht="19.5" hidden="1" thickBot="1" x14ac:dyDescent="0.3">
      <c r="A5852" s="678">
        <f t="shared" si="172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1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  <c r="Q5852" s="2"/>
      <c r="R5852" s="2"/>
    </row>
    <row r="5853" spans="1:18" ht="19.5" hidden="1" thickBot="1" x14ac:dyDescent="0.3">
      <c r="A5853" s="678">
        <f t="shared" si="172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1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  <c r="Q5853" s="2"/>
      <c r="R5853" s="2"/>
    </row>
    <row r="5854" spans="1:18" ht="19.5" hidden="1" thickBot="1" x14ac:dyDescent="0.3">
      <c r="A5854" s="676">
        <f t="shared" si="172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1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  <c r="Q5854" s="2"/>
      <c r="R5854" s="2"/>
    </row>
    <row r="5855" spans="1:18" ht="19.5" hidden="1" thickBot="1" x14ac:dyDescent="0.3">
      <c r="A5855" s="678">
        <f t="shared" si="172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1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  <c r="Q5855" s="2"/>
      <c r="R5855" s="2"/>
    </row>
    <row r="5856" spans="1:18" ht="19.5" hidden="1" thickBot="1" x14ac:dyDescent="0.3">
      <c r="A5856" s="678">
        <f t="shared" si="172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1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  <c r="Q5856" s="2"/>
      <c r="R5856" s="2"/>
    </row>
    <row r="5857" spans="1:18" ht="19.5" hidden="1" thickBot="1" x14ac:dyDescent="0.3">
      <c r="A5857" s="676">
        <f t="shared" si="172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1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  <c r="Q5857" s="2"/>
      <c r="R5857" s="2"/>
    </row>
    <row r="5858" spans="1:18" ht="19.5" hidden="1" thickBot="1" x14ac:dyDescent="0.3">
      <c r="A5858" s="678">
        <f t="shared" si="172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1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  <c r="Q5858" s="2"/>
      <c r="R5858" s="2"/>
    </row>
    <row r="5859" spans="1:18" ht="19.5" hidden="1" thickBot="1" x14ac:dyDescent="0.3">
      <c r="A5859" s="676">
        <f t="shared" si="172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1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  <c r="Q5859" s="2"/>
      <c r="R5859" s="2"/>
    </row>
    <row r="5860" spans="1:18" ht="19.5" hidden="1" thickBot="1" x14ac:dyDescent="0.3">
      <c r="A5860" s="678">
        <f t="shared" si="172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1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  <c r="Q5860" s="2"/>
      <c r="R5860" s="2"/>
    </row>
    <row r="5861" spans="1:18" ht="19.5" hidden="1" thickBot="1" x14ac:dyDescent="0.3">
      <c r="A5861" s="676">
        <f t="shared" si="172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1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  <c r="Q5861" s="2"/>
      <c r="R5861" s="2"/>
    </row>
    <row r="5862" spans="1:18" ht="19.5" hidden="1" thickBot="1" x14ac:dyDescent="0.3">
      <c r="A5862" s="676">
        <f t="shared" si="172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1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  <c r="Q5862" s="2"/>
      <c r="R5862" s="2"/>
    </row>
    <row r="5863" spans="1:18" ht="19.5" hidden="1" thickBot="1" x14ac:dyDescent="0.3">
      <c r="A5863" s="678">
        <f t="shared" si="172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1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  <c r="Q5863" s="2"/>
      <c r="R5863" s="2"/>
    </row>
    <row r="5864" spans="1:18" ht="19.5" hidden="1" thickBot="1" x14ac:dyDescent="0.3">
      <c r="A5864" s="678">
        <f t="shared" si="172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1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  <c r="Q5864" s="2"/>
      <c r="R5864" s="2"/>
    </row>
    <row r="5865" spans="1:18" ht="19.5" hidden="1" thickBot="1" x14ac:dyDescent="0.3">
      <c r="A5865" s="676">
        <f t="shared" si="172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1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  <c r="Q5865" s="2"/>
      <c r="R5865" s="2"/>
    </row>
    <row r="5866" spans="1:18" ht="19.5" hidden="1" thickBot="1" x14ac:dyDescent="0.3">
      <c r="A5866" s="678">
        <f t="shared" si="172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1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  <c r="Q5866" s="2"/>
      <c r="R5866" s="2"/>
    </row>
    <row r="5867" spans="1:18" ht="19.5" hidden="1" thickBot="1" x14ac:dyDescent="0.3">
      <c r="A5867" s="676">
        <f t="shared" si="172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1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  <c r="Q5867" s="2"/>
      <c r="R5867" s="2"/>
    </row>
    <row r="5868" spans="1:18" ht="19.5" hidden="1" thickBot="1" x14ac:dyDescent="0.3">
      <c r="A5868" s="676">
        <f t="shared" si="172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1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  <c r="Q5868" s="2"/>
      <c r="R5868" s="2"/>
    </row>
    <row r="5869" spans="1:18" ht="19.5" hidden="1" thickBot="1" x14ac:dyDescent="0.3">
      <c r="A5869" s="676">
        <f t="shared" si="172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1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  <c r="Q5869" s="2"/>
      <c r="R5869" s="2"/>
    </row>
    <row r="5870" spans="1:18" ht="19.5" hidden="1" thickBot="1" x14ac:dyDescent="0.3">
      <c r="A5870" s="676">
        <f t="shared" si="172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1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  <c r="Q5870" s="2"/>
      <c r="R5870" s="2"/>
    </row>
    <row r="5871" spans="1:18" ht="19.5" hidden="1" thickBot="1" x14ac:dyDescent="0.3">
      <c r="A5871" s="676">
        <f t="shared" si="172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1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  <c r="Q5871" s="2"/>
      <c r="R5871" s="2"/>
    </row>
    <row r="5872" spans="1:18" ht="19.5" hidden="1" thickBot="1" x14ac:dyDescent="0.3">
      <c r="A5872" s="678">
        <f t="shared" si="172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1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  <c r="Q5872" s="2"/>
      <c r="R5872" s="2"/>
    </row>
    <row r="5873" spans="1:18" ht="57" hidden="1" thickBot="1" x14ac:dyDescent="0.3">
      <c r="A5873" s="678">
        <f t="shared" si="172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1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  <c r="Q5873" s="2"/>
      <c r="R5873" s="2"/>
    </row>
    <row r="5874" spans="1:18" ht="19.5" hidden="1" thickBot="1" x14ac:dyDescent="0.3">
      <c r="A5874" s="678">
        <f t="shared" si="172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1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  <c r="Q5874" s="2"/>
      <c r="R5874" s="2"/>
    </row>
    <row r="5875" spans="1:18" ht="19.5" hidden="1" thickBot="1" x14ac:dyDescent="0.3">
      <c r="A5875" s="676">
        <f t="shared" si="172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1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  <c r="Q5875" s="2"/>
      <c r="R5875" s="2"/>
    </row>
    <row r="5876" spans="1:18" ht="19.5" hidden="1" thickBot="1" x14ac:dyDescent="0.3">
      <c r="A5876" s="678">
        <f t="shared" si="172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1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  <c r="Q5876" s="2"/>
      <c r="R5876" s="2"/>
    </row>
    <row r="5877" spans="1:18" ht="19.5" hidden="1" thickBot="1" x14ac:dyDescent="0.3">
      <c r="A5877" s="678">
        <f t="shared" si="172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1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  <c r="Q5877" s="2"/>
      <c r="R5877" s="2"/>
    </row>
    <row r="5878" spans="1:18" ht="19.5" hidden="1" thickBot="1" x14ac:dyDescent="0.3">
      <c r="A5878" s="676">
        <f t="shared" si="172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1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  <c r="Q5878" s="2"/>
      <c r="R5878" s="2"/>
    </row>
    <row r="5879" spans="1:18" ht="75.75" hidden="1" thickBot="1" x14ac:dyDescent="0.3">
      <c r="A5879" s="678">
        <f t="shared" si="172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3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  <c r="Q5879" s="2"/>
      <c r="R5879" s="2"/>
    </row>
    <row r="5880" spans="1:18" ht="19.5" hidden="1" thickBot="1" x14ac:dyDescent="0.3">
      <c r="A5880" s="676">
        <f t="shared" si="172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3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  <c r="Q5880" s="2"/>
      <c r="R5880" s="2"/>
    </row>
    <row r="5881" spans="1:18" ht="19.5" hidden="1" thickBot="1" x14ac:dyDescent="0.3">
      <c r="A5881" s="678">
        <f t="shared" si="172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3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  <c r="Q5881" s="2"/>
      <c r="R5881" s="2"/>
    </row>
    <row r="5882" spans="1:18" ht="19.5" hidden="1" thickBot="1" x14ac:dyDescent="0.3">
      <c r="A5882" s="678">
        <f t="shared" si="172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3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  <c r="Q5882" s="2"/>
      <c r="R5882" s="2"/>
    </row>
    <row r="5883" spans="1:18" ht="19.5" hidden="1" thickBot="1" x14ac:dyDescent="0.3">
      <c r="A5883" s="678">
        <f t="shared" si="172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3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  <c r="Q5883" s="2"/>
      <c r="R5883" s="2"/>
    </row>
    <row r="5884" spans="1:18" ht="19.5" hidden="1" thickBot="1" x14ac:dyDescent="0.3">
      <c r="A5884" s="676">
        <f t="shared" si="172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3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  <c r="Q5884" s="2"/>
      <c r="R5884" s="2"/>
    </row>
    <row r="5885" spans="1:18" ht="19.5" hidden="1" thickBot="1" x14ac:dyDescent="0.3">
      <c r="A5885" s="676">
        <f t="shared" si="172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3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  <c r="Q5885" s="2"/>
      <c r="R5885" s="2"/>
    </row>
    <row r="5886" spans="1:18" ht="19.5" hidden="1" thickBot="1" x14ac:dyDescent="0.3">
      <c r="A5886" s="678">
        <f t="shared" si="172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3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  <c r="Q5886" s="2"/>
      <c r="R5886" s="2"/>
    </row>
    <row r="5887" spans="1:18" ht="19.5" hidden="1" thickBot="1" x14ac:dyDescent="0.3">
      <c r="A5887" s="676">
        <f t="shared" si="172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3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  <c r="Q5887" s="2"/>
      <c r="R5887" s="2"/>
    </row>
    <row r="5888" spans="1:18" ht="19.5" hidden="1" thickBot="1" x14ac:dyDescent="0.3">
      <c r="A5888" s="678">
        <f t="shared" si="172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3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  <c r="Q5888" s="2"/>
      <c r="R5888" s="2"/>
    </row>
    <row r="5889" spans="1:18" ht="19.5" hidden="1" thickBot="1" x14ac:dyDescent="0.3">
      <c r="A5889" s="678">
        <f t="shared" si="172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3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  <c r="Q5889" s="2"/>
      <c r="R5889" s="2"/>
    </row>
    <row r="5890" spans="1:18" ht="19.5" hidden="1" thickBot="1" x14ac:dyDescent="0.3">
      <c r="A5890" s="676">
        <f t="shared" si="172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3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  <c r="Q5890" s="2"/>
      <c r="R5890" s="2"/>
    </row>
    <row r="5891" spans="1:18" ht="19.5" hidden="1" thickBot="1" x14ac:dyDescent="0.3">
      <c r="A5891" s="676">
        <f t="shared" si="172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3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  <c r="Q5891" s="2"/>
      <c r="R5891" s="2"/>
    </row>
    <row r="5892" spans="1:18" ht="19.5" hidden="1" thickBot="1" x14ac:dyDescent="0.3">
      <c r="A5892" s="678">
        <f t="shared" si="172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3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  <c r="Q5892" s="2"/>
      <c r="R5892" s="2"/>
    </row>
    <row r="5893" spans="1:18" ht="19.5" hidden="1" thickBot="1" x14ac:dyDescent="0.3">
      <c r="A5893" s="676">
        <f t="shared" si="172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3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  <c r="Q5893" s="2"/>
      <c r="R5893" s="2"/>
    </row>
    <row r="5894" spans="1:18" ht="19.5" hidden="1" thickBot="1" x14ac:dyDescent="0.3">
      <c r="A5894" s="678">
        <f t="shared" si="172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3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  <c r="Q5894" s="2"/>
      <c r="R5894" s="2"/>
    </row>
    <row r="5895" spans="1:18" ht="19.5" hidden="1" thickBot="1" x14ac:dyDescent="0.3">
      <c r="A5895" s="676">
        <f t="shared" si="172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3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  <c r="Q5895" s="2"/>
      <c r="R5895" s="2"/>
    </row>
    <row r="5896" spans="1:18" ht="19.5" hidden="1" thickBot="1" x14ac:dyDescent="0.3">
      <c r="A5896" s="676">
        <f t="shared" si="172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3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  <c r="Q5896" s="2"/>
      <c r="R5896" s="2"/>
    </row>
    <row r="5897" spans="1:18" ht="19.5" hidden="1" thickBot="1" x14ac:dyDescent="0.3">
      <c r="A5897" s="678">
        <f t="shared" si="172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3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  <c r="Q5897" s="2"/>
      <c r="R5897" s="2"/>
    </row>
    <row r="5898" spans="1:18" ht="19.5" hidden="1" thickBot="1" x14ac:dyDescent="0.3">
      <c r="A5898" s="678">
        <f t="shared" si="172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3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  <c r="Q5898" s="2"/>
      <c r="R5898" s="2"/>
    </row>
    <row r="5899" spans="1:18" ht="19.5" hidden="1" thickBot="1" x14ac:dyDescent="0.3">
      <c r="A5899" s="678">
        <f t="shared" si="172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3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  <c r="Q5899" s="2"/>
      <c r="R5899" s="2"/>
    </row>
    <row r="5900" spans="1:18" ht="19.5" hidden="1" thickBot="1" x14ac:dyDescent="0.3">
      <c r="A5900" s="676">
        <f t="shared" si="172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3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  <c r="Q5900" s="2"/>
      <c r="R5900" s="2"/>
    </row>
    <row r="5901" spans="1:18" ht="19.5" hidden="1" thickBot="1" x14ac:dyDescent="0.3">
      <c r="A5901" s="678">
        <f t="shared" si="172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3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  <c r="Q5901" s="2"/>
      <c r="R5901" s="2"/>
    </row>
    <row r="5902" spans="1:18" ht="19.5" hidden="1" thickBot="1" x14ac:dyDescent="0.3">
      <c r="A5902" s="676">
        <f t="shared" si="172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3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  <c r="Q5902" s="2"/>
      <c r="R5902" s="2"/>
    </row>
    <row r="5903" spans="1:18" ht="19.5" hidden="1" thickBot="1" x14ac:dyDescent="0.3">
      <c r="A5903" s="676">
        <f t="shared" si="172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3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  <c r="Q5903" s="2"/>
      <c r="R5903" s="2"/>
    </row>
    <row r="5904" spans="1:18" ht="19.5" hidden="1" thickBot="1" x14ac:dyDescent="0.3">
      <c r="A5904" s="676">
        <f t="shared" si="172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3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  <c r="Q5904" s="2"/>
      <c r="R5904" s="2"/>
    </row>
    <row r="5905" spans="1:18" ht="19.5" hidden="1" thickBot="1" x14ac:dyDescent="0.3">
      <c r="A5905" s="678">
        <f t="shared" si="172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3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  <c r="Q5905" s="2"/>
      <c r="R5905" s="2"/>
    </row>
    <row r="5906" spans="1:18" ht="19.5" hidden="1" thickBot="1" x14ac:dyDescent="0.3">
      <c r="A5906" s="678">
        <f t="shared" si="172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3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  <c r="Q5906" s="2"/>
      <c r="R5906" s="2"/>
    </row>
    <row r="5907" spans="1:18" ht="19.5" hidden="1" thickBot="1" x14ac:dyDescent="0.3">
      <c r="A5907" s="676">
        <f t="shared" si="172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3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  <c r="Q5907" s="2"/>
      <c r="R5907" s="2"/>
    </row>
    <row r="5908" spans="1:18" ht="19.5" hidden="1" thickBot="1" x14ac:dyDescent="0.3">
      <c r="A5908" s="676">
        <f t="shared" si="172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3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  <c r="Q5908" s="2"/>
      <c r="R5908" s="2"/>
    </row>
    <row r="5909" spans="1:18" ht="19.5" hidden="1" thickBot="1" x14ac:dyDescent="0.3">
      <c r="A5909" s="678">
        <f t="shared" ref="A5909:A5972" si="174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3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  <c r="Q5909" s="2"/>
      <c r="R5909" s="2"/>
    </row>
    <row r="5910" spans="1:18" ht="19.5" hidden="1" thickBot="1" x14ac:dyDescent="0.3">
      <c r="A5910" s="678">
        <f t="shared" si="174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3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  <c r="Q5910" s="2"/>
      <c r="R5910" s="2"/>
    </row>
    <row r="5911" spans="1:18" ht="38.25" hidden="1" thickBot="1" x14ac:dyDescent="0.3">
      <c r="A5911" s="676">
        <f t="shared" si="174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3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  <c r="Q5911" s="2"/>
      <c r="R5911" s="2"/>
    </row>
    <row r="5912" spans="1:18" ht="75.75" hidden="1" thickBot="1" x14ac:dyDescent="0.3">
      <c r="A5912" s="678">
        <f t="shared" si="174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3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  <c r="Q5912" s="2"/>
      <c r="R5912" s="2"/>
    </row>
    <row r="5913" spans="1:18" ht="19.5" hidden="1" thickBot="1" x14ac:dyDescent="0.3">
      <c r="A5913" s="676">
        <f t="shared" si="174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3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  <c r="Q5913" s="2"/>
      <c r="R5913" s="2"/>
    </row>
    <row r="5914" spans="1:18" ht="19.5" hidden="1" thickBot="1" x14ac:dyDescent="0.3">
      <c r="A5914" s="678">
        <f t="shared" si="174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3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  <c r="Q5914" s="2"/>
      <c r="R5914" s="2"/>
    </row>
    <row r="5915" spans="1:18" ht="19.5" hidden="1" thickBot="1" x14ac:dyDescent="0.3">
      <c r="A5915" s="678">
        <f t="shared" si="174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3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  <c r="Q5915" s="2"/>
      <c r="R5915" s="2"/>
    </row>
    <row r="5916" spans="1:18" ht="19.5" hidden="1" thickBot="1" x14ac:dyDescent="0.3">
      <c r="A5916" s="676">
        <f t="shared" si="174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3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  <c r="Q5916" s="2"/>
      <c r="R5916" s="2"/>
    </row>
    <row r="5917" spans="1:18" ht="19.5" hidden="1" thickBot="1" x14ac:dyDescent="0.3">
      <c r="A5917" s="678">
        <f t="shared" si="174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3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  <c r="Q5917" s="2"/>
      <c r="R5917" s="2"/>
    </row>
    <row r="5918" spans="1:18" ht="19.5" hidden="1" thickBot="1" x14ac:dyDescent="0.3">
      <c r="A5918" s="676">
        <f t="shared" si="174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3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  <c r="Q5918" s="2"/>
      <c r="R5918" s="2"/>
    </row>
    <row r="5919" spans="1:18" ht="19.5" hidden="1" thickBot="1" x14ac:dyDescent="0.3">
      <c r="A5919" s="678">
        <f t="shared" si="174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3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  <c r="Q5919" s="2"/>
      <c r="R5919" s="2"/>
    </row>
    <row r="5920" spans="1:18" ht="19.5" hidden="1" thickBot="1" x14ac:dyDescent="0.3">
      <c r="A5920" s="678">
        <f t="shared" si="174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3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  <c r="Q5920" s="2"/>
      <c r="R5920" s="2"/>
    </row>
    <row r="5921" spans="1:18" ht="19.5" hidden="1" thickBot="1" x14ac:dyDescent="0.3">
      <c r="A5921" s="676">
        <f t="shared" si="174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3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  <c r="Q5921" s="2"/>
      <c r="R5921" s="2"/>
    </row>
    <row r="5922" spans="1:18" ht="19.5" hidden="1" thickBot="1" x14ac:dyDescent="0.3">
      <c r="A5922" s="678">
        <f t="shared" si="174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3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  <c r="Q5922" s="2"/>
      <c r="R5922" s="2"/>
    </row>
    <row r="5923" spans="1:18" ht="19.5" hidden="1" thickBot="1" x14ac:dyDescent="0.3">
      <c r="A5923" s="678">
        <f t="shared" si="174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3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  <c r="Q5923" s="2"/>
      <c r="R5923" s="2"/>
    </row>
    <row r="5924" spans="1:18" ht="19.5" hidden="1" thickBot="1" x14ac:dyDescent="0.3">
      <c r="A5924" s="676">
        <f t="shared" si="174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3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  <c r="Q5924" s="2"/>
      <c r="R5924" s="2"/>
    </row>
    <row r="5925" spans="1:18" ht="19.5" hidden="1" thickBot="1" x14ac:dyDescent="0.3">
      <c r="A5925" s="678">
        <f t="shared" si="174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3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  <c r="Q5925" s="2"/>
      <c r="R5925" s="2"/>
    </row>
    <row r="5926" spans="1:18" ht="19.5" hidden="1" thickBot="1" x14ac:dyDescent="0.3">
      <c r="A5926" s="678">
        <f t="shared" si="174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3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  <c r="Q5926" s="2"/>
      <c r="R5926" s="2"/>
    </row>
    <row r="5927" spans="1:18" ht="19.5" hidden="1" thickBot="1" x14ac:dyDescent="0.3">
      <c r="A5927" s="676">
        <f t="shared" si="174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3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  <c r="Q5927" s="2"/>
      <c r="R5927" s="2"/>
    </row>
    <row r="5928" spans="1:18" ht="19.5" hidden="1" thickBot="1" x14ac:dyDescent="0.3">
      <c r="A5928" s="678">
        <f t="shared" si="174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3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  <c r="Q5928" s="2"/>
      <c r="R5928" s="2"/>
    </row>
    <row r="5929" spans="1:18" ht="19.5" hidden="1" thickBot="1" x14ac:dyDescent="0.3">
      <c r="A5929" s="678">
        <f t="shared" si="174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3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  <c r="Q5929" s="2"/>
      <c r="R5929" s="2"/>
    </row>
    <row r="5930" spans="1:18" ht="19.5" hidden="1" thickBot="1" x14ac:dyDescent="0.3">
      <c r="A5930" s="676">
        <f t="shared" si="174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3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  <c r="Q5930" s="2"/>
      <c r="R5930" s="2"/>
    </row>
    <row r="5931" spans="1:18" ht="19.5" hidden="1" thickBot="1" x14ac:dyDescent="0.3">
      <c r="A5931" s="678">
        <f t="shared" si="174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3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  <c r="Q5931" s="2"/>
      <c r="R5931" s="2"/>
    </row>
    <row r="5932" spans="1:18" ht="19.5" hidden="1" thickBot="1" x14ac:dyDescent="0.3">
      <c r="A5932" s="678">
        <f t="shared" si="174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3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  <c r="Q5932" s="2"/>
      <c r="R5932" s="2"/>
    </row>
    <row r="5933" spans="1:18" ht="19.5" hidden="1" thickBot="1" x14ac:dyDescent="0.3">
      <c r="A5933" s="676">
        <f t="shared" si="174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3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  <c r="Q5933" s="2"/>
      <c r="R5933" s="2"/>
    </row>
    <row r="5934" spans="1:18" ht="19.5" hidden="1" thickBot="1" x14ac:dyDescent="0.3">
      <c r="A5934" s="678">
        <f t="shared" si="174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3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  <c r="Q5934" s="2"/>
      <c r="R5934" s="2"/>
    </row>
    <row r="5935" spans="1:18" ht="19.5" hidden="1" thickBot="1" x14ac:dyDescent="0.3">
      <c r="A5935" s="676">
        <f t="shared" si="174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3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  <c r="Q5935" s="2"/>
      <c r="R5935" s="2"/>
    </row>
    <row r="5936" spans="1:18" ht="19.5" hidden="1" thickBot="1" x14ac:dyDescent="0.3">
      <c r="A5936" s="678">
        <f t="shared" si="174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3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  <c r="Q5936" s="2"/>
      <c r="R5936" s="2"/>
    </row>
    <row r="5937" spans="1:18" ht="19.5" hidden="1" thickBot="1" x14ac:dyDescent="0.3">
      <c r="A5937" s="676">
        <f t="shared" si="174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3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  <c r="Q5937" s="2"/>
      <c r="R5937" s="2"/>
    </row>
    <row r="5938" spans="1:18" ht="19.5" hidden="1" thickBot="1" x14ac:dyDescent="0.3">
      <c r="A5938" s="676">
        <f t="shared" si="174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3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  <c r="Q5938" s="2"/>
      <c r="R5938" s="2"/>
    </row>
    <row r="5939" spans="1:18" ht="19.5" hidden="1" thickBot="1" x14ac:dyDescent="0.3">
      <c r="A5939" s="678">
        <f t="shared" si="174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3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  <c r="Q5939" s="2"/>
      <c r="R5939" s="2"/>
    </row>
    <row r="5940" spans="1:18" ht="19.5" hidden="1" thickBot="1" x14ac:dyDescent="0.3">
      <c r="A5940" s="678">
        <f t="shared" si="174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3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  <c r="Q5940" s="2"/>
      <c r="R5940" s="2"/>
    </row>
    <row r="5941" spans="1:18" ht="19.5" hidden="1" thickBot="1" x14ac:dyDescent="0.3">
      <c r="A5941" s="678">
        <f t="shared" si="174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3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  <c r="Q5941" s="2"/>
      <c r="R5941" s="2"/>
    </row>
    <row r="5942" spans="1:18" ht="19.5" hidden="1" thickBot="1" x14ac:dyDescent="0.3">
      <c r="A5942" s="678">
        <f t="shared" si="174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3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  <c r="Q5942" s="2"/>
      <c r="R5942" s="2"/>
    </row>
    <row r="5943" spans="1:18" ht="19.5" hidden="1" thickBot="1" x14ac:dyDescent="0.3">
      <c r="A5943" s="676">
        <f t="shared" si="174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5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  <c r="Q5943" s="2"/>
      <c r="R5943" s="2"/>
    </row>
    <row r="5944" spans="1:18" ht="19.5" hidden="1" thickBot="1" x14ac:dyDescent="0.3">
      <c r="A5944" s="678">
        <f t="shared" si="174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5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  <c r="Q5944" s="2"/>
      <c r="R5944" s="2"/>
    </row>
    <row r="5945" spans="1:18" ht="19.5" hidden="1" thickBot="1" x14ac:dyDescent="0.3">
      <c r="A5945" s="676">
        <f t="shared" si="174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5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  <c r="Q5945" s="2"/>
      <c r="R5945" s="2"/>
    </row>
    <row r="5946" spans="1:18" ht="19.5" hidden="1" thickBot="1" x14ac:dyDescent="0.3">
      <c r="A5946" s="678">
        <f t="shared" si="174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5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  <c r="Q5946" s="2"/>
      <c r="R5946" s="2"/>
    </row>
    <row r="5947" spans="1:18" ht="57" hidden="1" thickBot="1" x14ac:dyDescent="0.3">
      <c r="A5947" s="678">
        <f t="shared" si="174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5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  <c r="Q5947" s="2"/>
      <c r="R5947" s="2"/>
    </row>
    <row r="5948" spans="1:18" ht="19.5" hidden="1" thickBot="1" x14ac:dyDescent="0.3">
      <c r="A5948" s="678">
        <f t="shared" si="174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5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  <c r="Q5948" s="2"/>
      <c r="R5948" s="2"/>
    </row>
    <row r="5949" spans="1:18" ht="19.5" hidden="1" thickBot="1" x14ac:dyDescent="0.3">
      <c r="A5949" s="676">
        <f t="shared" si="174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5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  <c r="Q5949" s="2"/>
      <c r="R5949" s="2"/>
    </row>
    <row r="5950" spans="1:18" ht="19.5" hidden="1" thickBot="1" x14ac:dyDescent="0.3">
      <c r="A5950" s="676">
        <f t="shared" si="174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5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  <c r="Q5950" s="2"/>
      <c r="R5950" s="2"/>
    </row>
    <row r="5951" spans="1:18" ht="19.5" hidden="1" thickBot="1" x14ac:dyDescent="0.3">
      <c r="A5951" s="676">
        <f t="shared" si="174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5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  <c r="Q5951" s="2"/>
      <c r="R5951" s="2"/>
    </row>
    <row r="5952" spans="1:18" ht="19.5" hidden="1" thickBot="1" x14ac:dyDescent="0.3">
      <c r="A5952" s="678">
        <f t="shared" si="174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5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  <c r="Q5952" s="2"/>
      <c r="R5952" s="2"/>
    </row>
    <row r="5953" spans="1:18" ht="19.5" hidden="1" thickBot="1" x14ac:dyDescent="0.3">
      <c r="A5953" s="678">
        <f t="shared" si="174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5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  <c r="Q5953" s="2"/>
      <c r="R5953" s="2"/>
    </row>
    <row r="5954" spans="1:18" ht="19.5" hidden="1" thickBot="1" x14ac:dyDescent="0.3">
      <c r="A5954" s="676">
        <f t="shared" si="174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5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  <c r="Q5954" s="2"/>
      <c r="R5954" s="2"/>
    </row>
    <row r="5955" spans="1:18" ht="19.5" hidden="1" thickBot="1" x14ac:dyDescent="0.3">
      <c r="A5955" s="678">
        <f t="shared" si="174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5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  <c r="Q5955" s="2"/>
      <c r="R5955" s="2"/>
    </row>
    <row r="5956" spans="1:18" ht="19.5" hidden="1" thickBot="1" x14ac:dyDescent="0.3">
      <c r="A5956" s="676">
        <f t="shared" si="174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5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  <c r="Q5956" s="2"/>
      <c r="R5956" s="2"/>
    </row>
    <row r="5957" spans="1:18" ht="19.5" hidden="1" thickBot="1" x14ac:dyDescent="0.3">
      <c r="A5957" s="676">
        <f t="shared" si="174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5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  <c r="Q5957" s="2"/>
      <c r="R5957" s="2"/>
    </row>
    <row r="5958" spans="1:18" ht="19.5" hidden="1" thickBot="1" x14ac:dyDescent="0.3">
      <c r="A5958" s="678">
        <f t="shared" si="174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5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  <c r="Q5958" s="2"/>
      <c r="R5958" s="2"/>
    </row>
    <row r="5959" spans="1:18" ht="38.25" hidden="1" thickBot="1" x14ac:dyDescent="0.3">
      <c r="A5959" s="676">
        <f t="shared" si="174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5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  <c r="Q5959" s="2"/>
      <c r="R5959" s="2"/>
    </row>
    <row r="5960" spans="1:18" ht="19.5" hidden="1" thickBot="1" x14ac:dyDescent="0.3">
      <c r="A5960" s="678">
        <f t="shared" si="174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5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  <c r="Q5960" s="2"/>
      <c r="R5960" s="2"/>
    </row>
    <row r="5961" spans="1:18" ht="19.5" hidden="1" thickBot="1" x14ac:dyDescent="0.3">
      <c r="A5961" s="676">
        <f t="shared" si="174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5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  <c r="Q5961" s="2"/>
      <c r="R5961" s="2"/>
    </row>
    <row r="5962" spans="1:18" ht="19.5" hidden="1" thickBot="1" x14ac:dyDescent="0.3">
      <c r="A5962" s="678">
        <f t="shared" si="174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5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  <c r="Q5962" s="2"/>
      <c r="R5962" s="2"/>
    </row>
    <row r="5963" spans="1:18" ht="19.5" hidden="1" thickBot="1" x14ac:dyDescent="0.3">
      <c r="A5963" s="676">
        <f t="shared" si="174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5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  <c r="Q5963" s="2"/>
      <c r="R5963" s="2"/>
    </row>
    <row r="5964" spans="1:18" ht="19.5" hidden="1" thickBot="1" x14ac:dyDescent="0.3">
      <c r="A5964" s="676">
        <f t="shared" si="174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5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  <c r="Q5964" s="2"/>
      <c r="R5964" s="2"/>
    </row>
    <row r="5965" spans="1:18" ht="19.5" hidden="1" thickBot="1" x14ac:dyDescent="0.3">
      <c r="A5965" s="676">
        <f t="shared" si="174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5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  <c r="Q5965" s="2"/>
      <c r="R5965" s="2"/>
    </row>
    <row r="5966" spans="1:18" ht="19.5" hidden="1" thickBot="1" x14ac:dyDescent="0.3">
      <c r="A5966" s="678">
        <f t="shared" si="174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5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  <c r="Q5966" s="2"/>
      <c r="R5966" s="2"/>
    </row>
    <row r="5967" spans="1:18" ht="19.5" hidden="1" thickBot="1" x14ac:dyDescent="0.3">
      <c r="A5967" s="678">
        <f t="shared" si="174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5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  <c r="Q5967" s="2"/>
      <c r="R5967" s="2"/>
    </row>
    <row r="5968" spans="1:18" ht="19.5" hidden="1" thickBot="1" x14ac:dyDescent="0.3">
      <c r="A5968" s="676">
        <f t="shared" si="174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5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  <c r="Q5968" s="2"/>
      <c r="R5968" s="2"/>
    </row>
    <row r="5969" spans="1:18" ht="19.5" hidden="1" thickBot="1" x14ac:dyDescent="0.3">
      <c r="A5969" s="676">
        <f t="shared" si="174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5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  <c r="Q5969" s="2"/>
      <c r="R5969" s="2"/>
    </row>
    <row r="5970" spans="1:18" ht="19.5" hidden="1" thickBot="1" x14ac:dyDescent="0.3">
      <c r="A5970" s="678">
        <f t="shared" si="174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5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  <c r="Q5970" s="2"/>
      <c r="R5970" s="2"/>
    </row>
    <row r="5971" spans="1:18" ht="19.5" hidden="1" thickBot="1" x14ac:dyDescent="0.3">
      <c r="A5971" s="676">
        <f t="shared" si="174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5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  <c r="Q5971" s="2"/>
      <c r="R5971" s="2"/>
    </row>
    <row r="5972" spans="1:18" ht="19.5" hidden="1" thickBot="1" x14ac:dyDescent="0.3">
      <c r="A5972" s="676">
        <f t="shared" si="174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5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  <c r="Q5972" s="2"/>
      <c r="R5972" s="2"/>
    </row>
    <row r="5973" spans="1:18" ht="19.5" hidden="1" thickBot="1" x14ac:dyDescent="0.3">
      <c r="A5973" s="678">
        <f t="shared" ref="A5973:A6036" si="176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5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  <c r="Q5973" s="2"/>
      <c r="R5973" s="2"/>
    </row>
    <row r="5974" spans="1:18" ht="19.5" hidden="1" thickBot="1" x14ac:dyDescent="0.3">
      <c r="A5974" s="678">
        <f t="shared" si="176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5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  <c r="Q5974" s="2"/>
      <c r="R5974" s="2"/>
    </row>
    <row r="5975" spans="1:18" ht="19.5" hidden="1" thickBot="1" x14ac:dyDescent="0.3">
      <c r="A5975" s="676">
        <f t="shared" si="176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5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  <c r="Q5975" s="2"/>
      <c r="R5975" s="2"/>
    </row>
    <row r="5976" spans="1:18" ht="19.5" hidden="1" thickBot="1" x14ac:dyDescent="0.3">
      <c r="A5976" s="676">
        <f t="shared" si="176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5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  <c r="Q5976" s="2"/>
      <c r="R5976" s="2"/>
    </row>
    <row r="5977" spans="1:18" ht="19.5" hidden="1" thickBot="1" x14ac:dyDescent="0.3">
      <c r="A5977" s="678">
        <f t="shared" si="176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5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  <c r="Q5977" s="2"/>
      <c r="R5977" s="2"/>
    </row>
    <row r="5978" spans="1:18" ht="19.5" hidden="1" thickBot="1" x14ac:dyDescent="0.3">
      <c r="A5978" s="676">
        <f t="shared" si="176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5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  <c r="Q5978" s="2"/>
      <c r="R5978" s="2"/>
    </row>
    <row r="5979" spans="1:18" ht="19.5" hidden="1" thickBot="1" x14ac:dyDescent="0.3">
      <c r="A5979" s="678">
        <f t="shared" si="176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5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  <c r="Q5979" s="2"/>
      <c r="R5979" s="2"/>
    </row>
    <row r="5980" spans="1:18" ht="19.5" hidden="1" thickBot="1" x14ac:dyDescent="0.3">
      <c r="A5980" s="676">
        <f t="shared" si="176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5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  <c r="Q5980" s="2"/>
      <c r="R5980" s="2"/>
    </row>
    <row r="5981" spans="1:18" ht="19.5" hidden="1" thickBot="1" x14ac:dyDescent="0.3">
      <c r="A5981" s="678">
        <f t="shared" si="176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5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  <c r="Q5981" s="2"/>
      <c r="R5981" s="2"/>
    </row>
    <row r="5982" spans="1:18" ht="19.5" hidden="1" thickBot="1" x14ac:dyDescent="0.3">
      <c r="A5982" s="676">
        <f t="shared" si="176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5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  <c r="Q5982" s="2"/>
      <c r="R5982" s="2"/>
    </row>
    <row r="5983" spans="1:18" ht="19.5" hidden="1" thickBot="1" x14ac:dyDescent="0.3">
      <c r="A5983" s="678">
        <f t="shared" si="176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5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  <c r="Q5983" s="2"/>
      <c r="R5983" s="2"/>
    </row>
    <row r="5984" spans="1:18" ht="19.5" hidden="1" thickBot="1" x14ac:dyDescent="0.3">
      <c r="A5984" s="678">
        <f t="shared" si="176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5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  <c r="Q5984" s="2"/>
      <c r="R5984" s="2"/>
    </row>
    <row r="5985" spans="1:18" ht="19.5" hidden="1" thickBot="1" x14ac:dyDescent="0.3">
      <c r="A5985" s="676">
        <f t="shared" si="176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5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  <c r="Q5985" s="2"/>
      <c r="R5985" s="2"/>
    </row>
    <row r="5986" spans="1:18" ht="19.5" hidden="1" thickBot="1" x14ac:dyDescent="0.3">
      <c r="A5986" s="676">
        <f t="shared" si="176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5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  <c r="Q5986" s="2"/>
      <c r="R5986" s="2"/>
    </row>
    <row r="5987" spans="1:18" ht="19.5" hidden="1" thickBot="1" x14ac:dyDescent="0.3">
      <c r="A5987" s="678">
        <f t="shared" si="176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5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  <c r="Q5987" s="2"/>
      <c r="R5987" s="2"/>
    </row>
    <row r="5988" spans="1:18" ht="19.5" hidden="1" thickBot="1" x14ac:dyDescent="0.3">
      <c r="A5988" s="676">
        <f t="shared" si="176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5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  <c r="Q5988" s="2"/>
      <c r="R5988" s="2"/>
    </row>
    <row r="5989" spans="1:18" ht="19.5" hidden="1" thickBot="1" x14ac:dyDescent="0.3">
      <c r="A5989" s="678">
        <f t="shared" si="176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5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  <c r="Q5989" s="2"/>
      <c r="R5989" s="2"/>
    </row>
    <row r="5990" spans="1:18" ht="57" hidden="1" thickBot="1" x14ac:dyDescent="0.3">
      <c r="A5990" s="678">
        <f t="shared" si="176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5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  <c r="Q5990" s="2"/>
      <c r="R5990" s="2"/>
    </row>
    <row r="5991" spans="1:18" ht="19.5" hidden="1" thickBot="1" x14ac:dyDescent="0.3">
      <c r="A5991" s="678">
        <f t="shared" si="176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5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  <c r="Q5991" s="2"/>
      <c r="R5991" s="2"/>
    </row>
    <row r="5992" spans="1:18" ht="19.5" hidden="1" thickBot="1" x14ac:dyDescent="0.3">
      <c r="A5992" s="676">
        <f t="shared" si="176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5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  <c r="Q5992" s="2"/>
      <c r="R5992" s="2"/>
    </row>
    <row r="5993" spans="1:18" ht="19.5" hidden="1" thickBot="1" x14ac:dyDescent="0.3">
      <c r="A5993" s="676">
        <f t="shared" si="176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5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  <c r="Q5993" s="2"/>
      <c r="R5993" s="2"/>
    </row>
    <row r="5994" spans="1:18" ht="19.5" hidden="1" thickBot="1" x14ac:dyDescent="0.3">
      <c r="A5994" s="676">
        <f t="shared" si="176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5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  <c r="Q5994" s="2"/>
      <c r="R5994" s="2"/>
    </row>
    <row r="5995" spans="1:18" ht="38.25" hidden="1" thickBot="1" x14ac:dyDescent="0.3">
      <c r="A5995" s="678">
        <f t="shared" si="176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5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  <c r="Q5995" s="2"/>
      <c r="R5995" s="2"/>
    </row>
    <row r="5996" spans="1:18" ht="19.5" hidden="1" thickBot="1" x14ac:dyDescent="0.3">
      <c r="A5996" s="676">
        <f t="shared" si="176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5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  <c r="Q5996" s="2"/>
      <c r="R5996" s="2"/>
    </row>
    <row r="5997" spans="1:18" ht="19.5" hidden="1" thickBot="1" x14ac:dyDescent="0.3">
      <c r="A5997" s="676">
        <f t="shared" si="176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5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  <c r="Q5997" s="2"/>
      <c r="R5997" s="2"/>
    </row>
    <row r="5998" spans="1:18" ht="19.5" hidden="1" thickBot="1" x14ac:dyDescent="0.3">
      <c r="A5998" s="678">
        <f t="shared" si="176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5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  <c r="Q5998" s="2"/>
      <c r="R5998" s="2"/>
    </row>
    <row r="5999" spans="1:18" ht="19.5" hidden="1" thickBot="1" x14ac:dyDescent="0.3">
      <c r="A5999" s="678">
        <f t="shared" si="176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5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  <c r="Q5999" s="2"/>
      <c r="R5999" s="2"/>
    </row>
    <row r="6000" spans="1:18" ht="19.5" hidden="1" thickBot="1" x14ac:dyDescent="0.3">
      <c r="A6000" s="676">
        <f t="shared" si="176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5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  <c r="Q6000" s="2"/>
      <c r="R6000" s="2"/>
    </row>
    <row r="6001" spans="1:18" ht="19.5" hidden="1" thickBot="1" x14ac:dyDescent="0.3">
      <c r="A6001" s="676">
        <f t="shared" si="176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5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  <c r="Q6001" s="2"/>
      <c r="R6001" s="2"/>
    </row>
    <row r="6002" spans="1:18" ht="19.5" hidden="1" thickBot="1" x14ac:dyDescent="0.3">
      <c r="A6002" s="678">
        <f t="shared" si="176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5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  <c r="Q6002" s="2"/>
      <c r="R6002" s="2"/>
    </row>
    <row r="6003" spans="1:18" ht="75.75" hidden="1" thickBot="1" x14ac:dyDescent="0.3">
      <c r="A6003" s="676">
        <f t="shared" si="176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5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  <c r="Q6003" s="2"/>
      <c r="R6003" s="2"/>
    </row>
    <row r="6004" spans="1:18" ht="19.5" hidden="1" thickBot="1" x14ac:dyDescent="0.3">
      <c r="A6004" s="678">
        <f t="shared" si="176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5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  <c r="Q6004" s="2"/>
      <c r="R6004" s="2"/>
    </row>
    <row r="6005" spans="1:18" ht="19.5" hidden="1" thickBot="1" x14ac:dyDescent="0.3">
      <c r="A6005" s="676">
        <f t="shared" si="176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5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  <c r="Q6005" s="2"/>
      <c r="R6005" s="2"/>
    </row>
    <row r="6006" spans="1:18" ht="19.5" hidden="1" thickBot="1" x14ac:dyDescent="0.3">
      <c r="A6006" s="676">
        <f t="shared" si="176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5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  <c r="Q6006" s="2"/>
      <c r="R6006" s="2"/>
    </row>
    <row r="6007" spans="1:18" ht="19.5" hidden="1" thickBot="1" x14ac:dyDescent="0.3">
      <c r="A6007" s="676">
        <f t="shared" si="176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7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  <c r="Q6007" s="2"/>
      <c r="R6007" s="2"/>
    </row>
    <row r="6008" spans="1:18" ht="19.5" hidden="1" thickBot="1" x14ac:dyDescent="0.3">
      <c r="A6008" s="678">
        <f t="shared" si="176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7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  <c r="Q6008" s="2"/>
      <c r="R6008" s="2"/>
    </row>
    <row r="6009" spans="1:18" ht="19.5" hidden="1" thickBot="1" x14ac:dyDescent="0.3">
      <c r="A6009" s="678">
        <f t="shared" si="176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7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  <c r="Q6009" s="2"/>
      <c r="R6009" s="2"/>
    </row>
    <row r="6010" spans="1:18" ht="19.5" hidden="1" thickBot="1" x14ac:dyDescent="0.3">
      <c r="A6010" s="678">
        <f t="shared" si="176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7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  <c r="Q6010" s="2"/>
      <c r="R6010" s="2"/>
    </row>
    <row r="6011" spans="1:18" ht="19.5" hidden="1" thickBot="1" x14ac:dyDescent="0.3">
      <c r="A6011" s="676">
        <f t="shared" si="176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7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  <c r="Q6011" s="2"/>
      <c r="R6011" s="2"/>
    </row>
    <row r="6012" spans="1:18" ht="19.5" hidden="1" thickBot="1" x14ac:dyDescent="0.3">
      <c r="A6012" s="676">
        <f t="shared" si="176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7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  <c r="Q6012" s="2"/>
      <c r="R6012" s="2"/>
    </row>
    <row r="6013" spans="1:18" ht="19.5" hidden="1" thickBot="1" x14ac:dyDescent="0.3">
      <c r="A6013" s="678">
        <f t="shared" si="176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7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  <c r="Q6013" s="2"/>
      <c r="R6013" s="2"/>
    </row>
    <row r="6014" spans="1:18" ht="19.5" hidden="1" thickBot="1" x14ac:dyDescent="0.3">
      <c r="A6014" s="676">
        <f t="shared" si="176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7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  <c r="Q6014" s="2"/>
      <c r="R6014" s="2"/>
    </row>
    <row r="6015" spans="1:18" ht="19.5" hidden="1" thickBot="1" x14ac:dyDescent="0.3">
      <c r="A6015" s="676">
        <f t="shared" si="176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7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  <c r="Q6015" s="2"/>
      <c r="R6015" s="2"/>
    </row>
    <row r="6016" spans="1:18" ht="19.5" hidden="1" thickBot="1" x14ac:dyDescent="0.3">
      <c r="A6016" s="676">
        <f t="shared" si="176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7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  <c r="Q6016" s="2"/>
      <c r="R6016" s="2"/>
    </row>
    <row r="6017" spans="1:18" ht="19.5" hidden="1" thickBot="1" x14ac:dyDescent="0.3">
      <c r="A6017" s="678">
        <f t="shared" si="176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7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  <c r="Q6017" s="2"/>
      <c r="R6017" s="2"/>
    </row>
    <row r="6018" spans="1:18" ht="19.5" hidden="1" thickBot="1" x14ac:dyDescent="0.3">
      <c r="A6018" s="676">
        <f t="shared" si="176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7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  <c r="Q6018" s="2"/>
      <c r="R6018" s="2"/>
    </row>
    <row r="6019" spans="1:18" ht="19.5" hidden="1" thickBot="1" x14ac:dyDescent="0.3">
      <c r="A6019" s="678">
        <f t="shared" si="176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7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  <c r="Q6019" s="2"/>
      <c r="R6019" s="2"/>
    </row>
    <row r="6020" spans="1:18" ht="19.5" hidden="1" thickBot="1" x14ac:dyDescent="0.3">
      <c r="A6020" s="676">
        <f t="shared" si="176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7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  <c r="Q6020" s="2"/>
      <c r="R6020" s="2"/>
    </row>
    <row r="6021" spans="1:18" ht="19.5" hidden="1" thickBot="1" x14ac:dyDescent="0.3">
      <c r="A6021" s="676">
        <f t="shared" si="176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7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  <c r="Q6021" s="2"/>
      <c r="R6021" s="2"/>
    </row>
    <row r="6022" spans="1:18" ht="19.5" hidden="1" thickBot="1" x14ac:dyDescent="0.3">
      <c r="A6022" s="678">
        <f t="shared" si="176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7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  <c r="Q6022" s="2"/>
      <c r="R6022" s="2"/>
    </row>
    <row r="6023" spans="1:18" ht="19.5" hidden="1" thickBot="1" x14ac:dyDescent="0.3">
      <c r="A6023" s="676">
        <f t="shared" si="176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7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  <c r="Q6023" s="2"/>
      <c r="R6023" s="2"/>
    </row>
    <row r="6024" spans="1:18" ht="19.5" hidden="1" thickBot="1" x14ac:dyDescent="0.3">
      <c r="A6024" s="678">
        <f t="shared" si="176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7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  <c r="Q6024" s="2"/>
      <c r="R6024" s="2"/>
    </row>
    <row r="6025" spans="1:18" ht="19.5" hidden="1" thickBot="1" x14ac:dyDescent="0.3">
      <c r="A6025" s="676">
        <f t="shared" si="176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7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  <c r="Q6025" s="2"/>
      <c r="R6025" s="2"/>
    </row>
    <row r="6026" spans="1:18" ht="19.5" hidden="1" thickBot="1" x14ac:dyDescent="0.3">
      <c r="A6026" s="678">
        <f t="shared" si="176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7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  <c r="Q6026" s="2"/>
      <c r="R6026" s="2"/>
    </row>
    <row r="6027" spans="1:18" ht="19.5" hidden="1" thickBot="1" x14ac:dyDescent="0.3">
      <c r="A6027" s="678">
        <f t="shared" si="176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7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  <c r="Q6027" s="2"/>
      <c r="R6027" s="2"/>
    </row>
    <row r="6028" spans="1:18" ht="19.5" hidden="1" thickBot="1" x14ac:dyDescent="0.3">
      <c r="A6028" s="676">
        <f t="shared" si="176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7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  <c r="Q6028" s="2"/>
      <c r="R6028" s="2"/>
    </row>
    <row r="6029" spans="1:18" ht="19.5" hidden="1" thickBot="1" x14ac:dyDescent="0.3">
      <c r="A6029" s="676">
        <f t="shared" si="176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7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  <c r="Q6029" s="2"/>
      <c r="R6029" s="2"/>
    </row>
    <row r="6030" spans="1:18" ht="19.5" hidden="1" thickBot="1" x14ac:dyDescent="0.3">
      <c r="A6030" s="676">
        <f t="shared" si="176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7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  <c r="Q6030" s="2"/>
      <c r="R6030" s="2"/>
    </row>
    <row r="6031" spans="1:18" ht="19.5" hidden="1" thickBot="1" x14ac:dyDescent="0.3">
      <c r="A6031" s="678">
        <f t="shared" si="176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7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  <c r="Q6031" s="2"/>
      <c r="R6031" s="2"/>
    </row>
    <row r="6032" spans="1:18" ht="19.5" hidden="1" thickBot="1" x14ac:dyDescent="0.3">
      <c r="A6032" s="676">
        <f t="shared" si="176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7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  <c r="Q6032" s="2"/>
      <c r="R6032" s="2"/>
    </row>
    <row r="6033" spans="1:18" ht="19.5" hidden="1" thickBot="1" x14ac:dyDescent="0.3">
      <c r="A6033" s="678">
        <f t="shared" si="176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7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  <c r="Q6033" s="2"/>
      <c r="R6033" s="2"/>
    </row>
    <row r="6034" spans="1:18" ht="57" hidden="1" thickBot="1" x14ac:dyDescent="0.3">
      <c r="A6034" s="678">
        <f t="shared" si="176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7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  <c r="Q6034" s="2"/>
      <c r="R6034" s="2"/>
    </row>
    <row r="6035" spans="1:18" ht="19.5" hidden="1" thickBot="1" x14ac:dyDescent="0.3">
      <c r="A6035" s="678">
        <f t="shared" si="176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7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  <c r="Q6035" s="2"/>
      <c r="R6035" s="2"/>
    </row>
    <row r="6036" spans="1:18" ht="19.5" hidden="1" thickBot="1" x14ac:dyDescent="0.3">
      <c r="A6036" s="676">
        <f t="shared" si="176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7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  <c r="Q6036" s="2"/>
      <c r="R6036" s="2"/>
    </row>
    <row r="6037" spans="1:18" ht="19.5" hidden="1" thickBot="1" x14ac:dyDescent="0.3">
      <c r="A6037" s="676">
        <f t="shared" ref="A6037:A6100" si="178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7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  <c r="Q6037" s="2"/>
      <c r="R6037" s="2"/>
    </row>
    <row r="6038" spans="1:18" ht="19.5" hidden="1" thickBot="1" x14ac:dyDescent="0.3">
      <c r="A6038" s="678">
        <f t="shared" si="178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7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  <c r="Q6038" s="2"/>
      <c r="R6038" s="2"/>
    </row>
    <row r="6039" spans="1:18" ht="19.5" hidden="1" thickBot="1" x14ac:dyDescent="0.3">
      <c r="A6039" s="678">
        <f t="shared" si="178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7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  <c r="Q6039" s="2"/>
      <c r="R6039" s="2"/>
    </row>
    <row r="6040" spans="1:18" ht="19.5" hidden="1" thickBot="1" x14ac:dyDescent="0.3">
      <c r="A6040" s="676">
        <f t="shared" si="178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7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  <c r="Q6040" s="2"/>
      <c r="R6040" s="2"/>
    </row>
    <row r="6041" spans="1:18" ht="19.5" hidden="1" thickBot="1" x14ac:dyDescent="0.3">
      <c r="A6041" s="676">
        <f t="shared" si="178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7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  <c r="Q6041" s="2"/>
      <c r="R6041" s="2"/>
    </row>
    <row r="6042" spans="1:18" ht="19.5" hidden="1" thickBot="1" x14ac:dyDescent="0.3">
      <c r="A6042" s="678">
        <f t="shared" si="178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7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  <c r="Q6042" s="2"/>
      <c r="R6042" s="2"/>
    </row>
    <row r="6043" spans="1:18" ht="19.5" hidden="1" thickBot="1" x14ac:dyDescent="0.3">
      <c r="A6043" s="676">
        <f t="shared" si="178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7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  <c r="Q6043" s="2"/>
      <c r="R6043" s="2"/>
    </row>
    <row r="6044" spans="1:18" ht="19.5" hidden="1" thickBot="1" x14ac:dyDescent="0.3">
      <c r="A6044" s="678">
        <f t="shared" si="178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7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  <c r="Q6044" s="2"/>
      <c r="R6044" s="2"/>
    </row>
    <row r="6045" spans="1:18" ht="19.5" hidden="1" thickBot="1" x14ac:dyDescent="0.3">
      <c r="A6045" s="678">
        <f t="shared" si="178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7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  <c r="Q6045" s="2"/>
      <c r="R6045" s="2"/>
    </row>
    <row r="6046" spans="1:18" ht="19.5" hidden="1" thickBot="1" x14ac:dyDescent="0.3">
      <c r="A6046" s="678">
        <f t="shared" si="178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7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  <c r="Q6046" s="2"/>
      <c r="R6046" s="2"/>
    </row>
    <row r="6047" spans="1:18" ht="19.5" hidden="1" thickBot="1" x14ac:dyDescent="0.3">
      <c r="A6047" s="676">
        <f t="shared" si="178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7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  <c r="Q6047" s="2"/>
      <c r="R6047" s="2"/>
    </row>
    <row r="6048" spans="1:18" ht="19.5" hidden="1" thickBot="1" x14ac:dyDescent="0.3">
      <c r="A6048" s="676">
        <f t="shared" si="178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7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  <c r="Q6048" s="2"/>
      <c r="R6048" s="2"/>
    </row>
    <row r="6049" spans="1:18" ht="19.5" hidden="1" thickBot="1" x14ac:dyDescent="0.3">
      <c r="A6049" s="678">
        <f t="shared" si="178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7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  <c r="Q6049" s="2"/>
      <c r="R6049" s="2"/>
    </row>
    <row r="6050" spans="1:18" ht="19.5" hidden="1" thickBot="1" x14ac:dyDescent="0.3">
      <c r="A6050" s="676">
        <f t="shared" si="178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7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  <c r="Q6050" s="2"/>
      <c r="R6050" s="2"/>
    </row>
    <row r="6051" spans="1:18" ht="19.5" hidden="1" thickBot="1" x14ac:dyDescent="0.3">
      <c r="A6051" s="676">
        <f t="shared" si="178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7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  <c r="Q6051" s="2"/>
      <c r="R6051" s="2"/>
    </row>
    <row r="6052" spans="1:18" ht="19.5" hidden="1" thickBot="1" x14ac:dyDescent="0.3">
      <c r="A6052" s="678">
        <f t="shared" si="178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7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  <c r="Q6052" s="2"/>
      <c r="R6052" s="2"/>
    </row>
    <row r="6053" spans="1:18" ht="19.5" hidden="1" thickBot="1" x14ac:dyDescent="0.3">
      <c r="A6053" s="678">
        <f t="shared" si="178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7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  <c r="Q6053" s="2"/>
      <c r="R6053" s="2"/>
    </row>
    <row r="6054" spans="1:18" ht="19.5" hidden="1" thickBot="1" x14ac:dyDescent="0.3">
      <c r="A6054" s="676">
        <f t="shared" si="178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7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  <c r="Q6054" s="2"/>
      <c r="R6054" s="2"/>
    </row>
    <row r="6055" spans="1:18" ht="19.5" hidden="1" thickBot="1" x14ac:dyDescent="0.3">
      <c r="A6055" s="676">
        <f t="shared" si="178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7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  <c r="Q6055" s="2"/>
      <c r="R6055" s="2"/>
    </row>
    <row r="6056" spans="1:18" ht="19.5" hidden="1" thickBot="1" x14ac:dyDescent="0.3">
      <c r="A6056" s="678">
        <f t="shared" si="178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7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  <c r="Q6056" s="2"/>
      <c r="R6056" s="2"/>
    </row>
    <row r="6057" spans="1:18" ht="19.5" hidden="1" thickBot="1" x14ac:dyDescent="0.3">
      <c r="A6057" s="676">
        <f t="shared" si="178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7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  <c r="Q6057" s="2"/>
      <c r="R6057" s="2"/>
    </row>
    <row r="6058" spans="1:18" ht="19.5" hidden="1" thickBot="1" x14ac:dyDescent="0.3">
      <c r="A6058" s="676">
        <f t="shared" si="178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7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  <c r="Q6058" s="2"/>
      <c r="R6058" s="2"/>
    </row>
    <row r="6059" spans="1:18" ht="19.5" hidden="1" thickBot="1" x14ac:dyDescent="0.3">
      <c r="A6059" s="678">
        <f t="shared" si="178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7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  <c r="Q6059" s="2"/>
      <c r="R6059" s="2"/>
    </row>
    <row r="6060" spans="1:18" ht="19.5" hidden="1" thickBot="1" x14ac:dyDescent="0.3">
      <c r="A6060" s="676">
        <f t="shared" si="178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7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  <c r="Q6060" s="2"/>
      <c r="R6060" s="2"/>
    </row>
    <row r="6061" spans="1:18" ht="19.5" hidden="1" thickBot="1" x14ac:dyDescent="0.3">
      <c r="A6061" s="678">
        <f t="shared" si="178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7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  <c r="Q6061" s="2"/>
      <c r="R6061" s="2"/>
    </row>
    <row r="6062" spans="1:18" ht="19.5" hidden="1" thickBot="1" x14ac:dyDescent="0.3">
      <c r="A6062" s="676">
        <f t="shared" si="178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7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  <c r="Q6062" s="2"/>
      <c r="R6062" s="2"/>
    </row>
    <row r="6063" spans="1:18" ht="19.5" hidden="1" thickBot="1" x14ac:dyDescent="0.3">
      <c r="A6063" s="676">
        <f t="shared" si="178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7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  <c r="Q6063" s="2"/>
      <c r="R6063" s="2"/>
    </row>
    <row r="6064" spans="1:18" ht="19.5" hidden="1" thickBot="1" x14ac:dyDescent="0.3">
      <c r="A6064" s="678">
        <f t="shared" si="178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7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  <c r="Q6064" s="2"/>
      <c r="R6064" s="2"/>
    </row>
    <row r="6065" spans="1:18" ht="19.5" hidden="1" thickBot="1" x14ac:dyDescent="0.3">
      <c r="A6065" s="676">
        <f t="shared" si="178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7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  <c r="Q6065" s="2"/>
      <c r="R6065" s="2"/>
    </row>
    <row r="6066" spans="1:18" ht="19.5" hidden="1" thickBot="1" x14ac:dyDescent="0.3">
      <c r="A6066" s="678">
        <f t="shared" si="178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7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  <c r="Q6066" s="2"/>
      <c r="R6066" s="2"/>
    </row>
    <row r="6067" spans="1:18" ht="57" hidden="1" thickBot="1" x14ac:dyDescent="0.3">
      <c r="A6067" s="678">
        <f t="shared" si="178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7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  <c r="Q6067" s="2"/>
      <c r="R6067" s="2"/>
    </row>
    <row r="6068" spans="1:18" ht="19.5" hidden="1" thickBot="1" x14ac:dyDescent="0.3">
      <c r="A6068" s="678">
        <f t="shared" si="178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7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  <c r="Q6068" s="2"/>
      <c r="R6068" s="2"/>
    </row>
    <row r="6069" spans="1:18" ht="19.5" hidden="1" thickBot="1" x14ac:dyDescent="0.3">
      <c r="A6069" s="678">
        <f t="shared" si="178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7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  <c r="Q6069" s="2"/>
      <c r="R6069" s="2"/>
    </row>
    <row r="6070" spans="1:18" ht="19.5" hidden="1" thickBot="1" x14ac:dyDescent="0.3">
      <c r="A6070" s="676">
        <f t="shared" si="178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7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  <c r="Q6070" s="2"/>
      <c r="R6070" s="2"/>
    </row>
    <row r="6071" spans="1:18" ht="19.5" hidden="1" thickBot="1" x14ac:dyDescent="0.3">
      <c r="A6071" s="676">
        <f t="shared" si="178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9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  <c r="Q6071" s="2"/>
      <c r="R6071" s="2"/>
    </row>
    <row r="6072" spans="1:18" ht="19.5" hidden="1" thickBot="1" x14ac:dyDescent="0.3">
      <c r="A6072" s="678">
        <f t="shared" si="178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9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  <c r="Q6072" s="2"/>
      <c r="R6072" s="2"/>
    </row>
    <row r="6073" spans="1:18" ht="19.5" hidden="1" thickBot="1" x14ac:dyDescent="0.3">
      <c r="A6073" s="678">
        <f t="shared" si="178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9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  <c r="Q6073" s="2"/>
      <c r="R6073" s="2"/>
    </row>
    <row r="6074" spans="1:18" ht="19.5" hidden="1" thickBot="1" x14ac:dyDescent="0.3">
      <c r="A6074" s="676">
        <f t="shared" si="178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9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  <c r="Q6074" s="2"/>
      <c r="R6074" s="2"/>
    </row>
    <row r="6075" spans="1:18" ht="19.5" hidden="1" thickBot="1" x14ac:dyDescent="0.3">
      <c r="A6075" s="676">
        <f t="shared" si="178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9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  <c r="Q6075" s="2"/>
      <c r="R6075" s="2"/>
    </row>
    <row r="6076" spans="1:18" ht="19.5" hidden="1" thickBot="1" x14ac:dyDescent="0.3">
      <c r="A6076" s="678">
        <f t="shared" si="178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9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  <c r="Q6076" s="2"/>
      <c r="R6076" s="2"/>
    </row>
    <row r="6077" spans="1:18" ht="19.5" hidden="1" thickBot="1" x14ac:dyDescent="0.3">
      <c r="A6077" s="676">
        <f t="shared" si="178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9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  <c r="Q6077" s="2"/>
      <c r="R6077" s="2"/>
    </row>
    <row r="6078" spans="1:18" ht="19.5" hidden="1" thickBot="1" x14ac:dyDescent="0.3">
      <c r="A6078" s="678">
        <f t="shared" si="178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9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  <c r="Q6078" s="2"/>
      <c r="R6078" s="2"/>
    </row>
    <row r="6079" spans="1:18" ht="19.5" hidden="1" thickBot="1" x14ac:dyDescent="0.3">
      <c r="A6079" s="678">
        <f t="shared" si="178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9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  <c r="Q6079" s="2"/>
      <c r="R6079" s="2"/>
    </row>
    <row r="6080" spans="1:18" ht="36" hidden="1" customHeight="1" x14ac:dyDescent="0.25">
      <c r="A6080" s="676">
        <f t="shared" si="178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980" t="s">
        <v>1339</v>
      </c>
      <c r="H6080" s="676" t="s">
        <v>1338</v>
      </c>
      <c r="I6080" s="477" t="s">
        <v>1338</v>
      </c>
      <c r="J6080" s="478"/>
      <c r="K6080" s="676" t="str">
        <f t="shared" si="179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  <c r="Q6080" s="2"/>
      <c r="R6080" s="2"/>
    </row>
    <row r="6081" spans="1:18" ht="19.5" hidden="1" thickBot="1" x14ac:dyDescent="0.3">
      <c r="A6081" s="676">
        <f t="shared" si="178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981"/>
      <c r="H6081" s="676" t="s">
        <v>1338</v>
      </c>
      <c r="I6081" s="477" t="s">
        <v>1338</v>
      </c>
      <c r="J6081" s="478"/>
      <c r="K6081" s="676" t="str">
        <f t="shared" si="179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  <c r="Q6081" s="2"/>
      <c r="R6081" s="2"/>
    </row>
    <row r="6082" spans="1:18" ht="19.5" hidden="1" thickBot="1" x14ac:dyDescent="0.3">
      <c r="A6082" s="678">
        <f t="shared" si="178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9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  <c r="Q6082" s="2"/>
      <c r="R6082" s="2"/>
    </row>
    <row r="6083" spans="1:18" ht="19.5" hidden="1" thickBot="1" x14ac:dyDescent="0.3">
      <c r="A6083" s="676">
        <f t="shared" si="178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9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  <c r="Q6083" s="2"/>
      <c r="R6083" s="2"/>
    </row>
    <row r="6084" spans="1:18" ht="19.5" hidden="1" thickBot="1" x14ac:dyDescent="0.3">
      <c r="A6084" s="678">
        <f t="shared" si="178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9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  <c r="Q6084" s="2"/>
      <c r="R6084" s="2"/>
    </row>
    <row r="6085" spans="1:18" ht="19.5" hidden="1" thickBot="1" x14ac:dyDescent="0.3">
      <c r="A6085" s="678">
        <f t="shared" si="178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9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  <c r="Q6085" s="2"/>
      <c r="R6085" s="2"/>
    </row>
    <row r="6086" spans="1:18" ht="19.5" hidden="1" thickBot="1" x14ac:dyDescent="0.3">
      <c r="A6086" s="676">
        <f t="shared" si="178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9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  <c r="Q6086" s="2"/>
      <c r="R6086" s="2"/>
    </row>
    <row r="6087" spans="1:18" ht="19.5" hidden="1" thickBot="1" x14ac:dyDescent="0.3">
      <c r="A6087" s="678">
        <f t="shared" si="178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9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  <c r="Q6087" s="2"/>
      <c r="R6087" s="2"/>
    </row>
    <row r="6088" spans="1:18" ht="19.5" hidden="1" thickBot="1" x14ac:dyDescent="0.3">
      <c r="A6088" s="678">
        <f t="shared" si="178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9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  <c r="Q6088" s="2"/>
      <c r="R6088" s="2"/>
    </row>
    <row r="6089" spans="1:18" ht="19.5" hidden="1" thickBot="1" x14ac:dyDescent="0.3">
      <c r="A6089" s="676">
        <f t="shared" si="178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9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  <c r="Q6089" s="2"/>
      <c r="R6089" s="2"/>
    </row>
    <row r="6090" spans="1:18" ht="19.5" hidden="1" thickBot="1" x14ac:dyDescent="0.3">
      <c r="A6090" s="676">
        <f t="shared" si="178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9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  <c r="Q6090" s="2"/>
      <c r="R6090" s="2"/>
    </row>
    <row r="6091" spans="1:18" ht="19.5" hidden="1" thickBot="1" x14ac:dyDescent="0.3">
      <c r="A6091" s="678">
        <f t="shared" si="178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9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  <c r="Q6091" s="2"/>
      <c r="R6091" s="2"/>
    </row>
    <row r="6092" spans="1:18" ht="19.5" hidden="1" thickBot="1" x14ac:dyDescent="0.3">
      <c r="A6092" s="678">
        <f t="shared" si="178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9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  <c r="Q6092" s="2"/>
      <c r="R6092" s="2"/>
    </row>
    <row r="6093" spans="1:18" ht="19.5" hidden="1" thickBot="1" x14ac:dyDescent="0.3">
      <c r="A6093" s="676">
        <f t="shared" si="178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9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  <c r="Q6093" s="2"/>
      <c r="R6093" s="2"/>
    </row>
    <row r="6094" spans="1:18" ht="19.5" hidden="1" thickBot="1" x14ac:dyDescent="0.3">
      <c r="A6094" s="676">
        <f t="shared" si="178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9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  <c r="Q6094" s="2"/>
      <c r="R6094" s="2"/>
    </row>
    <row r="6095" spans="1:18" ht="19.5" hidden="1" thickBot="1" x14ac:dyDescent="0.3">
      <c r="A6095" s="678">
        <f t="shared" si="178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9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  <c r="Q6095" s="2"/>
      <c r="R6095" s="2"/>
    </row>
    <row r="6096" spans="1:18" ht="19.5" hidden="1" thickBot="1" x14ac:dyDescent="0.3">
      <c r="A6096" s="676">
        <f t="shared" si="178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9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  <c r="Q6096" s="2"/>
      <c r="R6096" s="2"/>
    </row>
    <row r="6097" spans="1:18" ht="19.5" hidden="1" thickBot="1" x14ac:dyDescent="0.3">
      <c r="A6097" s="678">
        <f t="shared" si="178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9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  <c r="Q6097" s="2"/>
      <c r="R6097" s="2"/>
    </row>
    <row r="6098" spans="1:18" ht="19.5" hidden="1" thickBot="1" x14ac:dyDescent="0.3">
      <c r="A6098" s="676">
        <f t="shared" si="178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9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  <c r="Q6098" s="2"/>
      <c r="R6098" s="2"/>
    </row>
    <row r="6099" spans="1:18" ht="19.5" hidden="1" thickBot="1" x14ac:dyDescent="0.3">
      <c r="A6099" s="676">
        <f t="shared" si="178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9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  <c r="Q6099" s="2"/>
      <c r="R6099" s="2"/>
    </row>
    <row r="6100" spans="1:18" ht="19.5" hidden="1" thickBot="1" x14ac:dyDescent="0.3">
      <c r="A6100" s="678">
        <f t="shared" si="178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9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  <c r="Q6100" s="2"/>
      <c r="R6100" s="2"/>
    </row>
    <row r="6101" spans="1:18" ht="19.5" hidden="1" thickBot="1" x14ac:dyDescent="0.3">
      <c r="A6101" s="678">
        <f t="shared" ref="A6101:A6164" si="180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9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  <c r="Q6101" s="2"/>
      <c r="R6101" s="2"/>
    </row>
    <row r="6102" spans="1:18" ht="19.5" hidden="1" thickBot="1" x14ac:dyDescent="0.3">
      <c r="A6102" s="676">
        <f t="shared" si="180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9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  <c r="Q6102" s="2"/>
      <c r="R6102" s="2"/>
    </row>
    <row r="6103" spans="1:18" ht="19.5" hidden="1" thickBot="1" x14ac:dyDescent="0.3">
      <c r="A6103" s="678">
        <f t="shared" si="180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9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  <c r="Q6103" s="2"/>
      <c r="R6103" s="2"/>
    </row>
    <row r="6104" spans="1:18" ht="19.5" hidden="1" thickBot="1" x14ac:dyDescent="0.3">
      <c r="A6104" s="676">
        <f t="shared" si="180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9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  <c r="Q6104" s="2"/>
      <c r="R6104" s="2"/>
    </row>
    <row r="6105" spans="1:18" ht="57" hidden="1" thickBot="1" x14ac:dyDescent="0.3">
      <c r="A6105" s="676">
        <f t="shared" si="180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9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  <c r="Q6105" s="2"/>
      <c r="R6105" s="2"/>
    </row>
    <row r="6106" spans="1:18" ht="19.5" hidden="1" thickBot="1" x14ac:dyDescent="0.3">
      <c r="A6106" s="676">
        <f t="shared" si="180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9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  <c r="Q6106" s="2"/>
      <c r="R6106" s="2"/>
    </row>
    <row r="6107" spans="1:18" ht="19.5" hidden="1" thickBot="1" x14ac:dyDescent="0.3">
      <c r="A6107" s="678">
        <f t="shared" si="180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9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  <c r="Q6107" s="2"/>
      <c r="R6107" s="2"/>
    </row>
    <row r="6108" spans="1:18" ht="19.5" hidden="1" thickBot="1" x14ac:dyDescent="0.3">
      <c r="A6108" s="676">
        <f t="shared" si="180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9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  <c r="Q6108" s="2"/>
      <c r="R6108" s="2"/>
    </row>
    <row r="6109" spans="1:18" ht="19.5" hidden="1" thickBot="1" x14ac:dyDescent="0.3">
      <c r="A6109" s="676">
        <f t="shared" si="180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9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  <c r="Q6109" s="2"/>
      <c r="R6109" s="2"/>
    </row>
    <row r="6110" spans="1:18" ht="19.5" hidden="1" thickBot="1" x14ac:dyDescent="0.3">
      <c r="A6110" s="678">
        <f t="shared" si="180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9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  <c r="Q6110" s="2"/>
      <c r="R6110" s="2"/>
    </row>
    <row r="6111" spans="1:18" ht="19.5" hidden="1" thickBot="1" x14ac:dyDescent="0.3">
      <c r="A6111" s="678">
        <f t="shared" si="180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9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  <c r="Q6111" s="2"/>
      <c r="R6111" s="2"/>
    </row>
    <row r="6112" spans="1:18" ht="19.5" hidden="1" thickBot="1" x14ac:dyDescent="0.3">
      <c r="A6112" s="676">
        <f t="shared" si="180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9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  <c r="Q6112" s="2"/>
      <c r="R6112" s="2"/>
    </row>
    <row r="6113" spans="1:18" ht="19.5" hidden="1" thickBot="1" x14ac:dyDescent="0.3">
      <c r="A6113" s="676">
        <f t="shared" si="180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9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  <c r="Q6113" s="2"/>
      <c r="R6113" s="2"/>
    </row>
    <row r="6114" spans="1:18" ht="19.5" hidden="1" thickBot="1" x14ac:dyDescent="0.3">
      <c r="A6114" s="678">
        <f t="shared" si="180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9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  <c r="Q6114" s="2"/>
      <c r="R6114" s="2"/>
    </row>
    <row r="6115" spans="1:18" ht="19.5" hidden="1" thickBot="1" x14ac:dyDescent="0.3">
      <c r="A6115" s="676">
        <f t="shared" si="180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9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  <c r="Q6115" s="2"/>
      <c r="R6115" s="2"/>
    </row>
    <row r="6116" spans="1:18" ht="19.5" hidden="1" thickBot="1" x14ac:dyDescent="0.3">
      <c r="A6116" s="676">
        <f t="shared" si="180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9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  <c r="Q6116" s="2"/>
      <c r="R6116" s="2"/>
    </row>
    <row r="6117" spans="1:18" ht="19.5" hidden="1" thickBot="1" x14ac:dyDescent="0.3">
      <c r="A6117" s="678">
        <f t="shared" si="180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9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  <c r="Q6117" s="2"/>
      <c r="R6117" s="2"/>
    </row>
    <row r="6118" spans="1:18" ht="19.5" hidden="1" thickBot="1" x14ac:dyDescent="0.3">
      <c r="A6118" s="676">
        <f t="shared" si="180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9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  <c r="Q6118" s="2"/>
      <c r="R6118" s="2"/>
    </row>
    <row r="6119" spans="1:18" ht="19.5" hidden="1" thickBot="1" x14ac:dyDescent="0.3">
      <c r="A6119" s="676">
        <f t="shared" si="180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9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  <c r="Q6119" s="2"/>
      <c r="R6119" s="2"/>
    </row>
    <row r="6120" spans="1:18" ht="75.75" hidden="1" thickBot="1" x14ac:dyDescent="0.3">
      <c r="A6120" s="678">
        <f t="shared" si="180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9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  <c r="Q6120" s="2"/>
      <c r="R6120" s="2"/>
    </row>
    <row r="6121" spans="1:18" ht="19.5" hidden="1" thickBot="1" x14ac:dyDescent="0.3">
      <c r="A6121" s="676">
        <f t="shared" si="180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9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  <c r="Q6121" s="2"/>
      <c r="R6121" s="2"/>
    </row>
    <row r="6122" spans="1:18" ht="19.5" hidden="1" thickBot="1" x14ac:dyDescent="0.3">
      <c r="A6122" s="678">
        <f t="shared" si="180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9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  <c r="Q6122" s="2"/>
      <c r="R6122" s="2"/>
    </row>
    <row r="6123" spans="1:18" ht="19.5" hidden="1" thickBot="1" x14ac:dyDescent="0.3">
      <c r="A6123" s="678">
        <f t="shared" si="180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9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  <c r="Q6123" s="2"/>
      <c r="R6123" s="2"/>
    </row>
    <row r="6124" spans="1:18" ht="19.5" hidden="1" thickBot="1" x14ac:dyDescent="0.3">
      <c r="A6124" s="678">
        <f t="shared" si="180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9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  <c r="Q6124" s="2"/>
      <c r="R6124" s="2"/>
    </row>
    <row r="6125" spans="1:18" ht="19.5" hidden="1" thickBot="1" x14ac:dyDescent="0.3">
      <c r="A6125" s="676">
        <f t="shared" si="180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9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  <c r="Q6125" s="2"/>
      <c r="R6125" s="2"/>
    </row>
    <row r="6126" spans="1:18" ht="19.5" hidden="1" thickBot="1" x14ac:dyDescent="0.3">
      <c r="A6126" s="676">
        <f t="shared" si="180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9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  <c r="Q6126" s="2"/>
      <c r="R6126" s="2"/>
    </row>
    <row r="6127" spans="1:18" ht="19.5" hidden="1" thickBot="1" x14ac:dyDescent="0.3">
      <c r="A6127" s="676">
        <f t="shared" si="180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9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  <c r="Q6127" s="2"/>
      <c r="R6127" s="2"/>
    </row>
    <row r="6128" spans="1:18" ht="19.5" hidden="1" thickBot="1" x14ac:dyDescent="0.3">
      <c r="A6128" s="678">
        <f t="shared" si="180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9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  <c r="Q6128" s="2"/>
      <c r="R6128" s="2"/>
    </row>
    <row r="6129" spans="1:18" ht="19.5" hidden="1" thickBot="1" x14ac:dyDescent="0.3">
      <c r="A6129" s="678">
        <f t="shared" si="180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9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  <c r="Q6129" s="2"/>
      <c r="R6129" s="2"/>
    </row>
    <row r="6130" spans="1:18" ht="19.5" hidden="1" thickBot="1" x14ac:dyDescent="0.3">
      <c r="A6130" s="676">
        <f t="shared" si="180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9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  <c r="Q6130" s="2"/>
      <c r="R6130" s="2"/>
    </row>
    <row r="6131" spans="1:18" ht="19.5" hidden="1" thickBot="1" x14ac:dyDescent="0.3">
      <c r="A6131" s="676">
        <f t="shared" si="180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9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  <c r="Q6131" s="2"/>
      <c r="R6131" s="2"/>
    </row>
    <row r="6132" spans="1:18" ht="19.5" hidden="1" thickBot="1" x14ac:dyDescent="0.3">
      <c r="A6132" s="678">
        <f t="shared" si="180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9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  <c r="Q6132" s="2"/>
      <c r="R6132" s="2"/>
    </row>
    <row r="6133" spans="1:18" ht="19.5" hidden="1" thickBot="1" x14ac:dyDescent="0.3">
      <c r="A6133" s="678">
        <f t="shared" si="180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9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  <c r="Q6133" s="2"/>
      <c r="R6133" s="2"/>
    </row>
    <row r="6134" spans="1:18" ht="19.5" hidden="1" thickBot="1" x14ac:dyDescent="0.3">
      <c r="A6134" s="676">
        <f t="shared" si="180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9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  <c r="Q6134" s="2"/>
      <c r="R6134" s="2"/>
    </row>
    <row r="6135" spans="1:18" ht="19.5" hidden="1" thickBot="1" x14ac:dyDescent="0.3">
      <c r="A6135" s="678">
        <f t="shared" si="180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1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  <c r="Q6135" s="2"/>
      <c r="R6135" s="2"/>
    </row>
    <row r="6136" spans="1:18" ht="19.5" hidden="1" thickBot="1" x14ac:dyDescent="0.3">
      <c r="A6136" s="676">
        <f t="shared" si="180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1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  <c r="Q6136" s="2"/>
      <c r="R6136" s="2"/>
    </row>
    <row r="6137" spans="1:18" ht="19.5" hidden="1" thickBot="1" x14ac:dyDescent="0.3">
      <c r="A6137" s="678">
        <f t="shared" si="180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1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  <c r="Q6137" s="2"/>
      <c r="R6137" s="2"/>
    </row>
    <row r="6138" spans="1:18" ht="19.5" hidden="1" thickBot="1" x14ac:dyDescent="0.3">
      <c r="A6138" s="676">
        <f t="shared" si="180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1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  <c r="Q6138" s="2"/>
      <c r="R6138" s="2"/>
    </row>
    <row r="6139" spans="1:18" ht="19.5" hidden="1" thickBot="1" x14ac:dyDescent="0.3">
      <c r="A6139" s="678">
        <f t="shared" si="180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1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  <c r="Q6139" s="2"/>
      <c r="R6139" s="2"/>
    </row>
    <row r="6140" spans="1:18" ht="19.5" hidden="1" thickBot="1" x14ac:dyDescent="0.3">
      <c r="A6140" s="676">
        <f t="shared" si="180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1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  <c r="Q6140" s="2"/>
      <c r="R6140" s="2"/>
    </row>
    <row r="6141" spans="1:18" ht="19.5" hidden="1" thickBot="1" x14ac:dyDescent="0.3">
      <c r="A6141" s="676">
        <f t="shared" si="180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1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  <c r="Q6141" s="2"/>
      <c r="R6141" s="2"/>
    </row>
    <row r="6142" spans="1:18" ht="19.5" hidden="1" thickBot="1" x14ac:dyDescent="0.3">
      <c r="A6142" s="678">
        <f t="shared" si="180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1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  <c r="Q6142" s="2"/>
      <c r="R6142" s="2"/>
    </row>
    <row r="6143" spans="1:18" ht="19.5" hidden="1" thickBot="1" x14ac:dyDescent="0.3">
      <c r="A6143" s="678">
        <f t="shared" si="180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1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  <c r="Q6143" s="2"/>
      <c r="R6143" s="2"/>
    </row>
    <row r="6144" spans="1:18" ht="19.5" hidden="1" thickBot="1" x14ac:dyDescent="0.3">
      <c r="A6144" s="678">
        <f t="shared" si="180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1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  <c r="Q6144" s="2"/>
      <c r="R6144" s="2"/>
    </row>
    <row r="6145" spans="1:18" ht="19.5" hidden="1" thickBot="1" x14ac:dyDescent="0.3">
      <c r="A6145" s="676">
        <f t="shared" si="180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1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  <c r="Q6145" s="2"/>
      <c r="R6145" s="2"/>
    </row>
    <row r="6146" spans="1:18" ht="19.5" hidden="1" thickBot="1" x14ac:dyDescent="0.3">
      <c r="A6146" s="678">
        <f t="shared" si="180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1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  <c r="Q6146" s="2"/>
      <c r="R6146" s="2"/>
    </row>
    <row r="6147" spans="1:18" ht="19.5" hidden="1" thickBot="1" x14ac:dyDescent="0.3">
      <c r="A6147" s="676">
        <f t="shared" si="180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1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  <c r="Q6147" s="2"/>
      <c r="R6147" s="2"/>
    </row>
    <row r="6148" spans="1:18" ht="19.5" hidden="1" thickBot="1" x14ac:dyDescent="0.3">
      <c r="A6148" s="678">
        <f t="shared" si="180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1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  <c r="Q6148" s="2"/>
      <c r="R6148" s="2"/>
    </row>
    <row r="6149" spans="1:18" ht="57" hidden="1" thickBot="1" x14ac:dyDescent="0.3">
      <c r="A6149" s="678">
        <f t="shared" si="180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1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  <c r="Q6149" s="2"/>
      <c r="R6149" s="2"/>
    </row>
    <row r="6150" spans="1:18" ht="19.5" hidden="1" thickBot="1" x14ac:dyDescent="0.3">
      <c r="A6150" s="678">
        <f t="shared" si="180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1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  <c r="Q6150" s="2"/>
      <c r="R6150" s="2"/>
    </row>
    <row r="6151" spans="1:18" ht="19.5" hidden="1" thickBot="1" x14ac:dyDescent="0.3">
      <c r="A6151" s="676">
        <f t="shared" si="180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1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  <c r="Q6151" s="2"/>
      <c r="R6151" s="2"/>
    </row>
    <row r="6152" spans="1:18" ht="19.5" hidden="1" thickBot="1" x14ac:dyDescent="0.3">
      <c r="A6152" s="676">
        <f t="shared" si="180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1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  <c r="Q6152" s="2"/>
      <c r="R6152" s="2"/>
    </row>
    <row r="6153" spans="1:18" ht="19.5" hidden="1" thickBot="1" x14ac:dyDescent="0.3">
      <c r="A6153" s="678">
        <f t="shared" si="180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1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  <c r="Q6153" s="2"/>
      <c r="R6153" s="2"/>
    </row>
    <row r="6154" spans="1:18" ht="19.5" hidden="1" thickBot="1" x14ac:dyDescent="0.3">
      <c r="A6154" s="678">
        <f t="shared" si="180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1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  <c r="Q6154" s="2"/>
      <c r="R6154" s="2"/>
    </row>
    <row r="6155" spans="1:18" ht="19.5" hidden="1" thickBot="1" x14ac:dyDescent="0.3">
      <c r="A6155" s="678">
        <f t="shared" si="180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1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  <c r="Q6155" s="2"/>
      <c r="R6155" s="2"/>
    </row>
    <row r="6156" spans="1:18" ht="19.5" hidden="1" thickBot="1" x14ac:dyDescent="0.3">
      <c r="A6156" s="676">
        <f t="shared" si="180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1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  <c r="Q6156" s="2"/>
      <c r="R6156" s="2"/>
    </row>
    <row r="6157" spans="1:18" ht="19.5" hidden="1" thickBot="1" x14ac:dyDescent="0.3">
      <c r="A6157" s="678">
        <f t="shared" si="180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1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  <c r="Q6157" s="2"/>
      <c r="R6157" s="2"/>
    </row>
    <row r="6158" spans="1:18" ht="19.5" hidden="1" thickBot="1" x14ac:dyDescent="0.3">
      <c r="A6158" s="678">
        <f t="shared" si="180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1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  <c r="Q6158" s="2"/>
      <c r="R6158" s="2"/>
    </row>
    <row r="6159" spans="1:18" ht="19.5" hidden="1" thickBot="1" x14ac:dyDescent="0.3">
      <c r="A6159" s="676">
        <f t="shared" si="180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1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  <c r="Q6159" s="2"/>
      <c r="R6159" s="2"/>
    </row>
    <row r="6160" spans="1:18" ht="19.5" hidden="1" thickBot="1" x14ac:dyDescent="0.3">
      <c r="A6160" s="678">
        <f t="shared" si="180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1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  <c r="Q6160" s="2"/>
      <c r="R6160" s="2"/>
    </row>
    <row r="6161" spans="1:18" ht="19.5" hidden="1" thickBot="1" x14ac:dyDescent="0.3">
      <c r="A6161" s="678">
        <f t="shared" si="180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1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  <c r="Q6161" s="2"/>
      <c r="R6161" s="2"/>
    </row>
    <row r="6162" spans="1:18" ht="75.75" hidden="1" thickBot="1" x14ac:dyDescent="0.3">
      <c r="A6162" s="676">
        <f t="shared" si="180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1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  <c r="Q6162" s="2"/>
      <c r="R6162" s="2"/>
    </row>
    <row r="6163" spans="1:18" ht="19.5" hidden="1" thickBot="1" x14ac:dyDescent="0.3">
      <c r="A6163" s="678">
        <f t="shared" si="180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1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  <c r="Q6163" s="2"/>
      <c r="R6163" s="2"/>
    </row>
    <row r="6164" spans="1:18" ht="19.5" hidden="1" thickBot="1" x14ac:dyDescent="0.3">
      <c r="A6164" s="678">
        <f t="shared" si="180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1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  <c r="Q6164" s="2"/>
      <c r="R6164" s="2"/>
    </row>
    <row r="6165" spans="1:18" ht="19.5" hidden="1" thickBot="1" x14ac:dyDescent="0.3">
      <c r="A6165" s="676">
        <f t="shared" ref="A6165:A6228" si="182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1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  <c r="Q6165" s="2"/>
      <c r="R6165" s="2"/>
    </row>
    <row r="6166" spans="1:18" ht="19.5" hidden="1" thickBot="1" x14ac:dyDescent="0.3">
      <c r="A6166" s="676">
        <f t="shared" si="182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1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  <c r="Q6166" s="2"/>
      <c r="R6166" s="2"/>
    </row>
    <row r="6167" spans="1:18" ht="19.5" hidden="1" thickBot="1" x14ac:dyDescent="0.3">
      <c r="A6167" s="676">
        <f t="shared" si="182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1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  <c r="Q6167" s="2"/>
      <c r="R6167" s="2"/>
    </row>
    <row r="6168" spans="1:18" ht="19.5" hidden="1" thickBot="1" x14ac:dyDescent="0.3">
      <c r="A6168" s="678">
        <f t="shared" si="182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1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  <c r="Q6168" s="2"/>
      <c r="R6168" s="2"/>
    </row>
    <row r="6169" spans="1:18" ht="19.5" hidden="1" thickBot="1" x14ac:dyDescent="0.3">
      <c r="A6169" s="678">
        <f t="shared" si="182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1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  <c r="Q6169" s="2"/>
      <c r="R6169" s="2"/>
    </row>
    <row r="6170" spans="1:18" ht="19.5" hidden="1" thickBot="1" x14ac:dyDescent="0.3">
      <c r="A6170" s="676">
        <f t="shared" si="182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1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  <c r="Q6170" s="2"/>
      <c r="R6170" s="2"/>
    </row>
    <row r="6171" spans="1:18" ht="19.5" hidden="1" thickBot="1" x14ac:dyDescent="0.3">
      <c r="A6171" s="676">
        <f t="shared" si="182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1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  <c r="Q6171" s="2"/>
      <c r="R6171" s="2"/>
    </row>
    <row r="6172" spans="1:18" ht="19.5" hidden="1" thickBot="1" x14ac:dyDescent="0.3">
      <c r="A6172" s="676">
        <f t="shared" si="182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1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  <c r="Q6172" s="2"/>
      <c r="R6172" s="2"/>
    </row>
    <row r="6173" spans="1:18" ht="19.5" hidden="1" thickBot="1" x14ac:dyDescent="0.3">
      <c r="A6173" s="678">
        <f t="shared" si="182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1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  <c r="Q6173" s="2"/>
      <c r="R6173" s="2"/>
    </row>
    <row r="6174" spans="1:18" ht="19.5" hidden="1" thickBot="1" x14ac:dyDescent="0.3">
      <c r="A6174" s="676">
        <f t="shared" si="182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1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  <c r="Q6174" s="2"/>
      <c r="R6174" s="2"/>
    </row>
    <row r="6175" spans="1:18" ht="19.5" hidden="1" thickBot="1" x14ac:dyDescent="0.3">
      <c r="A6175" s="676">
        <f t="shared" si="182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1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  <c r="Q6175" s="2"/>
      <c r="R6175" s="2"/>
    </row>
    <row r="6176" spans="1:18" ht="19.5" hidden="1" thickBot="1" x14ac:dyDescent="0.3">
      <c r="A6176" s="678">
        <f t="shared" si="182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1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  <c r="Q6176" s="2"/>
      <c r="R6176" s="2"/>
    </row>
    <row r="6177" spans="1:18" ht="19.5" hidden="1" thickBot="1" x14ac:dyDescent="0.3">
      <c r="A6177" s="676">
        <f t="shared" si="182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1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  <c r="Q6177" s="2"/>
      <c r="R6177" s="2"/>
    </row>
    <row r="6178" spans="1:18" ht="19.5" hidden="1" thickBot="1" x14ac:dyDescent="0.3">
      <c r="A6178" s="676">
        <f t="shared" si="182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1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  <c r="Q6178" s="2"/>
      <c r="R6178" s="2"/>
    </row>
    <row r="6179" spans="1:18" ht="19.5" hidden="1" thickBot="1" x14ac:dyDescent="0.3">
      <c r="A6179" s="678">
        <f t="shared" si="182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1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  <c r="Q6179" s="2"/>
      <c r="R6179" s="2"/>
    </row>
    <row r="6180" spans="1:18" ht="19.5" hidden="1" thickBot="1" x14ac:dyDescent="0.3">
      <c r="A6180" s="678">
        <f t="shared" si="182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1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  <c r="Q6180" s="2"/>
      <c r="R6180" s="2"/>
    </row>
    <row r="6181" spans="1:18" ht="19.5" hidden="1" thickBot="1" x14ac:dyDescent="0.3">
      <c r="A6181" s="676">
        <f t="shared" si="182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1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  <c r="Q6181" s="2"/>
      <c r="R6181" s="2"/>
    </row>
    <row r="6182" spans="1:18" ht="19.5" hidden="1" thickBot="1" x14ac:dyDescent="0.3">
      <c r="A6182" s="678">
        <f t="shared" si="182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1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  <c r="Q6182" s="2"/>
      <c r="R6182" s="2"/>
    </row>
    <row r="6183" spans="1:18" ht="19.5" hidden="1" thickBot="1" x14ac:dyDescent="0.3">
      <c r="A6183" s="676">
        <f t="shared" si="182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1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  <c r="Q6183" s="2"/>
      <c r="R6183" s="2"/>
    </row>
    <row r="6184" spans="1:18" ht="19.5" hidden="1" thickBot="1" x14ac:dyDescent="0.3">
      <c r="A6184" s="678">
        <f t="shared" si="182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1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  <c r="Q6184" s="2"/>
      <c r="R6184" s="2"/>
    </row>
    <row r="6185" spans="1:18" ht="19.5" hidden="1" thickBot="1" x14ac:dyDescent="0.3">
      <c r="A6185" s="676">
        <f t="shared" si="182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1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  <c r="Q6185" s="2"/>
      <c r="R6185" s="2"/>
    </row>
    <row r="6186" spans="1:18" ht="19.5" hidden="1" thickBot="1" x14ac:dyDescent="0.3">
      <c r="A6186" s="678">
        <f t="shared" si="182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1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  <c r="Q6186" s="2"/>
      <c r="R6186" s="2"/>
    </row>
    <row r="6187" spans="1:18" ht="19.5" hidden="1" thickBot="1" x14ac:dyDescent="0.3">
      <c r="A6187" s="678">
        <f t="shared" si="182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1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  <c r="Q6187" s="2"/>
      <c r="R6187" s="2"/>
    </row>
    <row r="6188" spans="1:18" ht="19.5" hidden="1" thickBot="1" x14ac:dyDescent="0.3">
      <c r="A6188" s="676">
        <f t="shared" si="182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1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  <c r="Q6188" s="2"/>
      <c r="R6188" s="2"/>
    </row>
    <row r="6189" spans="1:18" ht="19.5" hidden="1" thickBot="1" x14ac:dyDescent="0.3">
      <c r="A6189" s="678">
        <f t="shared" si="182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1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  <c r="Q6189" s="2"/>
      <c r="R6189" s="2"/>
    </row>
    <row r="6190" spans="1:18" ht="19.5" hidden="1" thickBot="1" x14ac:dyDescent="0.3">
      <c r="A6190" s="676">
        <f t="shared" si="182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1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  <c r="Q6190" s="2"/>
      <c r="R6190" s="2"/>
    </row>
    <row r="6191" spans="1:18" ht="19.5" hidden="1" thickBot="1" x14ac:dyDescent="0.3">
      <c r="A6191" s="676">
        <f t="shared" si="182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1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  <c r="Q6191" s="2"/>
      <c r="R6191" s="2"/>
    </row>
    <row r="6192" spans="1:18" ht="19.5" hidden="1" thickBot="1" x14ac:dyDescent="0.3">
      <c r="A6192" s="678">
        <f t="shared" si="182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1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  <c r="Q6192" s="2"/>
      <c r="R6192" s="2"/>
    </row>
    <row r="6193" spans="1:18" ht="57" hidden="1" thickBot="1" x14ac:dyDescent="0.3">
      <c r="A6193" s="678">
        <f t="shared" si="182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1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  <c r="Q6193" s="2"/>
      <c r="R6193" s="2"/>
    </row>
    <row r="6194" spans="1:18" ht="19.5" hidden="1" thickBot="1" x14ac:dyDescent="0.3">
      <c r="A6194" s="678">
        <f t="shared" si="182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1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  <c r="Q6194" s="2"/>
      <c r="R6194" s="2"/>
    </row>
    <row r="6195" spans="1:18" ht="19.5" hidden="1" thickBot="1" x14ac:dyDescent="0.3">
      <c r="A6195" s="676">
        <f t="shared" si="182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1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  <c r="Q6195" s="2"/>
      <c r="R6195" s="2"/>
    </row>
    <row r="6196" spans="1:18" ht="19.5" hidden="1" thickBot="1" x14ac:dyDescent="0.3">
      <c r="A6196" s="676">
        <f t="shared" si="182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1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  <c r="Q6196" s="2"/>
      <c r="R6196" s="2"/>
    </row>
    <row r="6197" spans="1:18" ht="19.5" hidden="1" thickBot="1" x14ac:dyDescent="0.3">
      <c r="A6197" s="678">
        <f t="shared" si="182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1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  <c r="Q6197" s="2"/>
      <c r="R6197" s="2"/>
    </row>
    <row r="6198" spans="1:18" ht="19.5" hidden="1" thickBot="1" x14ac:dyDescent="0.3">
      <c r="A6198" s="676">
        <f t="shared" si="182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1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  <c r="Q6198" s="2"/>
      <c r="R6198" s="2"/>
    </row>
    <row r="6199" spans="1:18" ht="19.5" hidden="1" thickBot="1" x14ac:dyDescent="0.3">
      <c r="A6199" s="676">
        <f t="shared" si="182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3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  <c r="Q6199" s="2"/>
      <c r="R6199" s="2"/>
    </row>
    <row r="6200" spans="1:18" ht="19.5" hidden="1" thickBot="1" x14ac:dyDescent="0.3">
      <c r="A6200" s="678">
        <f t="shared" si="182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3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  <c r="Q6200" s="2"/>
      <c r="R6200" s="2"/>
    </row>
    <row r="6201" spans="1:18" ht="19.5" hidden="1" thickBot="1" x14ac:dyDescent="0.3">
      <c r="A6201" s="678">
        <f t="shared" si="182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3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  <c r="Q6201" s="2"/>
      <c r="R6201" s="2"/>
    </row>
    <row r="6202" spans="1:18" ht="75.75" hidden="1" thickBot="1" x14ac:dyDescent="0.3">
      <c r="A6202" s="676">
        <f t="shared" si="182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3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  <c r="Q6202" s="2"/>
      <c r="R6202" s="2"/>
    </row>
    <row r="6203" spans="1:18" ht="19.5" hidden="1" thickBot="1" x14ac:dyDescent="0.3">
      <c r="A6203" s="678">
        <f t="shared" si="182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3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  <c r="Q6203" s="2"/>
      <c r="R6203" s="2"/>
    </row>
    <row r="6204" spans="1:18" ht="19.5" hidden="1" thickBot="1" x14ac:dyDescent="0.3">
      <c r="A6204" s="676">
        <f t="shared" si="182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3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  <c r="Q6204" s="2"/>
      <c r="R6204" s="2"/>
    </row>
    <row r="6205" spans="1:18" ht="19.5" hidden="1" thickBot="1" x14ac:dyDescent="0.3">
      <c r="A6205" s="678">
        <f t="shared" si="182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3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  <c r="Q6205" s="2"/>
      <c r="R6205" s="2"/>
    </row>
    <row r="6206" spans="1:18" ht="19.5" hidden="1" thickBot="1" x14ac:dyDescent="0.3">
      <c r="A6206" s="678">
        <f t="shared" si="182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3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  <c r="Q6206" s="2"/>
      <c r="R6206" s="2"/>
    </row>
    <row r="6207" spans="1:18" ht="19.5" hidden="1" thickBot="1" x14ac:dyDescent="0.3">
      <c r="A6207" s="676">
        <f t="shared" si="182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3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  <c r="Q6207" s="2"/>
      <c r="R6207" s="2"/>
    </row>
    <row r="6208" spans="1:18" ht="19.5" hidden="1" thickBot="1" x14ac:dyDescent="0.3">
      <c r="A6208" s="676">
        <f t="shared" si="182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3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  <c r="Q6208" s="2"/>
      <c r="R6208" s="2"/>
    </row>
    <row r="6209" spans="1:18" ht="19.5" hidden="1" thickBot="1" x14ac:dyDescent="0.3">
      <c r="A6209" s="678">
        <f t="shared" si="182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3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  <c r="Q6209" s="2"/>
      <c r="R6209" s="2"/>
    </row>
    <row r="6210" spans="1:18" ht="19.5" hidden="1" thickBot="1" x14ac:dyDescent="0.3">
      <c r="A6210" s="678">
        <f t="shared" si="182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3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  <c r="Q6210" s="2"/>
      <c r="R6210" s="2"/>
    </row>
    <row r="6211" spans="1:18" ht="19.5" hidden="1" thickBot="1" x14ac:dyDescent="0.3">
      <c r="A6211" s="676">
        <f t="shared" si="182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3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  <c r="Q6211" s="2"/>
      <c r="R6211" s="2"/>
    </row>
    <row r="6212" spans="1:18" ht="19.5" hidden="1" thickBot="1" x14ac:dyDescent="0.3">
      <c r="A6212" s="678">
        <f t="shared" si="182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3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  <c r="Q6212" s="2"/>
      <c r="R6212" s="2"/>
    </row>
    <row r="6213" spans="1:18" ht="19.5" hidden="1" thickBot="1" x14ac:dyDescent="0.3">
      <c r="A6213" s="676">
        <f t="shared" si="182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3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  <c r="Q6213" s="2"/>
      <c r="R6213" s="2"/>
    </row>
    <row r="6214" spans="1:18" ht="19.5" hidden="1" thickBot="1" x14ac:dyDescent="0.3">
      <c r="A6214" s="676">
        <f t="shared" si="182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3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  <c r="Q6214" s="2"/>
      <c r="R6214" s="2"/>
    </row>
    <row r="6215" spans="1:18" ht="19.5" hidden="1" thickBot="1" x14ac:dyDescent="0.3">
      <c r="A6215" s="678">
        <f t="shared" si="182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3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  <c r="Q6215" s="2"/>
      <c r="R6215" s="2"/>
    </row>
    <row r="6216" spans="1:18" ht="19.5" hidden="1" thickBot="1" x14ac:dyDescent="0.3">
      <c r="A6216" s="678">
        <f t="shared" si="182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3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  <c r="Q6216" s="2"/>
      <c r="R6216" s="2"/>
    </row>
    <row r="6217" spans="1:18" ht="19.5" hidden="1" thickBot="1" x14ac:dyDescent="0.3">
      <c r="A6217" s="676">
        <f t="shared" si="182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3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  <c r="Q6217" s="2"/>
      <c r="R6217" s="2"/>
    </row>
    <row r="6218" spans="1:18" ht="19.5" hidden="1" thickBot="1" x14ac:dyDescent="0.3">
      <c r="A6218" s="678">
        <f t="shared" si="182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3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  <c r="Q6218" s="2"/>
      <c r="R6218" s="2"/>
    </row>
    <row r="6219" spans="1:18" ht="19.5" hidden="1" thickBot="1" x14ac:dyDescent="0.3">
      <c r="A6219" s="676">
        <f t="shared" si="182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3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  <c r="Q6219" s="2"/>
      <c r="R6219" s="2"/>
    </row>
    <row r="6220" spans="1:18" ht="19.5" hidden="1" thickBot="1" x14ac:dyDescent="0.3">
      <c r="A6220" s="678">
        <f t="shared" si="182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3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  <c r="Q6220" s="2"/>
      <c r="R6220" s="2"/>
    </row>
    <row r="6221" spans="1:18" ht="19.5" hidden="1" thickBot="1" x14ac:dyDescent="0.3">
      <c r="A6221" s="676">
        <f t="shared" si="182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3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  <c r="Q6221" s="2"/>
      <c r="R6221" s="2"/>
    </row>
    <row r="6222" spans="1:18" ht="19.5" hidden="1" thickBot="1" x14ac:dyDescent="0.3">
      <c r="A6222" s="678">
        <f t="shared" si="182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3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  <c r="Q6222" s="2"/>
      <c r="R6222" s="2"/>
    </row>
    <row r="6223" spans="1:18" ht="19.5" hidden="1" thickBot="1" x14ac:dyDescent="0.3">
      <c r="A6223" s="678">
        <f t="shared" si="182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3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  <c r="Q6223" s="2"/>
      <c r="R6223" s="2"/>
    </row>
    <row r="6224" spans="1:18" ht="19.5" hidden="1" thickBot="1" x14ac:dyDescent="0.3">
      <c r="A6224" s="676">
        <f t="shared" si="182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3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  <c r="Q6224" s="2"/>
      <c r="R6224" s="2"/>
    </row>
    <row r="6225" spans="1:18" ht="19.5" hidden="1" thickBot="1" x14ac:dyDescent="0.3">
      <c r="A6225" s="678">
        <f t="shared" si="182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3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  <c r="Q6225" s="2"/>
      <c r="R6225" s="2"/>
    </row>
    <row r="6226" spans="1:18" ht="19.5" hidden="1" thickBot="1" x14ac:dyDescent="0.3">
      <c r="A6226" s="676">
        <f t="shared" si="182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3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  <c r="Q6226" s="2"/>
      <c r="R6226" s="2"/>
    </row>
    <row r="6227" spans="1:18" ht="19.5" hidden="1" thickBot="1" x14ac:dyDescent="0.3">
      <c r="A6227" s="676">
        <f t="shared" si="182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3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  <c r="Q6227" s="2"/>
      <c r="R6227" s="2"/>
    </row>
    <row r="6228" spans="1:18" ht="19.5" hidden="1" thickBot="1" x14ac:dyDescent="0.3">
      <c r="A6228" s="676">
        <f t="shared" si="182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3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  <c r="Q6228" s="2"/>
      <c r="R6228" s="2"/>
    </row>
    <row r="6229" spans="1:18" ht="19.5" hidden="1" thickBot="1" x14ac:dyDescent="0.3">
      <c r="A6229" s="678">
        <f t="shared" ref="A6229:A6292" si="184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3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  <c r="Q6229" s="2"/>
      <c r="R6229" s="2"/>
    </row>
    <row r="6230" spans="1:18" ht="19.5" hidden="1" thickBot="1" x14ac:dyDescent="0.3">
      <c r="A6230" s="678">
        <f t="shared" si="184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3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  <c r="Q6230" s="2"/>
      <c r="R6230" s="2"/>
    </row>
    <row r="6231" spans="1:18" ht="19.5" hidden="1" thickBot="1" x14ac:dyDescent="0.3">
      <c r="A6231" s="676">
        <f t="shared" si="184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3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  <c r="Q6231" s="2"/>
      <c r="R6231" s="2"/>
    </row>
    <row r="6232" spans="1:18" ht="19.5" hidden="1" thickBot="1" x14ac:dyDescent="0.3">
      <c r="A6232" s="676">
        <f t="shared" si="184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3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  <c r="Q6232" s="2"/>
      <c r="R6232" s="2"/>
    </row>
    <row r="6233" spans="1:18" ht="19.5" hidden="1" thickBot="1" x14ac:dyDescent="0.3">
      <c r="A6233" s="676">
        <f t="shared" si="184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3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  <c r="Q6233" s="2"/>
      <c r="R6233" s="2"/>
    </row>
    <row r="6234" spans="1:18" ht="19.5" hidden="1" thickBot="1" x14ac:dyDescent="0.3">
      <c r="A6234" s="676">
        <f t="shared" si="184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3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  <c r="Q6234" s="2"/>
      <c r="R6234" s="2"/>
    </row>
    <row r="6235" spans="1:18" ht="19.5" hidden="1" thickBot="1" x14ac:dyDescent="0.3">
      <c r="A6235" s="676">
        <f t="shared" si="184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3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  <c r="Q6235" s="2"/>
      <c r="R6235" s="2"/>
    </row>
    <row r="6236" spans="1:18" ht="19.5" hidden="1" thickBot="1" x14ac:dyDescent="0.3">
      <c r="A6236" s="676">
        <f t="shared" si="184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3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  <c r="Q6236" s="2"/>
      <c r="R6236" s="2"/>
    </row>
    <row r="6237" spans="1:18" ht="19.5" hidden="1" thickBot="1" x14ac:dyDescent="0.3">
      <c r="A6237" s="676">
        <f t="shared" si="184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3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  <c r="Q6237" s="2"/>
      <c r="R6237" s="2"/>
    </row>
    <row r="6238" spans="1:18" ht="19.5" hidden="1" thickBot="1" x14ac:dyDescent="0.3">
      <c r="A6238" s="676">
        <f t="shared" si="184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3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  <c r="Q6238" s="2"/>
      <c r="R6238" s="2"/>
    </row>
    <row r="6239" spans="1:18" ht="19.5" hidden="1" thickBot="1" x14ac:dyDescent="0.3">
      <c r="A6239" s="676">
        <f t="shared" si="184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3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  <c r="Q6239" s="2"/>
      <c r="R6239" s="2"/>
    </row>
    <row r="6240" spans="1:18" ht="19.5" hidden="1" thickBot="1" x14ac:dyDescent="0.3">
      <c r="A6240" s="676">
        <f t="shared" si="184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3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  <c r="Q6240" s="2"/>
      <c r="R6240" s="2"/>
    </row>
    <row r="6241" spans="1:18" ht="19.5" hidden="1" thickBot="1" x14ac:dyDescent="0.3">
      <c r="A6241" s="678">
        <f t="shared" si="184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3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  <c r="Q6241" s="2"/>
      <c r="R6241" s="2"/>
    </row>
    <row r="6242" spans="1:18" ht="75.75" hidden="1" thickBot="1" x14ac:dyDescent="0.3">
      <c r="A6242" s="676">
        <f t="shared" si="184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3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  <c r="Q6242" s="2"/>
      <c r="R6242" s="2"/>
    </row>
    <row r="6243" spans="1:18" ht="19.5" hidden="1" thickBot="1" x14ac:dyDescent="0.3">
      <c r="A6243" s="678">
        <f t="shared" si="184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3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  <c r="Q6243" s="2"/>
      <c r="R6243" s="2"/>
    </row>
    <row r="6244" spans="1:18" ht="19.5" hidden="1" thickBot="1" x14ac:dyDescent="0.3">
      <c r="A6244" s="678">
        <f t="shared" si="184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3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  <c r="Q6244" s="2"/>
      <c r="R6244" s="2"/>
    </row>
    <row r="6245" spans="1:18" ht="19.5" hidden="1" thickBot="1" x14ac:dyDescent="0.3">
      <c r="A6245" s="676">
        <f t="shared" si="184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3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  <c r="Q6245" s="2"/>
      <c r="R6245" s="2"/>
    </row>
    <row r="6246" spans="1:18" ht="19.5" hidden="1" thickBot="1" x14ac:dyDescent="0.3">
      <c r="A6246" s="676">
        <f t="shared" si="184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3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  <c r="Q6246" s="2"/>
      <c r="R6246" s="2"/>
    </row>
    <row r="6247" spans="1:18" ht="19.5" hidden="1" thickBot="1" x14ac:dyDescent="0.3">
      <c r="A6247" s="676">
        <f t="shared" si="184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3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  <c r="Q6247" s="2"/>
      <c r="R6247" s="2"/>
    </row>
    <row r="6248" spans="1:18" ht="19.5" hidden="1" thickBot="1" x14ac:dyDescent="0.3">
      <c r="A6248" s="678">
        <f t="shared" si="184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3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  <c r="Q6248" s="2"/>
      <c r="R6248" s="2"/>
    </row>
    <row r="6249" spans="1:18" ht="19.5" hidden="1" thickBot="1" x14ac:dyDescent="0.3">
      <c r="A6249" s="678">
        <f t="shared" si="184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3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  <c r="Q6249" s="2"/>
      <c r="R6249" s="2"/>
    </row>
    <row r="6250" spans="1:18" ht="19.5" hidden="1" thickBot="1" x14ac:dyDescent="0.3">
      <c r="A6250" s="676">
        <f t="shared" si="184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3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  <c r="Q6250" s="2"/>
      <c r="R6250" s="2"/>
    </row>
    <row r="6251" spans="1:18" ht="19.5" hidden="1" thickBot="1" x14ac:dyDescent="0.3">
      <c r="A6251" s="676">
        <f t="shared" si="184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3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  <c r="Q6251" s="2"/>
      <c r="R6251" s="2"/>
    </row>
    <row r="6252" spans="1:18" ht="19.5" hidden="1" thickBot="1" x14ac:dyDescent="0.3">
      <c r="A6252" s="678">
        <f t="shared" si="184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3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  <c r="Q6252" s="2"/>
      <c r="R6252" s="2"/>
    </row>
    <row r="6253" spans="1:18" ht="19.5" hidden="1" thickBot="1" x14ac:dyDescent="0.3">
      <c r="A6253" s="678">
        <f t="shared" si="184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3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  <c r="Q6253" s="2"/>
      <c r="R6253" s="2"/>
    </row>
    <row r="6254" spans="1:18" ht="19.5" hidden="1" thickBot="1" x14ac:dyDescent="0.3">
      <c r="A6254" s="678">
        <f t="shared" si="184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3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  <c r="Q6254" s="2"/>
      <c r="R6254" s="2"/>
    </row>
    <row r="6255" spans="1:18" ht="19.5" hidden="1" thickBot="1" x14ac:dyDescent="0.3">
      <c r="A6255" s="676">
        <f t="shared" si="184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3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  <c r="Q6255" s="2"/>
      <c r="R6255" s="2"/>
    </row>
    <row r="6256" spans="1:18" ht="19.5" hidden="1" thickBot="1" x14ac:dyDescent="0.3">
      <c r="A6256" s="676">
        <f t="shared" si="184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3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  <c r="Q6256" s="2"/>
      <c r="R6256" s="2"/>
    </row>
    <row r="6257" spans="1:18" ht="19.5" hidden="1" thickBot="1" x14ac:dyDescent="0.3">
      <c r="A6257" s="678">
        <f t="shared" si="184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3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  <c r="Q6257" s="2"/>
      <c r="R6257" s="2"/>
    </row>
    <row r="6258" spans="1:18" ht="19.5" hidden="1" thickBot="1" x14ac:dyDescent="0.3">
      <c r="A6258" s="676">
        <f t="shared" si="184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3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  <c r="Q6258" s="2"/>
      <c r="R6258" s="2"/>
    </row>
    <row r="6259" spans="1:18" ht="19.5" hidden="1" thickBot="1" x14ac:dyDescent="0.3">
      <c r="A6259" s="678">
        <f t="shared" si="184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3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  <c r="Q6259" s="2"/>
      <c r="R6259" s="2"/>
    </row>
    <row r="6260" spans="1:18" ht="19.5" hidden="1" thickBot="1" x14ac:dyDescent="0.3">
      <c r="A6260" s="678">
        <f t="shared" si="184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3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  <c r="Q6260" s="2"/>
      <c r="R6260" s="2"/>
    </row>
    <row r="6261" spans="1:18" ht="19.5" hidden="1" thickBot="1" x14ac:dyDescent="0.3">
      <c r="A6261" s="676">
        <f t="shared" si="184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3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  <c r="Q6261" s="2"/>
      <c r="R6261" s="2"/>
    </row>
    <row r="6262" spans="1:18" ht="19.5" hidden="1" thickBot="1" x14ac:dyDescent="0.3">
      <c r="A6262" s="678">
        <f t="shared" si="184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3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  <c r="Q6262" s="2"/>
      <c r="R6262" s="2"/>
    </row>
    <row r="6263" spans="1:18" ht="19.5" hidden="1" thickBot="1" x14ac:dyDescent="0.3">
      <c r="A6263" s="676">
        <f t="shared" si="184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5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  <c r="Q6263" s="2"/>
      <c r="R6263" s="2"/>
    </row>
    <row r="6264" spans="1:18" ht="19.5" hidden="1" thickBot="1" x14ac:dyDescent="0.3">
      <c r="A6264" s="678">
        <f t="shared" si="184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5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  <c r="Q6264" s="2"/>
      <c r="R6264" s="2"/>
    </row>
    <row r="6265" spans="1:18" ht="19.5" hidden="1" thickBot="1" x14ac:dyDescent="0.3">
      <c r="A6265" s="676">
        <f t="shared" si="184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5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  <c r="Q6265" s="2"/>
      <c r="R6265" s="2"/>
    </row>
    <row r="6266" spans="1:18" ht="19.5" hidden="1" thickBot="1" x14ac:dyDescent="0.3">
      <c r="A6266" s="676">
        <f t="shared" si="184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5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  <c r="Q6266" s="2"/>
      <c r="R6266" s="2"/>
    </row>
    <row r="6267" spans="1:18" ht="19.5" hidden="1" thickBot="1" x14ac:dyDescent="0.3">
      <c r="A6267" s="678">
        <f t="shared" si="184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5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  <c r="Q6267" s="2"/>
      <c r="R6267" s="2"/>
    </row>
    <row r="6268" spans="1:18" ht="19.5" hidden="1" thickBot="1" x14ac:dyDescent="0.3">
      <c r="A6268" s="676">
        <f t="shared" si="184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5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  <c r="Q6268" s="2"/>
      <c r="R6268" s="2"/>
    </row>
    <row r="6269" spans="1:18" ht="19.5" hidden="1" thickBot="1" x14ac:dyDescent="0.3">
      <c r="A6269" s="678">
        <f t="shared" si="184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5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  <c r="Q6269" s="2"/>
      <c r="R6269" s="2"/>
    </row>
    <row r="6270" spans="1:18" ht="19.5" hidden="1" thickBot="1" x14ac:dyDescent="0.3">
      <c r="A6270" s="676">
        <f t="shared" si="184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5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  <c r="Q6270" s="2"/>
      <c r="R6270" s="2"/>
    </row>
    <row r="6271" spans="1:18" ht="19.5" hidden="1" thickBot="1" x14ac:dyDescent="0.3">
      <c r="A6271" s="678">
        <f t="shared" ref="A6271:A6284" si="186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5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  <c r="Q6271" s="2"/>
      <c r="R6271" s="2"/>
    </row>
    <row r="6272" spans="1:18" ht="19.5" hidden="1" thickBot="1" x14ac:dyDescent="0.3">
      <c r="A6272" s="678">
        <f t="shared" si="186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5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  <c r="Q6272" s="2"/>
      <c r="R6272" s="2"/>
    </row>
    <row r="6273" spans="1:18" ht="19.5" hidden="1" thickBot="1" x14ac:dyDescent="0.3">
      <c r="A6273" s="676">
        <f t="shared" si="186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5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  <c r="Q6273" s="2"/>
      <c r="R6273" s="2"/>
    </row>
    <row r="6274" spans="1:18" ht="19.5" hidden="1" thickBot="1" x14ac:dyDescent="0.3">
      <c r="A6274" s="676">
        <f t="shared" si="186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5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  <c r="Q6274" s="2"/>
      <c r="R6274" s="2"/>
    </row>
    <row r="6275" spans="1:18" ht="19.5" hidden="1" thickBot="1" x14ac:dyDescent="0.3">
      <c r="A6275" s="676">
        <f t="shared" si="186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5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  <c r="Q6275" s="2"/>
      <c r="R6275" s="2"/>
    </row>
    <row r="6276" spans="1:18" ht="19.5" hidden="1" thickBot="1" x14ac:dyDescent="0.3">
      <c r="A6276" s="678">
        <f t="shared" si="186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5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  <c r="Q6276" s="2"/>
      <c r="R6276" s="2"/>
    </row>
    <row r="6277" spans="1:18" ht="57" hidden="1" thickBot="1" x14ac:dyDescent="0.3">
      <c r="A6277" s="678">
        <f t="shared" si="186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5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  <c r="Q6277" s="2"/>
      <c r="R6277" s="2"/>
    </row>
    <row r="6278" spans="1:18" ht="19.5" hidden="1" thickBot="1" x14ac:dyDescent="0.3">
      <c r="A6278" s="678">
        <f t="shared" si="186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5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  <c r="Q6278" s="2"/>
      <c r="R6278" s="2"/>
    </row>
    <row r="6279" spans="1:18" ht="19.5" hidden="1" thickBot="1" x14ac:dyDescent="0.3">
      <c r="A6279" s="676">
        <f t="shared" si="186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5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  <c r="Q6279" s="2"/>
      <c r="R6279" s="2"/>
    </row>
    <row r="6280" spans="1:18" ht="19.5" hidden="1" thickBot="1" x14ac:dyDescent="0.3">
      <c r="A6280" s="676">
        <f t="shared" si="186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5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  <c r="Q6280" s="2"/>
      <c r="R6280" s="2"/>
    </row>
    <row r="6281" spans="1:18" ht="19.5" hidden="1" thickBot="1" x14ac:dyDescent="0.3">
      <c r="A6281" s="676">
        <f t="shared" si="186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5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  <c r="Q6281" s="2"/>
      <c r="R6281" s="2"/>
    </row>
    <row r="6282" spans="1:18" ht="19.5" hidden="1" thickBot="1" x14ac:dyDescent="0.3">
      <c r="A6282" s="678">
        <f t="shared" si="186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5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  <c r="Q6282" s="2"/>
      <c r="R6282" s="2"/>
    </row>
    <row r="6283" spans="1:18" ht="19.5" hidden="1" thickBot="1" x14ac:dyDescent="0.3">
      <c r="A6283" s="676">
        <f t="shared" si="186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5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  <c r="Q6283" s="2"/>
      <c r="R6283" s="2"/>
    </row>
    <row r="6284" spans="1:18" ht="19.5" hidden="1" thickBot="1" x14ac:dyDescent="0.3">
      <c r="A6284" s="678">
        <f t="shared" si="186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5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  <c r="Q6284" s="2"/>
      <c r="R6284" s="2"/>
    </row>
    <row r="6285" spans="1:18" ht="19.5" hidden="1" thickBot="1" x14ac:dyDescent="0.3">
      <c r="A6285" s="678">
        <f t="shared" si="184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5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  <c r="Q6285" s="2"/>
      <c r="R6285" s="2"/>
    </row>
    <row r="6286" spans="1:18" ht="19.5" hidden="1" thickBot="1" x14ac:dyDescent="0.3">
      <c r="A6286" s="676">
        <f t="shared" si="184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5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  <c r="Q6286" s="2"/>
      <c r="R6286" s="2"/>
    </row>
    <row r="6287" spans="1:18" ht="38.25" hidden="1" thickBot="1" x14ac:dyDescent="0.3">
      <c r="A6287" s="678">
        <f t="shared" si="184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5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  <c r="Q6287" s="2"/>
      <c r="R6287" s="2"/>
    </row>
    <row r="6288" spans="1:18" ht="19.5" hidden="1" thickBot="1" x14ac:dyDescent="0.3">
      <c r="A6288" s="676">
        <f t="shared" si="184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5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  <c r="Q6288" s="2"/>
      <c r="R6288" s="2"/>
    </row>
    <row r="6289" spans="1:18" ht="19.5" hidden="1" thickBot="1" x14ac:dyDescent="0.3">
      <c r="A6289" s="678">
        <f t="shared" si="184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5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  <c r="Q6289" s="2"/>
      <c r="R6289" s="2"/>
    </row>
    <row r="6290" spans="1:18" ht="19.5" hidden="1" thickBot="1" x14ac:dyDescent="0.3">
      <c r="A6290" s="676">
        <f t="shared" si="184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5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  <c r="Q6290" s="2"/>
      <c r="R6290" s="2"/>
    </row>
    <row r="6291" spans="1:18" ht="19.5" hidden="1" thickBot="1" x14ac:dyDescent="0.3">
      <c r="A6291" s="678">
        <f t="shared" si="184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5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  <c r="Q6291" s="2"/>
      <c r="R6291" s="2"/>
    </row>
    <row r="6292" spans="1:18" ht="19.5" hidden="1" thickBot="1" x14ac:dyDescent="0.3">
      <c r="A6292" s="678">
        <f t="shared" si="184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5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  <c r="Q6292" s="2"/>
      <c r="R6292" s="2"/>
    </row>
    <row r="6293" spans="1:18" ht="19.5" hidden="1" thickBot="1" x14ac:dyDescent="0.3">
      <c r="A6293" s="676">
        <f t="shared" ref="A6293:A6356" si="187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5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  <c r="Q6293" s="2"/>
      <c r="R6293" s="2"/>
    </row>
    <row r="6294" spans="1:18" ht="19.5" hidden="1" thickBot="1" x14ac:dyDescent="0.3">
      <c r="A6294" s="676">
        <f t="shared" si="187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5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  <c r="Q6294" s="2"/>
      <c r="R6294" s="2"/>
    </row>
    <row r="6295" spans="1:18" ht="19.5" hidden="1" thickBot="1" x14ac:dyDescent="0.3">
      <c r="A6295" s="678">
        <f t="shared" si="187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5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  <c r="Q6295" s="2"/>
      <c r="R6295" s="2"/>
    </row>
    <row r="6296" spans="1:18" ht="19.5" hidden="1" thickBot="1" x14ac:dyDescent="0.3">
      <c r="A6296" s="678">
        <f t="shared" si="187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5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  <c r="Q6296" s="2"/>
      <c r="R6296" s="2"/>
    </row>
    <row r="6297" spans="1:18" ht="19.5" hidden="1" thickBot="1" x14ac:dyDescent="0.3">
      <c r="A6297" s="676">
        <f t="shared" si="187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5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  <c r="Q6297" s="2"/>
      <c r="R6297" s="2"/>
    </row>
    <row r="6298" spans="1:18" ht="19.5" hidden="1" thickBot="1" x14ac:dyDescent="0.3">
      <c r="A6298" s="676">
        <f t="shared" si="187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5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  <c r="Q6298" s="2"/>
      <c r="R6298" s="2"/>
    </row>
    <row r="6299" spans="1:18" ht="19.5" hidden="1" thickBot="1" x14ac:dyDescent="0.3">
      <c r="A6299" s="678">
        <f t="shared" si="187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5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  <c r="Q6299" s="2"/>
      <c r="R6299" s="2"/>
    </row>
    <row r="6300" spans="1:18" ht="19.5" hidden="1" thickBot="1" x14ac:dyDescent="0.3">
      <c r="A6300" s="678">
        <f t="shared" si="187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5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  <c r="Q6300" s="2"/>
      <c r="R6300" s="2"/>
    </row>
    <row r="6301" spans="1:18" ht="19.5" hidden="1" thickBot="1" x14ac:dyDescent="0.3">
      <c r="A6301" s="676">
        <f t="shared" si="187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5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  <c r="Q6301" s="2"/>
      <c r="R6301" s="2"/>
    </row>
    <row r="6302" spans="1:18" ht="19.5" hidden="1" thickBot="1" x14ac:dyDescent="0.3">
      <c r="A6302" s="678">
        <f t="shared" si="187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5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  <c r="Q6302" s="2"/>
      <c r="R6302" s="2"/>
    </row>
    <row r="6303" spans="1:18" ht="19.5" hidden="1" thickBot="1" x14ac:dyDescent="0.3">
      <c r="A6303" s="676">
        <f t="shared" si="187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5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  <c r="Q6303" s="2"/>
      <c r="R6303" s="2"/>
    </row>
    <row r="6304" spans="1:18" ht="19.5" hidden="1" thickBot="1" x14ac:dyDescent="0.3">
      <c r="A6304" s="678">
        <f t="shared" si="187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5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  <c r="Q6304" s="2"/>
      <c r="R6304" s="2"/>
    </row>
    <row r="6305" spans="1:18" ht="19.5" hidden="1" thickBot="1" x14ac:dyDescent="0.3">
      <c r="A6305" s="676">
        <f t="shared" si="187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5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  <c r="Q6305" s="2"/>
      <c r="R6305" s="2"/>
    </row>
    <row r="6306" spans="1:18" ht="19.5" hidden="1" thickBot="1" x14ac:dyDescent="0.3">
      <c r="A6306" s="676">
        <f t="shared" si="187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5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  <c r="Q6306" s="2"/>
      <c r="R6306" s="2"/>
    </row>
    <row r="6307" spans="1:18" ht="19.5" hidden="1" thickBot="1" x14ac:dyDescent="0.3">
      <c r="A6307" s="678">
        <f t="shared" si="187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5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  <c r="Q6307" s="2"/>
      <c r="R6307" s="2"/>
    </row>
    <row r="6308" spans="1:18" ht="19.5" hidden="1" thickBot="1" x14ac:dyDescent="0.3">
      <c r="A6308" s="676">
        <f t="shared" si="187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5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  <c r="Q6308" s="2"/>
      <c r="R6308" s="2"/>
    </row>
    <row r="6309" spans="1:18" ht="19.5" hidden="1" thickBot="1" x14ac:dyDescent="0.3">
      <c r="A6309" s="678">
        <f t="shared" si="187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5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  <c r="Q6309" s="2"/>
      <c r="R6309" s="2"/>
    </row>
    <row r="6310" spans="1:18" ht="19.5" hidden="1" thickBot="1" x14ac:dyDescent="0.3">
      <c r="A6310" s="676">
        <f t="shared" si="187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5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  <c r="Q6310" s="2"/>
      <c r="R6310" s="2"/>
    </row>
    <row r="6311" spans="1:18" ht="19.5" hidden="1" thickBot="1" x14ac:dyDescent="0.3">
      <c r="A6311" s="678">
        <f t="shared" si="187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5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  <c r="Q6311" s="2"/>
      <c r="R6311" s="2"/>
    </row>
    <row r="6312" spans="1:18" ht="19.5" hidden="1" thickBot="1" x14ac:dyDescent="0.3">
      <c r="A6312" s="676">
        <f t="shared" si="187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5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  <c r="Q6312" s="2"/>
      <c r="R6312" s="2"/>
    </row>
    <row r="6313" spans="1:18" ht="19.5" hidden="1" thickBot="1" x14ac:dyDescent="0.3">
      <c r="A6313" s="676">
        <f t="shared" si="187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5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  <c r="Q6313" s="2"/>
      <c r="R6313" s="2"/>
    </row>
    <row r="6314" spans="1:18" ht="19.5" hidden="1" thickBot="1" x14ac:dyDescent="0.3">
      <c r="A6314" s="676">
        <f t="shared" si="187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5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  <c r="Q6314" s="2"/>
      <c r="R6314" s="2"/>
    </row>
    <row r="6315" spans="1:18" ht="19.5" hidden="1" thickBot="1" x14ac:dyDescent="0.3">
      <c r="A6315" s="678">
        <f t="shared" si="187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5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  <c r="Q6315" s="2"/>
      <c r="R6315" s="2"/>
    </row>
    <row r="6316" spans="1:18" ht="19.5" hidden="1" thickBot="1" x14ac:dyDescent="0.3">
      <c r="A6316" s="678">
        <f t="shared" si="187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5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  <c r="Q6316" s="2"/>
      <c r="R6316" s="2"/>
    </row>
    <row r="6317" spans="1:18" ht="19.5" hidden="1" thickBot="1" x14ac:dyDescent="0.3">
      <c r="A6317" s="676">
        <f t="shared" si="187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5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  <c r="Q6317" s="2"/>
      <c r="R6317" s="2"/>
    </row>
    <row r="6318" spans="1:18" ht="19.5" hidden="1" thickBot="1" x14ac:dyDescent="0.3">
      <c r="A6318" s="676">
        <f t="shared" si="187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5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  <c r="Q6318" s="2"/>
      <c r="R6318" s="2"/>
    </row>
    <row r="6319" spans="1:18" ht="19.5" hidden="1" thickBot="1" x14ac:dyDescent="0.3">
      <c r="A6319" s="676">
        <f t="shared" si="187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5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  <c r="Q6319" s="2"/>
      <c r="R6319" s="2"/>
    </row>
    <row r="6320" spans="1:18" ht="19.5" hidden="1" thickBot="1" x14ac:dyDescent="0.3">
      <c r="A6320" s="676">
        <f t="shared" si="187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5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  <c r="Q6320" s="2"/>
      <c r="R6320" s="2"/>
    </row>
    <row r="6321" spans="1:18" ht="19.5" hidden="1" thickBot="1" x14ac:dyDescent="0.3">
      <c r="A6321" s="678">
        <f t="shared" si="187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5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  <c r="Q6321" s="2"/>
      <c r="R6321" s="2"/>
    </row>
    <row r="6322" spans="1:18" ht="57" hidden="1" thickBot="1" x14ac:dyDescent="0.3">
      <c r="A6322" s="678">
        <f t="shared" si="187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5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  <c r="Q6322" s="2"/>
      <c r="R6322" s="2"/>
    </row>
    <row r="6323" spans="1:18" ht="19.5" hidden="1" thickBot="1" x14ac:dyDescent="0.3">
      <c r="A6323" s="678">
        <f t="shared" si="187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5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  <c r="Q6323" s="2"/>
      <c r="R6323" s="2"/>
    </row>
    <row r="6324" spans="1:18" ht="19.5" hidden="1" thickBot="1" x14ac:dyDescent="0.3">
      <c r="A6324" s="676">
        <f t="shared" si="187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5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  <c r="Q6324" s="2"/>
      <c r="R6324" s="2"/>
    </row>
    <row r="6325" spans="1:18" ht="19.5" hidden="1" thickBot="1" x14ac:dyDescent="0.3">
      <c r="A6325" s="676">
        <f t="shared" si="187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5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  <c r="Q6325" s="2"/>
      <c r="R6325" s="2"/>
    </row>
    <row r="6326" spans="1:18" ht="19.5" hidden="1" thickBot="1" x14ac:dyDescent="0.3">
      <c r="A6326" s="678">
        <f t="shared" si="187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5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  <c r="Q6326" s="2"/>
      <c r="R6326" s="2"/>
    </row>
    <row r="6327" spans="1:18" ht="19.5" hidden="1" thickBot="1" x14ac:dyDescent="0.3">
      <c r="A6327" s="676">
        <f t="shared" si="187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8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  <c r="Q6327" s="2"/>
      <c r="R6327" s="2"/>
    </row>
    <row r="6328" spans="1:18" ht="19.5" hidden="1" thickBot="1" x14ac:dyDescent="0.3">
      <c r="A6328" s="676">
        <f t="shared" si="187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8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  <c r="Q6328" s="2"/>
      <c r="R6328" s="2"/>
    </row>
    <row r="6329" spans="1:18" ht="19.5" hidden="1" thickBot="1" x14ac:dyDescent="0.3">
      <c r="A6329" s="678">
        <f t="shared" si="187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8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  <c r="Q6329" s="2"/>
      <c r="R6329" s="2"/>
    </row>
    <row r="6330" spans="1:18" ht="19.5" hidden="1" thickBot="1" x14ac:dyDescent="0.3">
      <c r="A6330" s="676">
        <f t="shared" si="187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8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  <c r="Q6330" s="2"/>
      <c r="R6330" s="2"/>
    </row>
    <row r="6331" spans="1:18" ht="19.5" hidden="1" thickBot="1" x14ac:dyDescent="0.3">
      <c r="A6331" s="678">
        <f t="shared" si="187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8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  <c r="Q6331" s="2"/>
      <c r="R6331" s="2"/>
    </row>
    <row r="6332" spans="1:18" ht="19.5" hidden="1" thickBot="1" x14ac:dyDescent="0.3">
      <c r="A6332" s="676">
        <f t="shared" si="187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8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  <c r="Q6332" s="2"/>
      <c r="R6332" s="2"/>
    </row>
    <row r="6333" spans="1:18" ht="38.25" hidden="1" thickBot="1" x14ac:dyDescent="0.3">
      <c r="A6333" s="678">
        <f t="shared" si="187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8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  <c r="Q6333" s="2"/>
      <c r="R6333" s="2"/>
    </row>
    <row r="6334" spans="1:18" ht="19.5" hidden="1" thickBot="1" x14ac:dyDescent="0.3">
      <c r="A6334" s="676">
        <f t="shared" si="187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8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  <c r="Q6334" s="2"/>
      <c r="R6334" s="2"/>
    </row>
    <row r="6335" spans="1:18" ht="19.5" hidden="1" thickBot="1" x14ac:dyDescent="0.3">
      <c r="A6335" s="676">
        <f t="shared" si="187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8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  <c r="Q6335" s="2"/>
      <c r="R6335" s="2"/>
    </row>
    <row r="6336" spans="1:18" ht="19.5" hidden="1" thickBot="1" x14ac:dyDescent="0.3">
      <c r="A6336" s="678">
        <f t="shared" si="187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8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  <c r="Q6336" s="2"/>
      <c r="R6336" s="2"/>
    </row>
    <row r="6337" spans="1:18" ht="19.5" hidden="1" thickBot="1" x14ac:dyDescent="0.3">
      <c r="A6337" s="678">
        <f t="shared" si="187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8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  <c r="Q6337" s="2"/>
      <c r="R6337" s="2"/>
    </row>
    <row r="6338" spans="1:18" ht="19.5" hidden="1" thickBot="1" x14ac:dyDescent="0.3">
      <c r="A6338" s="676">
        <f t="shared" si="187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8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  <c r="Q6338" s="2"/>
      <c r="R6338" s="2"/>
    </row>
    <row r="6339" spans="1:18" ht="19.5" hidden="1" thickBot="1" x14ac:dyDescent="0.3">
      <c r="A6339" s="676">
        <f t="shared" si="187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8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  <c r="Q6339" s="2"/>
      <c r="R6339" s="2"/>
    </row>
    <row r="6340" spans="1:18" ht="19.5" hidden="1" thickBot="1" x14ac:dyDescent="0.3">
      <c r="A6340" s="678">
        <f t="shared" si="187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8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  <c r="Q6340" s="2"/>
      <c r="R6340" s="2"/>
    </row>
    <row r="6341" spans="1:18" ht="19.5" hidden="1" thickBot="1" x14ac:dyDescent="0.3">
      <c r="A6341" s="676">
        <f t="shared" si="187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8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  <c r="Q6341" s="2"/>
      <c r="R6341" s="2"/>
    </row>
    <row r="6342" spans="1:18" ht="19.5" hidden="1" thickBot="1" x14ac:dyDescent="0.3">
      <c r="A6342" s="676">
        <f t="shared" si="187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8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  <c r="Q6342" s="2"/>
      <c r="R6342" s="2"/>
    </row>
    <row r="6343" spans="1:18" ht="19.5" hidden="1" thickBot="1" x14ac:dyDescent="0.3">
      <c r="A6343" s="676">
        <f t="shared" si="187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8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  <c r="Q6343" s="2"/>
      <c r="R6343" s="2"/>
    </row>
    <row r="6344" spans="1:18" ht="19.5" hidden="1" thickBot="1" x14ac:dyDescent="0.3">
      <c r="A6344" s="678">
        <f t="shared" si="187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8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  <c r="Q6344" s="2"/>
      <c r="R6344" s="2"/>
    </row>
    <row r="6345" spans="1:18" ht="19.5" hidden="1" thickBot="1" x14ac:dyDescent="0.3">
      <c r="A6345" s="678">
        <f t="shared" si="187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8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  <c r="Q6345" s="2"/>
      <c r="R6345" s="2"/>
    </row>
    <row r="6346" spans="1:18" ht="19.5" hidden="1" thickBot="1" x14ac:dyDescent="0.3">
      <c r="A6346" s="676">
        <f t="shared" si="187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8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  <c r="Q6346" s="2"/>
      <c r="R6346" s="2"/>
    </row>
    <row r="6347" spans="1:18" ht="19.5" hidden="1" thickBot="1" x14ac:dyDescent="0.3">
      <c r="A6347" s="676">
        <f t="shared" si="187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8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  <c r="Q6347" s="2"/>
      <c r="R6347" s="2"/>
    </row>
    <row r="6348" spans="1:18" ht="19.5" hidden="1" thickBot="1" x14ac:dyDescent="0.3">
      <c r="A6348" s="678">
        <f t="shared" si="187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8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  <c r="Q6348" s="2"/>
      <c r="R6348" s="2"/>
    </row>
    <row r="6349" spans="1:18" ht="19.5" hidden="1" thickBot="1" x14ac:dyDescent="0.3">
      <c r="A6349" s="678">
        <f t="shared" si="187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8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  <c r="Q6349" s="2"/>
      <c r="R6349" s="2"/>
    </row>
    <row r="6350" spans="1:18" ht="19.5" hidden="1" thickBot="1" x14ac:dyDescent="0.3">
      <c r="A6350" s="676">
        <f t="shared" si="187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8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  <c r="Q6350" s="2"/>
      <c r="R6350" s="2"/>
    </row>
    <row r="6351" spans="1:18" ht="19.5" hidden="1" thickBot="1" x14ac:dyDescent="0.3">
      <c r="A6351" s="676">
        <f t="shared" si="187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8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  <c r="Q6351" s="2"/>
      <c r="R6351" s="2"/>
    </row>
    <row r="6352" spans="1:18" ht="19.5" hidden="1" thickBot="1" x14ac:dyDescent="0.3">
      <c r="A6352" s="678">
        <f t="shared" si="187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8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  <c r="Q6352" s="2"/>
      <c r="R6352" s="2"/>
    </row>
    <row r="6353" spans="1:18" ht="19.5" hidden="1" thickBot="1" x14ac:dyDescent="0.3">
      <c r="A6353" s="676">
        <f t="shared" si="187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8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  <c r="Q6353" s="2"/>
      <c r="R6353" s="2"/>
    </row>
    <row r="6354" spans="1:18" ht="19.5" hidden="1" thickBot="1" x14ac:dyDescent="0.3">
      <c r="A6354" s="678">
        <f t="shared" si="187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8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  <c r="Q6354" s="2"/>
      <c r="R6354" s="2"/>
    </row>
    <row r="6355" spans="1:18" ht="19.5" hidden="1" thickBot="1" x14ac:dyDescent="0.3">
      <c r="A6355" s="676">
        <f t="shared" si="187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8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  <c r="Q6355" s="2"/>
      <c r="R6355" s="2"/>
    </row>
    <row r="6356" spans="1:18" ht="19.5" hidden="1" thickBot="1" x14ac:dyDescent="0.3">
      <c r="A6356" s="678">
        <f t="shared" si="187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8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  <c r="Q6356" s="2"/>
      <c r="R6356" s="2"/>
    </row>
    <row r="6357" spans="1:18" ht="19.5" hidden="1" thickBot="1" x14ac:dyDescent="0.3">
      <c r="A6357" s="676">
        <f t="shared" ref="A6357:A6415" si="189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8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  <c r="Q6357" s="2"/>
      <c r="R6357" s="2"/>
    </row>
    <row r="6358" spans="1:18" ht="19.5" hidden="1" thickBot="1" x14ac:dyDescent="0.3">
      <c r="A6358" s="676">
        <f t="shared" si="189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8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  <c r="Q6358" s="2"/>
      <c r="R6358" s="2"/>
    </row>
    <row r="6359" spans="1:18" ht="19.5" hidden="1" thickBot="1" x14ac:dyDescent="0.3">
      <c r="A6359" s="678">
        <f t="shared" si="189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8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  <c r="Q6359" s="2"/>
      <c r="R6359" s="2"/>
    </row>
    <row r="6360" spans="1:18" ht="19.5" hidden="1" thickBot="1" x14ac:dyDescent="0.3">
      <c r="A6360" s="676">
        <f t="shared" si="189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8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  <c r="Q6360" s="2"/>
      <c r="R6360" s="2"/>
    </row>
    <row r="6361" spans="1:18" ht="19.5" hidden="1" thickBot="1" x14ac:dyDescent="0.3">
      <c r="A6361" s="676">
        <f t="shared" si="189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8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  <c r="Q6361" s="2"/>
      <c r="R6361" s="2"/>
    </row>
    <row r="6362" spans="1:18" ht="19.5" hidden="1" thickBot="1" x14ac:dyDescent="0.3">
      <c r="A6362" s="678">
        <f t="shared" si="189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8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  <c r="Q6362" s="2"/>
      <c r="R6362" s="2"/>
    </row>
    <row r="6363" spans="1:18" ht="19.5" hidden="1" thickBot="1" x14ac:dyDescent="0.3">
      <c r="A6363" s="676">
        <f t="shared" si="189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8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  <c r="Q6363" s="2"/>
      <c r="R6363" s="2"/>
    </row>
    <row r="6364" spans="1:18" ht="19.5" hidden="1" thickBot="1" x14ac:dyDescent="0.3">
      <c r="A6364" s="678">
        <f t="shared" si="189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8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  <c r="Q6364" s="2"/>
      <c r="R6364" s="2"/>
    </row>
    <row r="6365" spans="1:18" ht="57" hidden="1" thickBot="1" x14ac:dyDescent="0.3">
      <c r="A6365" s="678">
        <f t="shared" si="189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8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  <c r="Q6365" s="2"/>
      <c r="R6365" s="2"/>
    </row>
    <row r="6366" spans="1:18" ht="19.5" hidden="1" thickBot="1" x14ac:dyDescent="0.3">
      <c r="A6366" s="678">
        <f t="shared" si="189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8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  <c r="Q6366" s="2"/>
      <c r="R6366" s="2"/>
    </row>
    <row r="6367" spans="1:18" ht="19.5" hidden="1" thickBot="1" x14ac:dyDescent="0.3">
      <c r="A6367" s="676">
        <f t="shared" si="189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8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  <c r="Q6367" s="2"/>
      <c r="R6367" s="2"/>
    </row>
    <row r="6368" spans="1:18" ht="19.5" hidden="1" thickBot="1" x14ac:dyDescent="0.3">
      <c r="A6368" s="676">
        <f t="shared" si="189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8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  <c r="Q6368" s="2"/>
      <c r="R6368" s="2"/>
    </row>
    <row r="6369" spans="1:18" ht="19.5" hidden="1" thickBot="1" x14ac:dyDescent="0.3">
      <c r="A6369" s="678">
        <f t="shared" si="189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8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  <c r="Q6369" s="2"/>
      <c r="R6369" s="2"/>
    </row>
    <row r="6370" spans="1:18" ht="19.5" hidden="1" thickBot="1" x14ac:dyDescent="0.3">
      <c r="A6370" s="678">
        <f t="shared" si="189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8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  <c r="Q6370" s="2"/>
      <c r="R6370" s="2"/>
    </row>
    <row r="6371" spans="1:18" ht="19.5" hidden="1" thickBot="1" x14ac:dyDescent="0.3">
      <c r="A6371" s="676">
        <f t="shared" si="189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8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  <c r="Q6371" s="2"/>
      <c r="R6371" s="2"/>
    </row>
    <row r="6372" spans="1:18" ht="19.5" hidden="1" thickBot="1" x14ac:dyDescent="0.3">
      <c r="A6372" s="676">
        <f t="shared" si="189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8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  <c r="Q6372" s="2"/>
      <c r="R6372" s="2"/>
    </row>
    <row r="6373" spans="1:18" ht="19.5" hidden="1" thickBot="1" x14ac:dyDescent="0.3">
      <c r="A6373" s="678">
        <f t="shared" si="189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8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  <c r="Q6373" s="2"/>
      <c r="R6373" s="2"/>
    </row>
    <row r="6374" spans="1:18" ht="19.5" hidden="1" thickBot="1" x14ac:dyDescent="0.3">
      <c r="A6374" s="678">
        <f t="shared" si="189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8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  <c r="Q6374" s="2"/>
      <c r="R6374" s="2"/>
    </row>
    <row r="6375" spans="1:18" ht="19.5" hidden="1" thickBot="1" x14ac:dyDescent="0.3">
      <c r="A6375" s="676">
        <f t="shared" si="189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8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  <c r="Q6375" s="2"/>
      <c r="R6375" s="2"/>
    </row>
    <row r="6376" spans="1:18" ht="19.5" hidden="1" thickBot="1" x14ac:dyDescent="0.3">
      <c r="A6376" s="678">
        <f t="shared" si="189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8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  <c r="Q6376" s="2"/>
      <c r="R6376" s="2"/>
    </row>
    <row r="6377" spans="1:18" ht="19.5" hidden="1" thickBot="1" x14ac:dyDescent="0.3">
      <c r="A6377" s="678">
        <f t="shared" si="189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8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  <c r="Q6377" s="2"/>
      <c r="R6377" s="2"/>
    </row>
    <row r="6378" spans="1:18" ht="38.25" hidden="1" thickBot="1" x14ac:dyDescent="0.3">
      <c r="A6378" s="676">
        <f t="shared" si="189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8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  <c r="Q6378" s="2"/>
      <c r="R6378" s="2"/>
    </row>
    <row r="6379" spans="1:18" ht="38.25" hidden="1" thickBot="1" x14ac:dyDescent="0.3">
      <c r="A6379" s="678">
        <f t="shared" si="189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8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  <c r="Q6379" s="2"/>
      <c r="R6379" s="2"/>
    </row>
    <row r="6380" spans="1:18" ht="57" hidden="1" thickBot="1" x14ac:dyDescent="0.3">
      <c r="A6380" s="676">
        <f t="shared" si="189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8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  <c r="Q6380" s="2"/>
      <c r="R6380" s="2"/>
    </row>
    <row r="6381" spans="1:18" ht="19.5" hidden="1" thickBot="1" x14ac:dyDescent="0.3">
      <c r="A6381" s="678">
        <f t="shared" si="189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8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  <c r="Q6381" s="2"/>
      <c r="R6381" s="2"/>
    </row>
    <row r="6382" spans="1:18" ht="19.5" hidden="1" thickBot="1" x14ac:dyDescent="0.3">
      <c r="A6382" s="678">
        <f t="shared" si="189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8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  <c r="Q6382" s="2"/>
      <c r="R6382" s="2"/>
    </row>
    <row r="6383" spans="1:18" ht="19.5" hidden="1" thickBot="1" x14ac:dyDescent="0.3">
      <c r="A6383" s="676">
        <f t="shared" si="189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8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  <c r="Q6383" s="2"/>
      <c r="R6383" s="2"/>
    </row>
    <row r="6384" spans="1:18" ht="19.5" hidden="1" thickBot="1" x14ac:dyDescent="0.3">
      <c r="A6384" s="678">
        <f t="shared" si="189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8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  <c r="Q6384" s="2"/>
      <c r="R6384" s="2"/>
    </row>
    <row r="6385" spans="1:18" ht="19.5" hidden="1" thickBot="1" x14ac:dyDescent="0.3">
      <c r="A6385" s="678">
        <f t="shared" si="189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8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  <c r="Q6385" s="2"/>
      <c r="R6385" s="2"/>
    </row>
    <row r="6386" spans="1:18" ht="19.5" hidden="1" thickBot="1" x14ac:dyDescent="0.3">
      <c r="A6386" s="678">
        <f t="shared" si="189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8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  <c r="Q6386" s="2"/>
      <c r="R6386" s="2"/>
    </row>
    <row r="6387" spans="1:18" ht="19.5" hidden="1" thickBot="1" x14ac:dyDescent="0.3">
      <c r="A6387" s="676">
        <f t="shared" si="189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8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  <c r="Q6387" s="2"/>
      <c r="R6387" s="2"/>
    </row>
    <row r="6388" spans="1:18" ht="19.5" hidden="1" thickBot="1" x14ac:dyDescent="0.3">
      <c r="A6388" s="676">
        <f t="shared" si="189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8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  <c r="Q6388" s="2"/>
      <c r="R6388" s="2"/>
    </row>
    <row r="6389" spans="1:18" ht="19.5" hidden="1" thickBot="1" x14ac:dyDescent="0.3">
      <c r="A6389" s="678">
        <f t="shared" si="189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8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  <c r="Q6389" s="2"/>
      <c r="R6389" s="2"/>
    </row>
    <row r="6390" spans="1:18" ht="19.5" hidden="1" thickBot="1" x14ac:dyDescent="0.3">
      <c r="A6390" s="678">
        <f t="shared" si="189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8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  <c r="Q6390" s="2"/>
      <c r="R6390" s="2"/>
    </row>
    <row r="6391" spans="1:18" ht="19.5" hidden="1" thickBot="1" x14ac:dyDescent="0.3">
      <c r="A6391" s="678">
        <f t="shared" si="189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90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  <c r="Q6391" s="2"/>
      <c r="R6391" s="2"/>
    </row>
    <row r="6392" spans="1:18" ht="19.5" hidden="1" thickBot="1" x14ac:dyDescent="0.3">
      <c r="A6392" s="676">
        <f t="shared" si="189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90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  <c r="Q6392" s="2"/>
      <c r="R6392" s="2"/>
    </row>
    <row r="6393" spans="1:18" ht="19.5" hidden="1" thickBot="1" x14ac:dyDescent="0.3">
      <c r="A6393" s="676">
        <f t="shared" si="189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90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  <c r="Q6393" s="2"/>
      <c r="R6393" s="2"/>
    </row>
    <row r="6394" spans="1:18" ht="19.5" hidden="1" thickBot="1" x14ac:dyDescent="0.3">
      <c r="A6394" s="678">
        <f t="shared" si="189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90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  <c r="Q6394" s="2"/>
      <c r="R6394" s="2"/>
    </row>
    <row r="6395" spans="1:18" ht="19.5" hidden="1" thickBot="1" x14ac:dyDescent="0.3">
      <c r="A6395" s="676">
        <f t="shared" si="189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90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  <c r="Q6395" s="2"/>
      <c r="R6395" s="2"/>
    </row>
    <row r="6396" spans="1:18" ht="19.5" hidden="1" thickBot="1" x14ac:dyDescent="0.3">
      <c r="A6396" s="676">
        <f t="shared" si="189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90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  <c r="Q6396" s="2"/>
      <c r="R6396" s="2"/>
    </row>
    <row r="6397" spans="1:18" ht="19.5" hidden="1" thickBot="1" x14ac:dyDescent="0.3">
      <c r="A6397" s="678">
        <f t="shared" si="189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90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  <c r="Q6397" s="2"/>
      <c r="R6397" s="2"/>
    </row>
    <row r="6398" spans="1:18" ht="19.5" hidden="1" thickBot="1" x14ac:dyDescent="0.3">
      <c r="A6398" s="678">
        <f t="shared" si="189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90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  <c r="Q6398" s="2"/>
      <c r="R6398" s="2"/>
    </row>
    <row r="6399" spans="1:18" ht="19.5" hidden="1" thickBot="1" x14ac:dyDescent="0.3">
      <c r="A6399" s="676">
        <f t="shared" si="189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90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  <c r="Q6399" s="2"/>
      <c r="R6399" s="2"/>
    </row>
    <row r="6400" spans="1:18" ht="19.5" hidden="1" thickBot="1" x14ac:dyDescent="0.3">
      <c r="A6400" s="678">
        <f t="shared" si="189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90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  <c r="Q6400" s="2"/>
      <c r="R6400" s="2"/>
    </row>
    <row r="6401" spans="1:18" ht="19.5" hidden="1" thickBot="1" x14ac:dyDescent="0.3">
      <c r="A6401" s="678">
        <f t="shared" si="189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90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  <c r="Q6401" s="2"/>
      <c r="R6401" s="2"/>
    </row>
    <row r="6402" spans="1:18" ht="19.5" hidden="1" thickBot="1" x14ac:dyDescent="0.3">
      <c r="A6402" s="676">
        <f t="shared" si="189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90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  <c r="Q6402" s="2"/>
      <c r="R6402" s="2"/>
    </row>
    <row r="6403" spans="1:18" ht="38.25" hidden="1" thickBot="1" x14ac:dyDescent="0.3">
      <c r="A6403" s="678">
        <f t="shared" si="189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90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  <c r="Q6403" s="2"/>
      <c r="R6403" s="2"/>
    </row>
    <row r="6404" spans="1:18" ht="38.25" hidden="1" thickBot="1" x14ac:dyDescent="0.3">
      <c r="A6404" s="678">
        <f t="shared" si="189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90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  <c r="Q6404" s="2"/>
      <c r="R6404" s="2"/>
    </row>
    <row r="6405" spans="1:18" ht="19.5" hidden="1" thickBot="1" x14ac:dyDescent="0.3">
      <c r="A6405" s="676">
        <f t="shared" si="189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90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  <c r="Q6405" s="2"/>
      <c r="R6405" s="2"/>
    </row>
    <row r="6406" spans="1:18" ht="19.5" hidden="1" thickBot="1" x14ac:dyDescent="0.3">
      <c r="A6406" s="678">
        <f t="shared" si="189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90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  <c r="Q6406" s="2"/>
      <c r="R6406" s="2"/>
    </row>
    <row r="6407" spans="1:18" ht="19.5" hidden="1" thickBot="1" x14ac:dyDescent="0.3">
      <c r="A6407" s="676">
        <f t="shared" si="189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90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  <c r="Q6407" s="2"/>
      <c r="R6407" s="2"/>
    </row>
    <row r="6408" spans="1:18" ht="19.5" hidden="1" thickBot="1" x14ac:dyDescent="0.3">
      <c r="A6408" s="678">
        <f t="shared" si="189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90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  <c r="Q6408" s="2"/>
      <c r="R6408" s="2"/>
    </row>
    <row r="6409" spans="1:18" ht="19.5" hidden="1" thickBot="1" x14ac:dyDescent="0.3">
      <c r="A6409" s="676">
        <f t="shared" si="189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90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  <c r="Q6409" s="2"/>
      <c r="R6409" s="2"/>
    </row>
    <row r="6410" spans="1:18" ht="19.5" hidden="1" thickBot="1" x14ac:dyDescent="0.3">
      <c r="A6410" s="678">
        <f t="shared" si="189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90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  <c r="Q6410" s="2"/>
      <c r="R6410" s="2"/>
    </row>
    <row r="6411" spans="1:18" ht="19.5" hidden="1" thickBot="1" x14ac:dyDescent="0.3">
      <c r="A6411" s="678">
        <f t="shared" si="189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90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  <c r="Q6411" s="2"/>
      <c r="R6411" s="2"/>
    </row>
    <row r="6412" spans="1:18" ht="19.5" hidden="1" thickBot="1" x14ac:dyDescent="0.3">
      <c r="A6412" s="676">
        <f t="shared" si="189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90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  <c r="Q6412" s="2"/>
      <c r="R6412" s="2"/>
    </row>
    <row r="6413" spans="1:18" ht="19.5" hidden="1" thickBot="1" x14ac:dyDescent="0.3">
      <c r="A6413" s="676">
        <f t="shared" si="189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90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  <c r="Q6413" s="2"/>
      <c r="R6413" s="2"/>
    </row>
    <row r="6414" spans="1:18" ht="19.5" hidden="1" thickBot="1" x14ac:dyDescent="0.3">
      <c r="A6414" s="678">
        <f t="shared" si="189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90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  <c r="Q6414" s="2"/>
      <c r="R6414" s="2"/>
    </row>
    <row r="6415" spans="1:18" ht="19.5" hidden="1" thickBot="1" x14ac:dyDescent="0.3">
      <c r="A6415" s="676">
        <f t="shared" si="189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90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  <c r="Q6415" s="2"/>
      <c r="R6415" s="2"/>
    </row>
    <row r="6416" spans="1:18" ht="19.5" hidden="1" thickBot="1" x14ac:dyDescent="0.3">
      <c r="A6416" s="678">
        <f t="shared" ref="A6416:A6429" si="191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90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  <c r="Q6416" s="2"/>
      <c r="R6416" s="2"/>
    </row>
    <row r="6417" spans="1:18" ht="19.5" hidden="1" thickBot="1" x14ac:dyDescent="0.3">
      <c r="A6417" s="676">
        <f t="shared" si="191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90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  <c r="Q6417" s="2"/>
      <c r="R6417" s="2"/>
    </row>
    <row r="6418" spans="1:18" ht="19.5" hidden="1" thickBot="1" x14ac:dyDescent="0.3">
      <c r="A6418" s="678">
        <f t="shared" si="191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90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  <c r="Q6418" s="2"/>
      <c r="R6418" s="2"/>
    </row>
    <row r="6419" spans="1:18" ht="19.5" hidden="1" thickBot="1" x14ac:dyDescent="0.3">
      <c r="A6419" s="676">
        <f t="shared" si="191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90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  <c r="Q6419" s="2"/>
      <c r="R6419" s="2"/>
    </row>
    <row r="6420" spans="1:18" ht="19.5" hidden="1" thickBot="1" x14ac:dyDescent="0.3">
      <c r="A6420" s="678">
        <f t="shared" si="191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90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  <c r="Q6420" s="2"/>
      <c r="R6420" s="2"/>
    </row>
    <row r="6421" spans="1:18" ht="19.5" hidden="1" thickBot="1" x14ac:dyDescent="0.3">
      <c r="A6421" s="676">
        <f t="shared" si="191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90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  <c r="Q6421" s="2"/>
      <c r="R6421" s="2"/>
    </row>
    <row r="6422" spans="1:18" ht="19.5" hidden="1" thickBot="1" x14ac:dyDescent="0.3">
      <c r="A6422" s="678">
        <f t="shared" si="191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90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  <c r="Q6422" s="2"/>
      <c r="R6422" s="2"/>
    </row>
    <row r="6423" spans="1:18" ht="19.5" hidden="1" thickBot="1" x14ac:dyDescent="0.3">
      <c r="A6423" s="676">
        <f t="shared" si="191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90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  <c r="Q6423" s="2"/>
      <c r="R6423" s="2"/>
    </row>
    <row r="6424" spans="1:18" ht="19.5" hidden="1" thickBot="1" x14ac:dyDescent="0.3">
      <c r="A6424" s="676">
        <f t="shared" si="191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90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  <c r="Q6424" s="2"/>
      <c r="R6424" s="2"/>
    </row>
    <row r="6425" spans="1:18" ht="19.5" hidden="1" thickBot="1" x14ac:dyDescent="0.3">
      <c r="A6425" s="676">
        <f t="shared" si="191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90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  <c r="Q6425" s="2"/>
      <c r="R6425" s="2"/>
    </row>
    <row r="6426" spans="1:18" ht="19.5" hidden="1" thickBot="1" x14ac:dyDescent="0.3">
      <c r="A6426" s="678">
        <f t="shared" si="191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90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  <c r="Q6426" s="2"/>
      <c r="R6426" s="2"/>
    </row>
    <row r="6427" spans="1:18" ht="57" hidden="1" thickBot="1" x14ac:dyDescent="0.3">
      <c r="A6427" s="678">
        <f t="shared" si="191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90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  <c r="Q6427" s="2"/>
      <c r="R6427" s="2"/>
    </row>
    <row r="6428" spans="1:18" ht="19.5" hidden="1" thickBot="1" x14ac:dyDescent="0.3">
      <c r="A6428" s="678">
        <f t="shared" si="191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90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  <c r="Q6428" s="2"/>
      <c r="R6428" s="2"/>
    </row>
    <row r="6429" spans="1:18" ht="19.5" hidden="1" thickBot="1" x14ac:dyDescent="0.3">
      <c r="A6429" s="676">
        <f t="shared" si="191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90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  <c r="Q6429" s="2"/>
      <c r="R6429" s="2"/>
    </row>
    <row r="6430" spans="1:18" ht="19.5" hidden="1" thickBot="1" x14ac:dyDescent="0.3">
      <c r="A6430" s="676">
        <f t="shared" ref="A6430:A6493" si="192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90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  <c r="Q6430" s="2"/>
      <c r="R6430" s="2"/>
    </row>
    <row r="6431" spans="1:18" ht="19.5" hidden="1" thickBot="1" x14ac:dyDescent="0.3">
      <c r="A6431" s="678">
        <f t="shared" si="192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90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  <c r="Q6431" s="2"/>
      <c r="R6431" s="2"/>
    </row>
    <row r="6432" spans="1:18" ht="19.5" hidden="1" thickBot="1" x14ac:dyDescent="0.3">
      <c r="A6432" s="678">
        <f t="shared" si="192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90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  <c r="Q6432" s="2"/>
      <c r="R6432" s="2"/>
    </row>
    <row r="6433" spans="1:18" ht="19.5" hidden="1" thickBot="1" x14ac:dyDescent="0.3">
      <c r="A6433" s="678">
        <f t="shared" si="192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90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  <c r="Q6433" s="2"/>
      <c r="R6433" s="2"/>
    </row>
    <row r="6434" spans="1:18" ht="19.5" hidden="1" thickBot="1" x14ac:dyDescent="0.3">
      <c r="A6434" s="676">
        <f t="shared" si="192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90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  <c r="Q6434" s="2"/>
      <c r="R6434" s="2"/>
    </row>
    <row r="6435" spans="1:18" ht="38.25" hidden="1" thickBot="1" x14ac:dyDescent="0.3">
      <c r="A6435" s="678">
        <f t="shared" si="192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90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  <c r="Q6435" s="2"/>
      <c r="R6435" s="2"/>
    </row>
    <row r="6436" spans="1:18" ht="19.5" hidden="1" thickBot="1" x14ac:dyDescent="0.3">
      <c r="A6436" s="676">
        <f t="shared" si="192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90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  <c r="Q6436" s="2"/>
      <c r="R6436" s="2"/>
    </row>
    <row r="6437" spans="1:18" ht="19.5" hidden="1" thickBot="1" x14ac:dyDescent="0.3">
      <c r="A6437" s="678">
        <f t="shared" si="192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90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  <c r="Q6437" s="2"/>
      <c r="R6437" s="2"/>
    </row>
    <row r="6438" spans="1:18" ht="19.5" hidden="1" thickBot="1" x14ac:dyDescent="0.3">
      <c r="A6438" s="676">
        <f t="shared" si="192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90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  <c r="Q6438" s="2"/>
      <c r="R6438" s="2"/>
    </row>
    <row r="6439" spans="1:18" ht="19.5" hidden="1" thickBot="1" x14ac:dyDescent="0.3">
      <c r="A6439" s="676">
        <f t="shared" si="192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90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  <c r="Q6439" s="2"/>
      <c r="R6439" s="2"/>
    </row>
    <row r="6440" spans="1:18" ht="19.5" hidden="1" thickBot="1" x14ac:dyDescent="0.3">
      <c r="A6440" s="676">
        <f t="shared" si="192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90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  <c r="Q6440" s="2"/>
      <c r="R6440" s="2"/>
    </row>
    <row r="6441" spans="1:18" ht="38.25" hidden="1" thickBot="1" x14ac:dyDescent="0.3">
      <c r="A6441" s="678">
        <f t="shared" si="192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90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  <c r="Q6441" s="2"/>
      <c r="R6441" s="2"/>
    </row>
    <row r="6442" spans="1:18" ht="19.5" hidden="1" thickBot="1" x14ac:dyDescent="0.3">
      <c r="A6442" s="676">
        <f t="shared" si="192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90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  <c r="Q6442" s="2"/>
      <c r="R6442" s="2"/>
    </row>
    <row r="6443" spans="1:18" ht="19.5" hidden="1" thickBot="1" x14ac:dyDescent="0.3">
      <c r="A6443" s="676">
        <f t="shared" si="192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90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  <c r="Q6443" s="2"/>
      <c r="R6443" s="2"/>
    </row>
    <row r="6444" spans="1:18" ht="19.5" hidden="1" thickBot="1" x14ac:dyDescent="0.3">
      <c r="A6444" s="678">
        <f t="shared" si="192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90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  <c r="Q6444" s="2"/>
      <c r="R6444" s="2"/>
    </row>
    <row r="6445" spans="1:18" ht="38.25" hidden="1" thickBot="1" x14ac:dyDescent="0.3">
      <c r="A6445" s="676">
        <f t="shared" si="192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90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  <c r="Q6445" s="2"/>
      <c r="R6445" s="2"/>
    </row>
    <row r="6446" spans="1:18" ht="19.5" hidden="1" thickBot="1" x14ac:dyDescent="0.3">
      <c r="A6446" s="678">
        <f t="shared" si="192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90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  <c r="Q6446" s="2"/>
      <c r="R6446" s="2"/>
    </row>
    <row r="6447" spans="1:18" ht="19.5" hidden="1" thickBot="1" x14ac:dyDescent="0.3">
      <c r="A6447" s="678">
        <f t="shared" si="192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90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  <c r="Q6447" s="2"/>
      <c r="R6447" s="2"/>
    </row>
    <row r="6448" spans="1:18" ht="19.5" hidden="1" thickBot="1" x14ac:dyDescent="0.3">
      <c r="A6448" s="678">
        <f t="shared" si="192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90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  <c r="Q6448" s="2"/>
      <c r="R6448" s="2"/>
    </row>
    <row r="6449" spans="1:18" ht="19.5" hidden="1" thickBot="1" x14ac:dyDescent="0.3">
      <c r="A6449" s="676">
        <f t="shared" si="192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90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  <c r="Q6449" s="2"/>
      <c r="R6449" s="2"/>
    </row>
    <row r="6450" spans="1:18" ht="19.5" hidden="1" thickBot="1" x14ac:dyDescent="0.3">
      <c r="A6450" s="676">
        <f t="shared" si="192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90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  <c r="Q6450" s="2"/>
      <c r="R6450" s="2"/>
    </row>
    <row r="6451" spans="1:18" ht="19.5" hidden="1" thickBot="1" x14ac:dyDescent="0.3">
      <c r="A6451" s="678">
        <f t="shared" si="192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90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  <c r="Q6451" s="2"/>
      <c r="R6451" s="2"/>
    </row>
    <row r="6452" spans="1:18" ht="19.5" hidden="1" thickBot="1" x14ac:dyDescent="0.3">
      <c r="A6452" s="678">
        <f t="shared" si="192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90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  <c r="Q6452" s="2"/>
      <c r="R6452" s="2"/>
    </row>
    <row r="6453" spans="1:18" ht="19.5" hidden="1" thickBot="1" x14ac:dyDescent="0.3">
      <c r="A6453" s="678">
        <f t="shared" si="192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90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  <c r="Q6453" s="2"/>
      <c r="R6453" s="2"/>
    </row>
    <row r="6454" spans="1:18" ht="19.5" hidden="1" thickBot="1" x14ac:dyDescent="0.3">
      <c r="A6454" s="676">
        <f t="shared" si="192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90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  <c r="Q6454" s="2"/>
      <c r="R6454" s="2"/>
    </row>
    <row r="6455" spans="1:18" ht="19.5" hidden="1" thickBot="1" x14ac:dyDescent="0.3">
      <c r="A6455" s="676">
        <f t="shared" si="192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3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  <c r="Q6455" s="2"/>
      <c r="R6455" s="2"/>
    </row>
    <row r="6456" spans="1:18" ht="19.5" hidden="1" thickBot="1" x14ac:dyDescent="0.3">
      <c r="A6456" s="678">
        <f t="shared" si="192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3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  <c r="Q6456" s="2"/>
      <c r="R6456" s="2"/>
    </row>
    <row r="6457" spans="1:18" ht="19.5" hidden="1" thickBot="1" x14ac:dyDescent="0.3">
      <c r="A6457" s="678">
        <f t="shared" si="192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3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  <c r="Q6457" s="2"/>
      <c r="R6457" s="2"/>
    </row>
    <row r="6458" spans="1:18" ht="19.5" hidden="1" thickBot="1" x14ac:dyDescent="0.3">
      <c r="A6458" s="678">
        <f t="shared" si="192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3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  <c r="Q6458" s="2"/>
      <c r="R6458" s="2"/>
    </row>
    <row r="6459" spans="1:18" ht="19.5" hidden="1" thickBot="1" x14ac:dyDescent="0.3">
      <c r="A6459" s="676">
        <f t="shared" si="192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3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  <c r="Q6459" s="2"/>
      <c r="R6459" s="2"/>
    </row>
    <row r="6460" spans="1:18" ht="19.5" hidden="1" thickBot="1" x14ac:dyDescent="0.3">
      <c r="A6460" s="678">
        <f t="shared" si="192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3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  <c r="Q6460" s="2"/>
      <c r="R6460" s="2"/>
    </row>
    <row r="6461" spans="1:18" ht="19.5" hidden="1" thickBot="1" x14ac:dyDescent="0.3">
      <c r="A6461" s="678">
        <f t="shared" si="192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3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  <c r="Q6461" s="2"/>
      <c r="R6461" s="2"/>
    </row>
    <row r="6462" spans="1:18" ht="19.5" hidden="1" thickBot="1" x14ac:dyDescent="0.3">
      <c r="A6462" s="676">
        <f t="shared" si="192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3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  <c r="Q6462" s="2"/>
      <c r="R6462" s="2"/>
    </row>
    <row r="6463" spans="1:18" ht="19.5" hidden="1" thickBot="1" x14ac:dyDescent="0.3">
      <c r="A6463" s="676">
        <f t="shared" si="192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3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  <c r="Q6463" s="2"/>
      <c r="R6463" s="2"/>
    </row>
    <row r="6464" spans="1:18" ht="38.25" hidden="1" thickBot="1" x14ac:dyDescent="0.3">
      <c r="A6464" s="697">
        <f t="shared" si="192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3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  <c r="Q6464" s="2"/>
      <c r="R6464" s="2"/>
    </row>
    <row r="6465" spans="1:18" ht="19.5" hidden="1" thickBot="1" x14ac:dyDescent="0.3">
      <c r="A6465" s="678">
        <f t="shared" si="192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3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  <c r="Q6465" s="2"/>
      <c r="R6465" s="2"/>
    </row>
    <row r="6466" spans="1:18" ht="19.5" hidden="1" thickBot="1" x14ac:dyDescent="0.3">
      <c r="A6466" s="678">
        <f t="shared" si="192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3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  <c r="Q6466" s="2"/>
      <c r="R6466" s="2"/>
    </row>
    <row r="6467" spans="1:18" ht="19.5" hidden="1" thickBot="1" x14ac:dyDescent="0.3">
      <c r="A6467" s="676">
        <f t="shared" si="192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3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  <c r="Q6467" s="2"/>
      <c r="R6467" s="2"/>
    </row>
    <row r="6468" spans="1:18" ht="19.5" hidden="1" thickBot="1" x14ac:dyDescent="0.3">
      <c r="A6468" s="678">
        <f t="shared" si="192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3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  <c r="Q6468" s="2"/>
      <c r="R6468" s="2"/>
    </row>
    <row r="6469" spans="1:18" ht="19.5" hidden="1" thickBot="1" x14ac:dyDescent="0.3">
      <c r="A6469" s="676">
        <f t="shared" si="192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3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  <c r="Q6469" s="2"/>
      <c r="R6469" s="2"/>
    </row>
    <row r="6470" spans="1:18" ht="19.5" hidden="1" thickBot="1" x14ac:dyDescent="0.3">
      <c r="A6470" s="678">
        <f t="shared" si="192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3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  <c r="Q6470" s="2"/>
      <c r="R6470" s="2"/>
    </row>
    <row r="6471" spans="1:18" ht="19.5" hidden="1" thickBot="1" x14ac:dyDescent="0.3">
      <c r="A6471" s="676">
        <f t="shared" si="192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3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  <c r="Q6471" s="2"/>
      <c r="R6471" s="2"/>
    </row>
    <row r="6472" spans="1:18" ht="19.5" hidden="1" thickBot="1" x14ac:dyDescent="0.3">
      <c r="A6472" s="678">
        <f t="shared" si="192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3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  <c r="Q6472" s="2"/>
      <c r="R6472" s="2"/>
    </row>
    <row r="6473" spans="1:18" ht="19.5" hidden="1" thickBot="1" x14ac:dyDescent="0.3">
      <c r="A6473" s="678">
        <f t="shared" si="192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3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  <c r="Q6473" s="2"/>
      <c r="R6473" s="2"/>
    </row>
    <row r="6474" spans="1:18" ht="19.5" hidden="1" thickBot="1" x14ac:dyDescent="0.3">
      <c r="A6474" s="676">
        <f t="shared" si="192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3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  <c r="Q6474" s="2"/>
      <c r="R6474" s="2"/>
    </row>
    <row r="6475" spans="1:18" ht="19.5" hidden="1" thickBot="1" x14ac:dyDescent="0.3">
      <c r="A6475" s="678">
        <f t="shared" si="192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3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  <c r="Q6475" s="2"/>
      <c r="R6475" s="2"/>
    </row>
    <row r="6476" spans="1:18" ht="19.5" hidden="1" thickBot="1" x14ac:dyDescent="0.3">
      <c r="A6476" s="676">
        <f t="shared" si="192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3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  <c r="Q6476" s="2"/>
      <c r="R6476" s="2"/>
    </row>
    <row r="6477" spans="1:18" ht="19.5" hidden="1" thickBot="1" x14ac:dyDescent="0.3">
      <c r="A6477" s="676">
        <f t="shared" si="192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3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  <c r="Q6477" s="2"/>
      <c r="R6477" s="2"/>
    </row>
    <row r="6478" spans="1:18" ht="19.5" hidden="1" thickBot="1" x14ac:dyDescent="0.3">
      <c r="A6478" s="704">
        <f t="shared" si="192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3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  <c r="Q6478" s="2"/>
      <c r="R6478" s="2"/>
    </row>
    <row r="6479" spans="1:18" ht="19.5" hidden="1" thickBot="1" x14ac:dyDescent="0.3">
      <c r="A6479" s="678">
        <f t="shared" si="192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3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  <c r="Q6479" s="2"/>
      <c r="R6479" s="2"/>
    </row>
    <row r="6480" spans="1:18" ht="19.5" hidden="1" thickBot="1" x14ac:dyDescent="0.3">
      <c r="A6480" s="676">
        <f t="shared" si="192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3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  <c r="Q6480" s="2"/>
      <c r="R6480" s="2"/>
    </row>
    <row r="6481" spans="1:18" ht="19.5" hidden="1" thickBot="1" x14ac:dyDescent="0.3">
      <c r="A6481" s="678">
        <f t="shared" si="192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3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  <c r="Q6481" s="2"/>
      <c r="R6481" s="2"/>
    </row>
    <row r="6482" spans="1:18" ht="57" hidden="1" thickBot="1" x14ac:dyDescent="0.3">
      <c r="A6482" s="678">
        <f t="shared" si="192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3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  <c r="Q6482" s="2"/>
      <c r="R6482" s="2"/>
    </row>
    <row r="6483" spans="1:18" ht="19.5" hidden="1" thickBot="1" x14ac:dyDescent="0.3">
      <c r="A6483" s="678">
        <f t="shared" si="192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3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  <c r="Q6483" s="2"/>
      <c r="R6483" s="2"/>
    </row>
    <row r="6484" spans="1:18" ht="19.5" hidden="1" thickBot="1" x14ac:dyDescent="0.3">
      <c r="A6484" s="676">
        <f t="shared" si="192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3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  <c r="Q6484" s="2"/>
      <c r="R6484" s="2"/>
    </row>
    <row r="6485" spans="1:18" ht="19.5" hidden="1" thickBot="1" x14ac:dyDescent="0.3">
      <c r="A6485" s="676">
        <f t="shared" si="192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3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  <c r="Q6485" s="2"/>
      <c r="R6485" s="2"/>
    </row>
    <row r="6486" spans="1:18" ht="19.5" hidden="1" thickBot="1" x14ac:dyDescent="0.3">
      <c r="A6486" s="676">
        <f t="shared" si="192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3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  <c r="Q6486" s="2"/>
      <c r="R6486" s="2"/>
    </row>
    <row r="6487" spans="1:18" ht="19.5" hidden="1" thickBot="1" x14ac:dyDescent="0.3">
      <c r="A6487" s="678">
        <f t="shared" si="192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3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  <c r="Q6487" s="2"/>
      <c r="R6487" s="2"/>
    </row>
    <row r="6488" spans="1:18" ht="19.5" hidden="1" thickBot="1" x14ac:dyDescent="0.3">
      <c r="A6488" s="678">
        <f t="shared" si="192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3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  <c r="Q6488" s="2"/>
      <c r="R6488" s="2"/>
    </row>
    <row r="6489" spans="1:18" ht="19.5" hidden="1" thickBot="1" x14ac:dyDescent="0.3">
      <c r="A6489" s="678">
        <f t="shared" si="192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3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  <c r="Q6489" s="2"/>
      <c r="R6489" s="2"/>
    </row>
    <row r="6490" spans="1:18" ht="19.5" hidden="1" thickBot="1" x14ac:dyDescent="0.3">
      <c r="A6490" s="676">
        <f t="shared" si="192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3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  <c r="Q6490" s="2"/>
      <c r="R6490" s="2"/>
    </row>
    <row r="6491" spans="1:18" ht="19.5" hidden="1" thickBot="1" x14ac:dyDescent="0.3">
      <c r="A6491" s="676">
        <f t="shared" si="192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3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  <c r="Q6491" s="2"/>
      <c r="R6491" s="2"/>
    </row>
    <row r="6492" spans="1:18" ht="19.5" hidden="1" thickBot="1" x14ac:dyDescent="0.3">
      <c r="A6492" s="678">
        <f t="shared" si="192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3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  <c r="Q6492" s="2"/>
      <c r="R6492" s="2"/>
    </row>
    <row r="6493" spans="1:18" ht="19.5" hidden="1" thickBot="1" x14ac:dyDescent="0.3">
      <c r="A6493" s="676">
        <f t="shared" si="192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3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  <c r="Q6493" s="2"/>
      <c r="R6493" s="2"/>
    </row>
    <row r="6494" spans="1:18" ht="19.5" hidden="1" thickBot="1" x14ac:dyDescent="0.3">
      <c r="A6494" s="678">
        <f t="shared" ref="A6494:A6557" si="194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3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  <c r="Q6494" s="2"/>
      <c r="R6494" s="2"/>
    </row>
    <row r="6495" spans="1:18" ht="19.5" hidden="1" thickBot="1" x14ac:dyDescent="0.3">
      <c r="A6495" s="676">
        <f t="shared" si="194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3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  <c r="Q6495" s="2"/>
      <c r="R6495" s="2"/>
    </row>
    <row r="6496" spans="1:18" ht="19.5" hidden="1" thickBot="1" x14ac:dyDescent="0.3">
      <c r="A6496" s="678">
        <f t="shared" si="194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3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  <c r="Q6496" s="2"/>
      <c r="R6496" s="2"/>
    </row>
    <row r="6497" spans="1:18" ht="19.5" hidden="1" thickBot="1" x14ac:dyDescent="0.3">
      <c r="A6497" s="676">
        <f t="shared" si="194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3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  <c r="Q6497" s="2"/>
      <c r="R6497" s="2"/>
    </row>
    <row r="6498" spans="1:18" ht="19.5" hidden="1" thickBot="1" x14ac:dyDescent="0.3">
      <c r="A6498" s="676">
        <f t="shared" si="194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3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  <c r="Q6498" s="2"/>
      <c r="R6498" s="2"/>
    </row>
    <row r="6499" spans="1:18" ht="19.5" hidden="1" thickBot="1" x14ac:dyDescent="0.3">
      <c r="A6499" s="678">
        <f t="shared" si="194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3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  <c r="Q6499" s="2"/>
      <c r="R6499" s="2"/>
    </row>
    <row r="6500" spans="1:18" ht="19.5" hidden="1" thickBot="1" x14ac:dyDescent="0.3">
      <c r="A6500" s="676">
        <f t="shared" si="194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3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  <c r="Q6500" s="2"/>
      <c r="R6500" s="2"/>
    </row>
    <row r="6501" spans="1:18" ht="19.5" hidden="1" thickBot="1" x14ac:dyDescent="0.3">
      <c r="A6501" s="676">
        <f t="shared" si="194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3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  <c r="Q6501" s="2"/>
      <c r="R6501" s="2"/>
    </row>
    <row r="6502" spans="1:18" ht="19.5" hidden="1" thickBot="1" x14ac:dyDescent="0.3">
      <c r="A6502" s="678">
        <f t="shared" si="194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3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  <c r="Q6502" s="2"/>
      <c r="R6502" s="2"/>
    </row>
    <row r="6503" spans="1:18" ht="19.5" hidden="1" thickBot="1" x14ac:dyDescent="0.3">
      <c r="A6503" s="678">
        <f t="shared" si="194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3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  <c r="Q6503" s="2"/>
      <c r="R6503" s="2"/>
    </row>
    <row r="6504" spans="1:18" ht="19.5" hidden="1" thickBot="1" x14ac:dyDescent="0.3">
      <c r="A6504" s="678">
        <f t="shared" si="194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3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  <c r="Q6504" s="2"/>
      <c r="R6504" s="2"/>
    </row>
    <row r="6505" spans="1:18" ht="19.5" hidden="1" thickBot="1" x14ac:dyDescent="0.3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3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  <c r="Q6505" s="2"/>
      <c r="R6505" s="2"/>
    </row>
    <row r="6506" spans="1:18" ht="19.5" hidden="1" thickBot="1" x14ac:dyDescent="0.3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3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  <c r="Q6506" s="2"/>
      <c r="R6506" s="2"/>
    </row>
    <row r="6507" spans="1:18" ht="19.5" hidden="1" thickBot="1" x14ac:dyDescent="0.3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3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  <c r="Q6507" s="2"/>
      <c r="R6507" s="2"/>
    </row>
    <row r="6508" spans="1:18" ht="38.25" hidden="1" thickBot="1" x14ac:dyDescent="0.3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3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  <c r="Q6508" s="2"/>
      <c r="R6508" s="2"/>
    </row>
    <row r="6509" spans="1:18" ht="38.25" hidden="1" thickBot="1" x14ac:dyDescent="0.3">
      <c r="A6509" s="678">
        <f t="shared" ref="A6509:A6521" si="195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3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  <c r="Q6509" s="2"/>
      <c r="R6509" s="2"/>
    </row>
    <row r="6510" spans="1:18" ht="38.25" hidden="1" thickBot="1" x14ac:dyDescent="0.3">
      <c r="A6510" s="676">
        <f t="shared" si="195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3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  <c r="Q6510" s="2"/>
      <c r="R6510" s="2"/>
    </row>
    <row r="6511" spans="1:18" ht="19.5" hidden="1" thickBot="1" x14ac:dyDescent="0.3">
      <c r="A6511" s="678">
        <f t="shared" si="195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3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  <c r="Q6511" s="2"/>
      <c r="R6511" s="2"/>
    </row>
    <row r="6512" spans="1:18" ht="19.5" hidden="1" thickBot="1" x14ac:dyDescent="0.3">
      <c r="A6512" s="676">
        <f t="shared" si="195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3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  <c r="Q6512" s="2"/>
      <c r="R6512" s="2"/>
    </row>
    <row r="6513" spans="1:18" ht="19.5" hidden="1" thickBot="1" x14ac:dyDescent="0.3">
      <c r="A6513" s="678">
        <f t="shared" si="195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3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  <c r="Q6513" s="2"/>
      <c r="R6513" s="2"/>
    </row>
    <row r="6514" spans="1:18" ht="19.5" hidden="1" thickBot="1" x14ac:dyDescent="0.3">
      <c r="A6514" s="678">
        <f t="shared" si="195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3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  <c r="Q6514" s="2"/>
      <c r="R6514" s="2"/>
    </row>
    <row r="6515" spans="1:18" ht="19.5" hidden="1" thickBot="1" x14ac:dyDescent="0.3">
      <c r="A6515" s="676">
        <f t="shared" si="195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3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  <c r="Q6515" s="2"/>
      <c r="R6515" s="2"/>
    </row>
    <row r="6516" spans="1:18" ht="19.5" hidden="1" thickBot="1" x14ac:dyDescent="0.3">
      <c r="A6516" s="676">
        <f t="shared" si="195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3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  <c r="Q6516" s="2"/>
      <c r="R6516" s="2"/>
    </row>
    <row r="6517" spans="1:18" ht="19.5" hidden="1" thickBot="1" x14ac:dyDescent="0.3">
      <c r="A6517" s="678">
        <f t="shared" si="195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3"/>
        <v>06,26</v>
      </c>
      <c r="L6517" s="678" t="s">
        <v>28</v>
      </c>
      <c r="M6517" s="678">
        <v>7002.4800000000005</v>
      </c>
      <c r="N6517" s="678" t="s">
        <v>1239</v>
      </c>
      <c r="O6517" s="2"/>
      <c r="P6517" s="758"/>
      <c r="Q6517" s="758"/>
      <c r="R6517" s="2"/>
    </row>
    <row r="6518" spans="1:18" ht="19.5" hidden="1" thickBot="1" x14ac:dyDescent="0.3">
      <c r="A6518" s="678">
        <f t="shared" si="195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3"/>
        <v>06,26</v>
      </c>
      <c r="L6518" s="678" t="s">
        <v>28</v>
      </c>
      <c r="M6518" s="678">
        <v>2459.6400000000003</v>
      </c>
      <c r="N6518" s="678" t="s">
        <v>1239</v>
      </c>
      <c r="O6518" s="2"/>
      <c r="P6518" s="758"/>
      <c r="Q6518" s="758"/>
      <c r="R6518" s="2"/>
    </row>
    <row r="6519" spans="1:18" ht="19.5" hidden="1" thickBot="1" x14ac:dyDescent="0.3">
      <c r="A6519" s="676">
        <f t="shared" si="195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3"/>
        <v>06,26</v>
      </c>
      <c r="L6519" s="676" t="s">
        <v>28</v>
      </c>
      <c r="M6519" s="676">
        <v>10941.48</v>
      </c>
      <c r="N6519" s="676" t="s">
        <v>1240</v>
      </c>
      <c r="O6519" s="2"/>
      <c r="P6519" s="758"/>
      <c r="Q6519" s="758"/>
      <c r="R6519" s="2"/>
    </row>
    <row r="6520" spans="1:18" ht="19.5" hidden="1" thickBot="1" x14ac:dyDescent="0.3">
      <c r="A6520" s="678">
        <f t="shared" si="195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3"/>
        <v>06,26</v>
      </c>
      <c r="L6520" s="678" t="s">
        <v>28</v>
      </c>
      <c r="M6520" s="678">
        <v>11036.56</v>
      </c>
      <c r="N6520" s="678" t="s">
        <v>1241</v>
      </c>
      <c r="O6520" s="2"/>
      <c r="P6520" s="758"/>
      <c r="Q6520" s="758"/>
      <c r="R6520" s="2"/>
    </row>
    <row r="6521" spans="1:18" ht="19.5" hidden="1" thickBot="1" x14ac:dyDescent="0.3">
      <c r="A6521" s="676">
        <f t="shared" si="195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3"/>
        <v>06,26</v>
      </c>
      <c r="L6521" s="676" t="s">
        <v>28</v>
      </c>
      <c r="M6521" s="676">
        <v>10646.2</v>
      </c>
      <c r="N6521" s="676" t="s">
        <v>1242</v>
      </c>
      <c r="O6521" s="2"/>
      <c r="P6521" s="758"/>
      <c r="Q6521" s="758"/>
      <c r="R6521" s="2"/>
    </row>
    <row r="6522" spans="1:18" ht="19.5" hidden="1" thickBot="1" x14ac:dyDescent="0.3">
      <c r="A6522" s="678">
        <f t="shared" si="194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3"/>
        <v>06,26</v>
      </c>
      <c r="L6522" s="678" t="s">
        <v>265</v>
      </c>
      <c r="M6522" s="678">
        <v>17657.2</v>
      </c>
      <c r="N6522" s="678" t="s">
        <v>1236</v>
      </c>
      <c r="O6522" s="2"/>
      <c r="P6522" s="758"/>
      <c r="Q6522" s="758"/>
      <c r="R6522" s="2"/>
    </row>
    <row r="6523" spans="1:18" ht="19.5" hidden="1" thickBot="1" x14ac:dyDescent="0.3">
      <c r="A6523" s="676">
        <f t="shared" si="194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3"/>
        <v>06,26</v>
      </c>
      <c r="L6523" s="676" t="s">
        <v>266</v>
      </c>
      <c r="M6523" s="676">
        <v>17752.8</v>
      </c>
      <c r="N6523" s="676" t="s">
        <v>1237</v>
      </c>
      <c r="O6523" s="2"/>
      <c r="P6523" s="758"/>
      <c r="Q6523" s="758"/>
      <c r="R6523" s="2"/>
    </row>
    <row r="6524" spans="1:18" ht="19.5" hidden="1" thickBot="1" x14ac:dyDescent="0.3">
      <c r="A6524" s="678">
        <f t="shared" si="194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3"/>
        <v>06,26</v>
      </c>
      <c r="L6524" s="678" t="s">
        <v>266</v>
      </c>
      <c r="M6524" s="678">
        <v>18094.580000000002</v>
      </c>
      <c r="N6524" s="678" t="s">
        <v>1237</v>
      </c>
      <c r="O6524" s="2"/>
      <c r="P6524" s="758"/>
      <c r="Q6524" s="758"/>
      <c r="R6524" s="2"/>
    </row>
    <row r="6525" spans="1:18" ht="19.5" hidden="1" thickBot="1" x14ac:dyDescent="0.3">
      <c r="A6525" s="676">
        <f t="shared" si="194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3"/>
        <v>06,26</v>
      </c>
      <c r="L6525" s="676" t="s">
        <v>266</v>
      </c>
      <c r="M6525" s="676">
        <v>18078.28</v>
      </c>
      <c r="N6525" s="676" t="s">
        <v>1240</v>
      </c>
      <c r="O6525" s="2"/>
      <c r="P6525" s="758" t="s">
        <v>1457</v>
      </c>
      <c r="Q6525" s="758"/>
      <c r="R6525" s="2"/>
    </row>
    <row r="6526" spans="1:18" ht="19.5" hidden="1" thickBot="1" x14ac:dyDescent="0.3">
      <c r="A6526" s="678">
        <f t="shared" si="194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3"/>
        <v>06,26</v>
      </c>
      <c r="L6526" s="678" t="s">
        <v>265</v>
      </c>
      <c r="M6526" s="678">
        <v>8363.58</v>
      </c>
      <c r="N6526" s="678" t="s">
        <v>1236</v>
      </c>
      <c r="O6526" s="2"/>
      <c r="P6526" s="758"/>
      <c r="Q6526" s="758"/>
      <c r="R6526" s="2"/>
    </row>
    <row r="6527" spans="1:18" ht="19.5" hidden="1" thickBot="1" x14ac:dyDescent="0.3">
      <c r="A6527" s="678">
        <f t="shared" si="194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3"/>
        <v>06,26</v>
      </c>
      <c r="L6527" s="678" t="s">
        <v>265</v>
      </c>
      <c r="M6527" s="678">
        <v>8977.0600000000013</v>
      </c>
      <c r="N6527" s="678" t="s">
        <v>1236</v>
      </c>
      <c r="O6527" s="2"/>
      <c r="P6527" s="758"/>
      <c r="Q6527" s="758"/>
      <c r="R6527" s="2"/>
    </row>
    <row r="6528" spans="1:18" ht="19.5" hidden="1" thickBot="1" x14ac:dyDescent="0.3">
      <c r="A6528" s="676">
        <f t="shared" si="194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3"/>
        <v>06,26</v>
      </c>
      <c r="L6528" s="676" t="s">
        <v>265</v>
      </c>
      <c r="M6528" s="676">
        <v>17869.560000000005</v>
      </c>
      <c r="N6528" s="676" t="s">
        <v>1237</v>
      </c>
      <c r="O6528" s="2"/>
      <c r="P6528" s="758" t="s">
        <v>1460</v>
      </c>
      <c r="Q6528" s="758"/>
      <c r="R6528" s="2"/>
    </row>
    <row r="6529" spans="1:18" ht="18" hidden="1" customHeight="1" x14ac:dyDescent="0.25">
      <c r="A6529" s="678">
        <f t="shared" si="194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3"/>
        <v>06,26</v>
      </c>
      <c r="L6529" s="678" t="s">
        <v>265</v>
      </c>
      <c r="M6529" s="678">
        <v>17593.560000000005</v>
      </c>
      <c r="N6529" s="678" t="s">
        <v>1239</v>
      </c>
      <c r="O6529" s="2"/>
      <c r="P6529" s="758" t="s">
        <v>1462</v>
      </c>
      <c r="Q6529" s="758"/>
      <c r="R6529" s="2"/>
    </row>
    <row r="6530" spans="1:18" ht="19.5" hidden="1" thickBot="1" x14ac:dyDescent="0.3">
      <c r="A6530" s="676">
        <f t="shared" si="194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3"/>
        <v>06,26</v>
      </c>
      <c r="L6530" s="676" t="s">
        <v>266</v>
      </c>
      <c r="M6530" s="676">
        <v>10146.809999999998</v>
      </c>
      <c r="N6530" s="676" t="s">
        <v>1447</v>
      </c>
      <c r="O6530" s="2"/>
      <c r="P6530" s="758" t="s">
        <v>1455</v>
      </c>
      <c r="Q6530" s="758"/>
      <c r="R6530" s="2"/>
    </row>
    <row r="6531" spans="1:18" ht="19.5" hidden="1" thickBot="1" x14ac:dyDescent="0.3">
      <c r="A6531" s="676">
        <f t="shared" si="194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3"/>
        <v>06,26</v>
      </c>
      <c r="L6531" s="676" t="s">
        <v>266</v>
      </c>
      <c r="M6531" s="676">
        <v>7666.4000000000005</v>
      </c>
      <c r="N6531" s="676" t="s">
        <v>1240</v>
      </c>
      <c r="O6531" s="2"/>
      <c r="P6531" s="758" t="s">
        <v>1456</v>
      </c>
      <c r="Q6531" s="758"/>
      <c r="R6531" s="2"/>
    </row>
    <row r="6532" spans="1:18" ht="19.5" hidden="1" thickBot="1" x14ac:dyDescent="0.3">
      <c r="A6532" s="678">
        <f t="shared" si="194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3"/>
        <v>06,26</v>
      </c>
      <c r="L6532" s="678" t="s">
        <v>265</v>
      </c>
      <c r="M6532" s="678">
        <v>13075.32</v>
      </c>
      <c r="N6532" s="678" t="s">
        <v>1236</v>
      </c>
      <c r="O6532" s="2"/>
      <c r="P6532" s="758" t="s">
        <v>1463</v>
      </c>
      <c r="Q6532" s="758"/>
      <c r="R6532" s="2"/>
    </row>
    <row r="6533" spans="1:18" ht="19.5" hidden="1" thickBot="1" x14ac:dyDescent="0.3">
      <c r="A6533" s="676">
        <f t="shared" si="194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3"/>
        <v>06,26</v>
      </c>
      <c r="L6533" s="676" t="s">
        <v>265</v>
      </c>
      <c r="M6533" s="676">
        <v>17790.68</v>
      </c>
      <c r="N6533" s="676" t="s">
        <v>1393</v>
      </c>
      <c r="O6533" s="2"/>
      <c r="P6533" s="758" t="s">
        <v>1461</v>
      </c>
      <c r="Q6533" s="758"/>
      <c r="R6533" s="2"/>
    </row>
    <row r="6534" spans="1:18" ht="19.5" hidden="1" thickBot="1" x14ac:dyDescent="0.3">
      <c r="A6534" s="678">
        <f t="shared" si="194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3"/>
        <v>06,26</v>
      </c>
      <c r="L6534" s="678" t="s">
        <v>265</v>
      </c>
      <c r="M6534" s="678">
        <v>17780.18</v>
      </c>
      <c r="N6534" s="678" t="s">
        <v>1236</v>
      </c>
      <c r="O6534" s="2"/>
      <c r="P6534" s="758" t="s">
        <v>1471</v>
      </c>
      <c r="Q6534" s="758"/>
      <c r="R6534" s="2"/>
    </row>
    <row r="6535" spans="1:18" ht="19.5" hidden="1" thickBot="1" x14ac:dyDescent="0.3">
      <c r="A6535" s="676">
        <f t="shared" si="194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3"/>
        <v>06,26</v>
      </c>
      <c r="L6535" s="676" t="s">
        <v>28</v>
      </c>
      <c r="M6535" s="676">
        <v>10847.720000000001</v>
      </c>
      <c r="N6535" s="676" t="s">
        <v>1237</v>
      </c>
      <c r="O6535" s="2"/>
      <c r="P6535" s="758" t="s">
        <v>1468</v>
      </c>
      <c r="Q6535" s="758"/>
      <c r="R6535" s="2"/>
    </row>
    <row r="6536" spans="1:18" ht="19.5" hidden="1" thickBot="1" x14ac:dyDescent="0.3">
      <c r="A6536" s="676">
        <f t="shared" si="194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3"/>
        <v>06,26</v>
      </c>
      <c r="L6536" s="676" t="s">
        <v>28</v>
      </c>
      <c r="M6536" s="676">
        <v>6770.88</v>
      </c>
      <c r="N6536" s="676" t="s">
        <v>1237</v>
      </c>
      <c r="O6536" s="2"/>
      <c r="P6536" s="758" t="s">
        <v>1469</v>
      </c>
      <c r="Q6536" s="758"/>
      <c r="R6536" s="2"/>
    </row>
    <row r="6537" spans="1:18" ht="19.5" hidden="1" thickBot="1" x14ac:dyDescent="0.3">
      <c r="A6537" s="678">
        <f t="shared" si="194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3"/>
        <v>06,26</v>
      </c>
      <c r="L6537" s="678" t="s">
        <v>28</v>
      </c>
      <c r="M6537" s="678">
        <v>17515.560000000001</v>
      </c>
      <c r="N6537" s="678" t="s">
        <v>1239</v>
      </c>
      <c r="O6537" s="2"/>
      <c r="P6537" s="758" t="s">
        <v>1464</v>
      </c>
      <c r="Q6537" s="758"/>
      <c r="R6537" s="2"/>
    </row>
    <row r="6538" spans="1:18" ht="19.5" hidden="1" thickBot="1" x14ac:dyDescent="0.3">
      <c r="A6538" s="676">
        <f t="shared" si="194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3"/>
        <v>06,26</v>
      </c>
      <c r="L6538" s="676" t="s">
        <v>28</v>
      </c>
      <c r="M6538" s="676">
        <v>17265.100000000006</v>
      </c>
      <c r="N6538" s="676" t="s">
        <v>1240</v>
      </c>
      <c r="O6538" s="2"/>
      <c r="P6538" s="758" t="s">
        <v>1458</v>
      </c>
      <c r="Q6538" s="758"/>
      <c r="R6538" s="2"/>
    </row>
    <row r="6539" spans="1:18" ht="19.5" hidden="1" thickBot="1" x14ac:dyDescent="0.3">
      <c r="A6539" s="678">
        <f t="shared" si="194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3"/>
        <v>06,26</v>
      </c>
      <c r="L6539" s="678" t="s">
        <v>266</v>
      </c>
      <c r="M6539" s="678">
        <v>15303.12</v>
      </c>
      <c r="N6539" s="678" t="s">
        <v>1241</v>
      </c>
      <c r="O6539" s="2"/>
      <c r="P6539" s="758" t="s">
        <v>1459</v>
      </c>
      <c r="Q6539" s="758"/>
      <c r="R6539" s="2"/>
    </row>
    <row r="6540" spans="1:18" ht="19.5" hidden="1" thickBot="1" x14ac:dyDescent="0.3">
      <c r="A6540" s="676">
        <f t="shared" si="194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3"/>
        <v>06,26</v>
      </c>
      <c r="L6540" s="676" t="s">
        <v>266</v>
      </c>
      <c r="M6540" s="676">
        <v>9823.1999999999989</v>
      </c>
      <c r="N6540" s="676" t="s">
        <v>1242</v>
      </c>
      <c r="O6540" s="2"/>
      <c r="P6540" s="758" t="s">
        <v>1470</v>
      </c>
      <c r="Q6540" s="758"/>
      <c r="R6540" s="2"/>
    </row>
    <row r="6541" spans="1:18" ht="19.5" hidden="1" thickBot="1" x14ac:dyDescent="0.3">
      <c r="A6541" s="678">
        <f t="shared" si="194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6">RIGHT(I6541,5)</f>
        <v>06,26</v>
      </c>
      <c r="L6541" s="678" t="s">
        <v>265</v>
      </c>
      <c r="M6541" s="678">
        <v>16266.6</v>
      </c>
      <c r="N6541" s="678" t="s">
        <v>1236</v>
      </c>
      <c r="O6541" s="2"/>
      <c r="P6541" s="758" t="s">
        <v>1467</v>
      </c>
      <c r="Q6541" s="758"/>
      <c r="R6541" s="2"/>
    </row>
    <row r="6542" spans="1:18" ht="19.5" hidden="1" thickBot="1" x14ac:dyDescent="0.3">
      <c r="A6542" s="678">
        <f t="shared" si="194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6"/>
        <v>06,26</v>
      </c>
      <c r="L6542" s="678" t="s">
        <v>265</v>
      </c>
      <c r="M6542" s="678">
        <v>1290.9000000000001</v>
      </c>
      <c r="N6542" s="678" t="s">
        <v>1236</v>
      </c>
      <c r="O6542" s="2"/>
      <c r="P6542" s="758" t="s">
        <v>1466</v>
      </c>
      <c r="Q6542" s="758"/>
      <c r="R6542" s="2"/>
    </row>
    <row r="6543" spans="1:18" ht="19.5" hidden="1" thickBot="1" x14ac:dyDescent="0.3">
      <c r="A6543" s="676">
        <f t="shared" si="194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6"/>
        <v>06,26</v>
      </c>
      <c r="L6543" s="676" t="s">
        <v>28</v>
      </c>
      <c r="M6543" s="676">
        <v>8165.7199999999993</v>
      </c>
      <c r="N6543" s="676" t="s">
        <v>1237</v>
      </c>
      <c r="O6543" s="2"/>
      <c r="P6543" s="758" t="s">
        <v>1484</v>
      </c>
      <c r="Q6543" s="758"/>
      <c r="R6543" s="2"/>
    </row>
    <row r="6544" spans="1:18" ht="57" hidden="1" thickBot="1" x14ac:dyDescent="0.3">
      <c r="A6544" s="676">
        <f t="shared" si="194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6"/>
        <v>06,26</v>
      </c>
      <c r="L6544" s="676" t="s">
        <v>28</v>
      </c>
      <c r="M6544" s="676">
        <v>1497.6</v>
      </c>
      <c r="N6544" s="676" t="s">
        <v>1237</v>
      </c>
      <c r="O6544" s="2"/>
      <c r="P6544" s="758" t="s">
        <v>1482</v>
      </c>
      <c r="Q6544" s="758"/>
      <c r="R6544" s="2"/>
    </row>
    <row r="6545" spans="1:18" ht="19.5" hidden="1" thickBot="1" x14ac:dyDescent="0.3">
      <c r="A6545" s="676">
        <f t="shared" si="194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6"/>
        <v>06,26</v>
      </c>
      <c r="L6545" s="676" t="s">
        <v>28</v>
      </c>
      <c r="M6545" s="676">
        <v>7957.9600000000009</v>
      </c>
      <c r="N6545" s="676" t="s">
        <v>1237</v>
      </c>
      <c r="O6545" s="2"/>
      <c r="P6545" s="758" t="s">
        <v>1483</v>
      </c>
      <c r="Q6545" s="758"/>
      <c r="R6545" s="2"/>
    </row>
    <row r="6546" spans="1:18" ht="19.5" hidden="1" thickBot="1" x14ac:dyDescent="0.3">
      <c r="A6546" s="678">
        <f t="shared" si="194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6"/>
        <v>06,26</v>
      </c>
      <c r="L6546" s="678" t="s">
        <v>28</v>
      </c>
      <c r="M6546" s="678">
        <v>12487.76</v>
      </c>
      <c r="N6546" s="678" t="s">
        <v>1239</v>
      </c>
      <c r="O6546" s="2"/>
      <c r="P6546" s="758" t="s">
        <v>1477</v>
      </c>
      <c r="Q6546" s="758"/>
      <c r="R6546" s="2"/>
    </row>
    <row r="6547" spans="1:18" ht="19.5" hidden="1" thickBot="1" x14ac:dyDescent="0.3">
      <c r="A6547" s="678">
        <f t="shared" si="194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6"/>
        <v>06,26</v>
      </c>
      <c r="L6547" s="678" t="s">
        <v>28</v>
      </c>
      <c r="M6547" s="678">
        <v>1690.8000000000002</v>
      </c>
      <c r="N6547" s="678" t="s">
        <v>1239</v>
      </c>
      <c r="O6547" s="2"/>
      <c r="P6547" s="758" t="s">
        <v>1478</v>
      </c>
      <c r="Q6547" s="758"/>
      <c r="R6547" s="2"/>
    </row>
    <row r="6548" spans="1:18" ht="19.5" hidden="1" thickBot="1" x14ac:dyDescent="0.3">
      <c r="A6548" s="711">
        <f t="shared" si="194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6"/>
        <v>06,26</v>
      </c>
      <c r="L6548" s="711" t="s">
        <v>266</v>
      </c>
      <c r="M6548" s="711">
        <v>2934.3600000000006</v>
      </c>
      <c r="N6548" s="711" t="s">
        <v>1239</v>
      </c>
      <c r="O6548" s="2"/>
      <c r="P6548" s="758" t="s">
        <v>1476</v>
      </c>
      <c r="Q6548" s="758"/>
      <c r="R6548" s="2"/>
    </row>
    <row r="6549" spans="1:18" ht="19.5" hidden="1" thickBot="1" x14ac:dyDescent="0.3">
      <c r="A6549" s="503">
        <f t="shared" si="194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6"/>
        <v>06,26</v>
      </c>
      <c r="L6549" s="508" t="s">
        <v>265</v>
      </c>
      <c r="M6549" s="508">
        <v>17764.18</v>
      </c>
      <c r="N6549" s="512">
        <v>0.375</v>
      </c>
      <c r="O6549" s="2"/>
      <c r="P6549" s="758" t="s">
        <v>1475</v>
      </c>
      <c r="Q6549" s="758"/>
      <c r="R6549" s="2"/>
    </row>
    <row r="6550" spans="1:18" ht="19.5" hidden="1" thickBot="1" x14ac:dyDescent="0.3">
      <c r="A6550" s="718">
        <f t="shared" si="194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6"/>
        <v>06,26</v>
      </c>
      <c r="L6550" s="723" t="s">
        <v>265</v>
      </c>
      <c r="M6550" s="723">
        <v>17712.7</v>
      </c>
      <c r="N6550" s="727">
        <v>0.375</v>
      </c>
      <c r="O6550" s="2"/>
      <c r="P6550" s="758" t="s">
        <v>1495</v>
      </c>
      <c r="Q6550" s="758"/>
      <c r="R6550" s="2"/>
    </row>
    <row r="6551" spans="1:18" ht="19.5" hidden="1" thickBot="1" x14ac:dyDescent="0.3">
      <c r="A6551" s="503">
        <f t="shared" si="194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6"/>
        <v>06,26</v>
      </c>
      <c r="L6551" s="508" t="s">
        <v>266</v>
      </c>
      <c r="M6551" s="508">
        <v>10284</v>
      </c>
      <c r="N6551" s="512">
        <v>0.41666666666666669</v>
      </c>
      <c r="O6551" s="2"/>
      <c r="P6551" s="758" t="s">
        <v>1465</v>
      </c>
      <c r="Q6551" s="758"/>
      <c r="R6551" s="2"/>
    </row>
    <row r="6552" spans="1:18" ht="19.5" hidden="1" thickBot="1" x14ac:dyDescent="0.3">
      <c r="A6552" s="983">
        <f t="shared" si="194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6"/>
        <v>06,26</v>
      </c>
      <c r="L6552" s="732" t="s">
        <v>266</v>
      </c>
      <c r="M6552" s="732">
        <v>4615.8</v>
      </c>
      <c r="N6552" s="736">
        <v>0.35416666666666669</v>
      </c>
      <c r="O6552" s="2"/>
      <c r="P6552" s="758" t="s">
        <v>1488</v>
      </c>
      <c r="Q6552" s="758"/>
      <c r="R6552" s="2"/>
    </row>
    <row r="6553" spans="1:18" ht="19.5" hidden="1" thickBot="1" x14ac:dyDescent="0.3">
      <c r="A6553" s="984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6"/>
        <v>06,26</v>
      </c>
      <c r="L6553" s="678" t="s">
        <v>266</v>
      </c>
      <c r="M6553" s="678">
        <v>4386.6000000000004</v>
      </c>
      <c r="N6553" s="739">
        <v>0.35416666666666669</v>
      </c>
      <c r="O6553" s="2"/>
      <c r="P6553" s="758" t="s">
        <v>1487</v>
      </c>
      <c r="Q6553" s="758"/>
      <c r="R6553" s="2"/>
    </row>
    <row r="6554" spans="1:18" ht="19.5" hidden="1" thickBot="1" x14ac:dyDescent="0.3">
      <c r="A6554" s="985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6"/>
        <v>06,26</v>
      </c>
      <c r="L6554" s="744" t="s">
        <v>266</v>
      </c>
      <c r="M6554" s="744">
        <v>3982.5</v>
      </c>
      <c r="N6554" s="748">
        <v>0.35416666666666669</v>
      </c>
      <c r="O6554" s="2"/>
      <c r="P6554" s="758" t="s">
        <v>1486</v>
      </c>
      <c r="Q6554" s="758"/>
      <c r="R6554" s="2"/>
    </row>
    <row r="6555" spans="1:18" ht="19.5" hidden="1" thickBot="1" x14ac:dyDescent="0.3">
      <c r="A6555" s="966">
        <f t="shared" si="194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6"/>
        <v>06,26</v>
      </c>
      <c r="L6555" s="535" t="s">
        <v>28</v>
      </c>
      <c r="M6555" s="535">
        <v>10358.920000000002</v>
      </c>
      <c r="N6555" s="539">
        <v>0.41666666666666669</v>
      </c>
      <c r="O6555" s="2"/>
      <c r="P6555" s="758" t="s">
        <v>1493</v>
      </c>
      <c r="Q6555" s="758"/>
      <c r="R6555" s="2"/>
    </row>
    <row r="6556" spans="1:18" ht="19.5" hidden="1" thickBot="1" x14ac:dyDescent="0.3">
      <c r="A6556" s="968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6"/>
        <v>06,26</v>
      </c>
      <c r="L6556" s="640" t="s">
        <v>266</v>
      </c>
      <c r="M6556" s="640">
        <v>2163.3199999999997</v>
      </c>
      <c r="N6556" s="644">
        <v>0.41666666666666669</v>
      </c>
      <c r="O6556" s="2"/>
      <c r="P6556" s="758" t="s">
        <v>1494</v>
      </c>
      <c r="Q6556" s="758"/>
      <c r="R6556" s="2"/>
    </row>
    <row r="6557" spans="1:18" ht="38.25" hidden="1" thickBot="1" x14ac:dyDescent="0.3">
      <c r="A6557" s="662">
        <f t="shared" si="194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2"/>
      <c r="P6557" s="758" t="s">
        <v>1496</v>
      </c>
      <c r="Q6557" s="758"/>
      <c r="R6557" s="2"/>
    </row>
    <row r="6558" spans="1:18" ht="19.5" hidden="1" thickBot="1" x14ac:dyDescent="0.3">
      <c r="A6558" s="503">
        <f t="shared" ref="A6558:A6622" si="197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6"/>
        <v>06,26</v>
      </c>
      <c r="L6558" s="508" t="s">
        <v>28</v>
      </c>
      <c r="M6558" s="508">
        <v>11481.999999999998</v>
      </c>
      <c r="N6558" s="512">
        <v>0.5</v>
      </c>
      <c r="O6558" s="2"/>
      <c r="P6558" s="758" t="s">
        <v>1480</v>
      </c>
      <c r="Q6558" s="758"/>
      <c r="R6558" s="2"/>
    </row>
    <row r="6559" spans="1:18" ht="38.25" hidden="1" thickBot="1" x14ac:dyDescent="0.3">
      <c r="A6559" s="983">
        <f t="shared" si="197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2"/>
      <c r="P6559" s="758" t="s">
        <v>1496</v>
      </c>
      <c r="Q6559" s="758"/>
      <c r="R6559" s="2"/>
    </row>
    <row r="6560" spans="1:18" ht="57.75" hidden="1" customHeight="1" x14ac:dyDescent="0.25">
      <c r="A6560" s="984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1031" t="s">
        <v>1454</v>
      </c>
      <c r="H6560" s="678" t="s">
        <v>1450</v>
      </c>
      <c r="I6560" s="683" t="s">
        <v>1489</v>
      </c>
      <c r="J6560" s="738"/>
      <c r="K6560" s="678" t="str">
        <f t="shared" si="196"/>
        <v>07,26</v>
      </c>
      <c r="L6560" s="678" t="s">
        <v>28</v>
      </c>
      <c r="M6560" s="678">
        <v>7253.24</v>
      </c>
      <c r="N6560" s="739">
        <v>0.45833333333333331</v>
      </c>
      <c r="O6560" s="2"/>
      <c r="P6560" s="758" t="s">
        <v>1522</v>
      </c>
      <c r="Q6560" s="758"/>
      <c r="R6560" s="2"/>
    </row>
    <row r="6561" spans="1:18" ht="57.75" hidden="1" customHeight="1" thickBot="1" x14ac:dyDescent="0.3">
      <c r="A6561" s="985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1032"/>
      <c r="H6561" s="744" t="s">
        <v>1451</v>
      </c>
      <c r="I6561" s="746" t="s">
        <v>1489</v>
      </c>
      <c r="J6561" s="747"/>
      <c r="K6561" s="744" t="str">
        <f t="shared" si="196"/>
        <v>07,26</v>
      </c>
      <c r="L6561" s="744" t="s">
        <v>28</v>
      </c>
      <c r="M6561" s="744">
        <v>4942.92</v>
      </c>
      <c r="N6561" s="748">
        <v>0.41666666666666669</v>
      </c>
      <c r="O6561" s="2"/>
      <c r="P6561" s="758" t="s">
        <v>1521</v>
      </c>
      <c r="Q6561" s="758"/>
      <c r="R6561" s="2"/>
    </row>
    <row r="6562" spans="1:18" ht="19.5" hidden="1" thickBot="1" x14ac:dyDescent="0.3">
      <c r="A6562" s="749">
        <f t="shared" ref="A6562:A6567" si="198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6"/>
        <v>06,26</v>
      </c>
      <c r="L6562" s="640" t="s">
        <v>28</v>
      </c>
      <c r="M6562" s="640">
        <v>11669.64</v>
      </c>
      <c r="N6562" s="644">
        <v>0.45833333333333331</v>
      </c>
      <c r="O6562" s="2"/>
      <c r="P6562" s="758" t="s">
        <v>1474</v>
      </c>
      <c r="Q6562" s="758"/>
      <c r="R6562" s="2"/>
    </row>
    <row r="6563" spans="1:18" ht="38.25" hidden="1" thickBot="1" x14ac:dyDescent="0.3">
      <c r="A6563" s="718">
        <f t="shared" si="198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6"/>
        <v>06,26</v>
      </c>
      <c r="L6563" s="723" t="s">
        <v>28</v>
      </c>
      <c r="M6563" s="723">
        <v>15364.89</v>
      </c>
      <c r="N6563" s="727">
        <v>0.41666666666666669</v>
      </c>
      <c r="O6563" s="2"/>
      <c r="P6563" s="758" t="s">
        <v>1485</v>
      </c>
      <c r="Q6563" s="758"/>
      <c r="R6563" s="2"/>
    </row>
    <row r="6564" spans="1:18" ht="19.5" hidden="1" thickBot="1" x14ac:dyDescent="0.3">
      <c r="A6564" s="503">
        <f t="shared" si="198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6"/>
        <v>06,26</v>
      </c>
      <c r="L6564" s="508" t="s">
        <v>28</v>
      </c>
      <c r="M6564" s="508">
        <v>17510.97</v>
      </c>
      <c r="N6564" s="512">
        <v>0.45833333333333331</v>
      </c>
      <c r="O6564" s="2"/>
      <c r="P6564" s="758" t="s">
        <v>1481</v>
      </c>
      <c r="Q6564" s="758"/>
      <c r="R6564" s="2"/>
    </row>
    <row r="6565" spans="1:18" ht="38.25" hidden="1" thickBot="1" x14ac:dyDescent="0.3">
      <c r="A6565" s="718">
        <f t="shared" si="198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6"/>
        <v>06,26</v>
      </c>
      <c r="L6565" s="723" t="s">
        <v>28</v>
      </c>
      <c r="M6565" s="723">
        <v>14546.880000000003</v>
      </c>
      <c r="N6565" s="727">
        <v>0.5</v>
      </c>
      <c r="O6565" s="2"/>
      <c r="P6565" s="758" t="s">
        <v>1479</v>
      </c>
      <c r="Q6565" s="758"/>
      <c r="R6565" s="2"/>
    </row>
    <row r="6566" spans="1:18" ht="57" hidden="1" thickBot="1" x14ac:dyDescent="0.3">
      <c r="A6566" s="503">
        <f t="shared" si="198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6"/>
        <v>07,26</v>
      </c>
      <c r="L6566" s="508" t="s">
        <v>28</v>
      </c>
      <c r="M6566" s="508">
        <v>13186.489999999998</v>
      </c>
      <c r="N6566" s="512">
        <v>0.54166666666666663</v>
      </c>
      <c r="O6566" s="2"/>
      <c r="P6566" s="758" t="s">
        <v>1492</v>
      </c>
      <c r="Q6566" s="758"/>
      <c r="R6566" s="2"/>
    </row>
    <row r="6567" spans="1:18" ht="19.5" hidden="1" thickBot="1" x14ac:dyDescent="0.3">
      <c r="A6567" s="983">
        <f t="shared" si="198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6"/>
        <v>07,26</v>
      </c>
      <c r="L6567" s="732" t="s">
        <v>28</v>
      </c>
      <c r="M6567" s="732">
        <v>9013.7999999999993</v>
      </c>
      <c r="N6567" s="736">
        <v>0.41666666666666669</v>
      </c>
      <c r="O6567" s="2"/>
      <c r="P6567" s="758" t="s">
        <v>1502</v>
      </c>
      <c r="Q6567" s="758"/>
      <c r="R6567" s="2"/>
    </row>
    <row r="6568" spans="1:18" ht="19.5" hidden="1" thickBot="1" x14ac:dyDescent="0.3">
      <c r="A6568" s="985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6"/>
        <v>07,26</v>
      </c>
      <c r="L6568" s="744" t="s">
        <v>266</v>
      </c>
      <c r="M6568" s="744">
        <v>7599.9100000000008</v>
      </c>
      <c r="N6568" s="748">
        <v>0.41666666666666669</v>
      </c>
      <c r="O6568" s="2"/>
      <c r="P6568" s="758" t="s">
        <v>1503</v>
      </c>
      <c r="Q6568" s="758"/>
      <c r="R6568" s="2"/>
    </row>
    <row r="6569" spans="1:18" ht="19.5" hidden="1" thickBot="1" x14ac:dyDescent="0.3">
      <c r="A6569" s="503">
        <f t="shared" ref="A6569:A6574" si="199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6"/>
        <v>07,26</v>
      </c>
      <c r="L6569" s="508" t="s">
        <v>28</v>
      </c>
      <c r="M6569" s="508">
        <v>17506.8</v>
      </c>
      <c r="N6569" s="512">
        <v>0.45833333333333331</v>
      </c>
      <c r="O6569" s="2"/>
      <c r="P6569" s="758" t="s">
        <v>1504</v>
      </c>
      <c r="Q6569" s="758"/>
      <c r="R6569" s="2"/>
    </row>
    <row r="6570" spans="1:18" ht="19.5" hidden="1" thickBot="1" x14ac:dyDescent="0.3">
      <c r="A6570" s="718">
        <f t="shared" si="199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6"/>
        <v>07,26</v>
      </c>
      <c r="L6570" s="723" t="s">
        <v>266</v>
      </c>
      <c r="M6570" s="723">
        <v>17849.460000000003</v>
      </c>
      <c r="N6570" s="727">
        <v>0.58333333333333337</v>
      </c>
      <c r="O6570" s="2"/>
      <c r="P6570" s="758" t="s">
        <v>1535</v>
      </c>
      <c r="Q6570" s="758"/>
      <c r="R6570" s="2"/>
    </row>
    <row r="6571" spans="1:18" ht="19.5" hidden="1" thickBot="1" x14ac:dyDescent="0.3">
      <c r="A6571" s="966">
        <f t="shared" si="199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6"/>
        <v>07,26</v>
      </c>
      <c r="L6571" s="535" t="s">
        <v>266</v>
      </c>
      <c r="M6571" s="535">
        <v>1275.8099999999997</v>
      </c>
      <c r="N6571" s="539">
        <v>0.5</v>
      </c>
      <c r="O6571" s="2"/>
      <c r="P6571" s="758" t="s">
        <v>1536</v>
      </c>
      <c r="Q6571" s="758"/>
      <c r="R6571" s="2"/>
    </row>
    <row r="6572" spans="1:18" ht="19.5" hidden="1" thickBot="1" x14ac:dyDescent="0.3">
      <c r="A6572" s="967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6"/>
        <v>07,26</v>
      </c>
      <c r="L6572" s="594" t="s">
        <v>266</v>
      </c>
      <c r="M6572" s="594">
        <v>10302.659999999998</v>
      </c>
      <c r="N6572" s="598">
        <v>0.5</v>
      </c>
      <c r="O6572" s="2"/>
      <c r="P6572" s="758" t="s">
        <v>1537</v>
      </c>
      <c r="Q6572" s="758"/>
      <c r="R6572" s="2"/>
    </row>
    <row r="6573" spans="1:18" ht="19.5" hidden="1" thickBot="1" x14ac:dyDescent="0.3">
      <c r="A6573" s="513">
        <f t="shared" si="199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6"/>
        <v>07,26</v>
      </c>
      <c r="L6573" s="518" t="s">
        <v>266</v>
      </c>
      <c r="M6573" s="518">
        <v>18168.719999999998</v>
      </c>
      <c r="N6573" s="522">
        <v>0.41666666666666669</v>
      </c>
      <c r="O6573" s="2"/>
      <c r="P6573" s="758" t="s">
        <v>1497</v>
      </c>
      <c r="Q6573" s="758"/>
      <c r="R6573" s="2"/>
    </row>
    <row r="6574" spans="1:18" ht="19.5" hidden="1" thickBot="1" x14ac:dyDescent="0.3">
      <c r="A6574" s="503">
        <f t="shared" si="199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6"/>
        <v>07,26</v>
      </c>
      <c r="L6574" s="508" t="s">
        <v>266</v>
      </c>
      <c r="M6574" s="508">
        <v>18122.22</v>
      </c>
      <c r="N6574" s="512">
        <v>0.45833333333333331</v>
      </c>
      <c r="O6574" s="2"/>
      <c r="P6574" s="758" t="s">
        <v>1500</v>
      </c>
      <c r="Q6574" s="758"/>
      <c r="R6574" s="2"/>
    </row>
    <row r="6575" spans="1:18" ht="19.5" hidden="1" thickBot="1" x14ac:dyDescent="0.3">
      <c r="A6575" s="513">
        <f t="shared" si="197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6"/>
        <v>07,26</v>
      </c>
      <c r="L6575" s="518" t="s">
        <v>266</v>
      </c>
      <c r="M6575" s="518">
        <v>18019.8</v>
      </c>
      <c r="N6575" s="522">
        <v>0.5</v>
      </c>
      <c r="O6575" s="2"/>
      <c r="P6575" s="758" t="s">
        <v>1501</v>
      </c>
      <c r="Q6575" s="758"/>
      <c r="R6575" s="2"/>
    </row>
    <row r="6576" spans="1:18" ht="19.5" hidden="1" thickBot="1" x14ac:dyDescent="0.3">
      <c r="A6576" s="503">
        <f t="shared" si="197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6"/>
        <v>07,26</v>
      </c>
      <c r="L6576" s="508" t="s">
        <v>266</v>
      </c>
      <c r="M6576" s="508">
        <v>18036.84</v>
      </c>
      <c r="N6576" s="512">
        <v>0.54166666666666663</v>
      </c>
      <c r="O6576" s="2"/>
      <c r="P6576" s="758" t="s">
        <v>1510</v>
      </c>
      <c r="Q6576" s="758"/>
      <c r="R6576" s="2"/>
    </row>
    <row r="6577" spans="1:18" ht="19.5" hidden="1" thickBot="1" x14ac:dyDescent="0.3">
      <c r="A6577" s="572">
        <f t="shared" si="197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6"/>
        <v>07,26</v>
      </c>
      <c r="L6577" s="577" t="s">
        <v>266</v>
      </c>
      <c r="M6577" s="577">
        <v>18085.100000000006</v>
      </c>
      <c r="N6577" s="581">
        <v>0.58333333333333337</v>
      </c>
      <c r="O6577" s="2"/>
      <c r="P6577" s="758" t="s">
        <v>1499</v>
      </c>
      <c r="Q6577" s="758"/>
      <c r="R6577" s="2"/>
    </row>
    <row r="6578" spans="1:18" ht="19.5" hidden="1" thickBot="1" x14ac:dyDescent="0.3">
      <c r="A6578" s="973">
        <f t="shared" si="197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6"/>
        <v>07,26</v>
      </c>
      <c r="L6578" s="535" t="s">
        <v>265</v>
      </c>
      <c r="M6578" s="535">
        <v>9971.6399999999976</v>
      </c>
      <c r="N6578" s="539">
        <v>0.375</v>
      </c>
      <c r="O6578" s="2"/>
      <c r="P6578" s="758" t="s">
        <v>1519</v>
      </c>
      <c r="Q6578" s="758"/>
      <c r="R6578" s="2"/>
    </row>
    <row r="6579" spans="1:18" ht="19.5" hidden="1" thickBot="1" x14ac:dyDescent="0.3">
      <c r="A6579" s="967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6"/>
        <v>07,26</v>
      </c>
      <c r="L6579" s="567" t="s">
        <v>265</v>
      </c>
      <c r="M6579" s="567">
        <v>1710</v>
      </c>
      <c r="N6579" s="571">
        <v>0.375</v>
      </c>
      <c r="O6579" s="2"/>
      <c r="P6579" s="758" t="s">
        <v>1520</v>
      </c>
      <c r="Q6579" s="758"/>
      <c r="R6579" s="2"/>
    </row>
    <row r="6580" spans="1:18" ht="19.5" hidden="1" thickBot="1" x14ac:dyDescent="0.3">
      <c r="A6580" s="974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6"/>
        <v>07,26</v>
      </c>
      <c r="L6580" s="594" t="s">
        <v>265</v>
      </c>
      <c r="M6580" s="594">
        <v>7124.5599999999986</v>
      </c>
      <c r="N6580" s="598">
        <v>0.375</v>
      </c>
      <c r="O6580" s="2"/>
      <c r="P6580" s="758" t="s">
        <v>1518</v>
      </c>
      <c r="Q6580" s="758"/>
      <c r="R6580" s="2"/>
    </row>
    <row r="6581" spans="1:18" ht="19.5" hidden="1" thickBot="1" x14ac:dyDescent="0.3">
      <c r="A6581" s="986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6"/>
        <v>07,26</v>
      </c>
      <c r="L6581" s="483" t="s">
        <v>265</v>
      </c>
      <c r="M6581" s="483">
        <v>15541.739999999998</v>
      </c>
      <c r="N6581" s="486">
        <v>0.41666666666666669</v>
      </c>
      <c r="O6581" s="2"/>
      <c r="P6581" s="758" t="s">
        <v>1511</v>
      </c>
      <c r="Q6581" s="758"/>
      <c r="R6581" s="2"/>
    </row>
    <row r="6582" spans="1:18" ht="19.5" hidden="1" thickBot="1" x14ac:dyDescent="0.3">
      <c r="A6582" s="961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6"/>
        <v>07,26</v>
      </c>
      <c r="L6582" s="763" t="s">
        <v>265</v>
      </c>
      <c r="M6582" s="763">
        <v>3510</v>
      </c>
      <c r="N6582" s="770">
        <v>0.41666666666666669</v>
      </c>
      <c r="O6582" s="2"/>
      <c r="P6582" s="758" t="s">
        <v>1513</v>
      </c>
      <c r="Q6582" s="758"/>
      <c r="R6582" s="2"/>
    </row>
    <row r="6583" spans="1:18" ht="19.5" hidden="1" thickBot="1" x14ac:dyDescent="0.3">
      <c r="A6583" s="987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6"/>
        <v>07,26</v>
      </c>
      <c r="L6583" s="775" t="s">
        <v>265</v>
      </c>
      <c r="M6583" s="775">
        <v>2022</v>
      </c>
      <c r="N6583" s="778">
        <v>0.41666666666666669</v>
      </c>
      <c r="O6583" s="2"/>
      <c r="P6583" s="758" t="s">
        <v>1512</v>
      </c>
      <c r="Q6583" s="758"/>
      <c r="R6583" s="2"/>
    </row>
    <row r="6584" spans="1:18" ht="19.5" hidden="1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6"/>
        <v>07,26</v>
      </c>
      <c r="L6584" s="640" t="s">
        <v>265</v>
      </c>
      <c r="M6584" s="640">
        <v>17609.82</v>
      </c>
      <c r="N6584" s="644">
        <v>0.375</v>
      </c>
      <c r="O6584" s="2"/>
      <c r="P6584" s="758" t="s">
        <v>1530</v>
      </c>
      <c r="Q6584" s="758"/>
      <c r="R6584" s="2"/>
    </row>
    <row r="6585" spans="1:18" ht="19.5" hidden="1" thickBot="1" x14ac:dyDescent="0.3">
      <c r="A6585" s="988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6"/>
        <v>07,26</v>
      </c>
      <c r="L6585" s="483" t="s">
        <v>266</v>
      </c>
      <c r="M6585" s="483">
        <v>3851.1</v>
      </c>
      <c r="N6585" s="486">
        <v>0.45833333333333331</v>
      </c>
      <c r="O6585" s="2"/>
      <c r="P6585" s="758" t="s">
        <v>1515</v>
      </c>
      <c r="Q6585" s="758"/>
      <c r="R6585" s="2"/>
    </row>
    <row r="6586" spans="1:18" ht="19.5" hidden="1" thickBot="1" x14ac:dyDescent="0.3">
      <c r="A6586" s="989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6"/>
        <v>07,26</v>
      </c>
      <c r="L6586" s="649" t="s">
        <v>266</v>
      </c>
      <c r="M6586" s="649">
        <v>9181.1200000000026</v>
      </c>
      <c r="N6586" s="653">
        <v>0.45833333333333331</v>
      </c>
      <c r="O6586" s="2"/>
      <c r="P6586" s="758" t="s">
        <v>1516</v>
      </c>
      <c r="Q6586" s="758"/>
      <c r="R6586" s="2"/>
    </row>
    <row r="6587" spans="1:18" ht="19.5" hidden="1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6"/>
        <v>07,26</v>
      </c>
      <c r="L6587" s="508" t="s">
        <v>28</v>
      </c>
      <c r="M6587" s="508">
        <v>9582</v>
      </c>
      <c r="N6587" s="512">
        <v>0.41666666666666669</v>
      </c>
      <c r="O6587" s="2"/>
      <c r="P6587" s="758" t="s">
        <v>1557</v>
      </c>
      <c r="Q6587" s="758"/>
      <c r="R6587" s="2"/>
    </row>
    <row r="6588" spans="1:18" ht="19.5" hidden="1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6"/>
        <v>07,26</v>
      </c>
      <c r="L6588" s="518" t="s">
        <v>265</v>
      </c>
      <c r="M6588" s="518">
        <v>11917.079999999998</v>
      </c>
      <c r="N6588" s="522">
        <v>0.375</v>
      </c>
      <c r="O6588" s="2"/>
      <c r="P6588" s="758" t="s">
        <v>1533</v>
      </c>
      <c r="Q6588" s="758"/>
      <c r="R6588" s="2"/>
    </row>
    <row r="6589" spans="1:18" ht="19.5" hidden="1" thickBot="1" x14ac:dyDescent="0.3">
      <c r="A6589" s="973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6"/>
        <v>07,26</v>
      </c>
      <c r="L6589" s="535" t="s">
        <v>28</v>
      </c>
      <c r="M6589" s="535">
        <v>17625.72</v>
      </c>
      <c r="N6589" s="539">
        <v>0.41666666666666669</v>
      </c>
      <c r="O6589" s="2"/>
      <c r="P6589" s="758" t="s">
        <v>1531</v>
      </c>
      <c r="Q6589" s="758"/>
      <c r="R6589" s="2"/>
    </row>
    <row r="6590" spans="1:18" ht="19.5" hidden="1" thickBot="1" x14ac:dyDescent="0.3">
      <c r="A6590" s="974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6"/>
        <v>07,26</v>
      </c>
      <c r="L6590" s="640" t="s">
        <v>28</v>
      </c>
      <c r="M6590" s="640">
        <v>240</v>
      </c>
      <c r="N6590" s="644">
        <v>0.41666666666666669</v>
      </c>
      <c r="O6590" s="2"/>
      <c r="P6590" s="758" t="s">
        <v>1532</v>
      </c>
      <c r="Q6590" s="758"/>
      <c r="R6590" s="2"/>
    </row>
    <row r="6591" spans="1:18" ht="19.5" hidden="1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6"/>
        <v>07,26</v>
      </c>
      <c r="L6591" s="577" t="s">
        <v>28</v>
      </c>
      <c r="M6591" s="577">
        <v>17435.47</v>
      </c>
      <c r="N6591" s="581">
        <v>0.45833333333333331</v>
      </c>
      <c r="O6591" s="2"/>
      <c r="P6591" s="758" t="s">
        <v>1514</v>
      </c>
      <c r="Q6591" s="758"/>
      <c r="R6591" s="2"/>
    </row>
    <row r="6592" spans="1:18" ht="19.5" hidden="1" thickBot="1" x14ac:dyDescent="0.3">
      <c r="A6592" s="966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6"/>
        <v>07,26</v>
      </c>
      <c r="L6592" s="535" t="s">
        <v>265</v>
      </c>
      <c r="M6592" s="535">
        <v>1037.0999999999999</v>
      </c>
      <c r="N6592" s="539">
        <v>0.375</v>
      </c>
      <c r="O6592" s="2"/>
      <c r="P6592" s="758" t="s">
        <v>1529</v>
      </c>
      <c r="Q6592" s="758"/>
      <c r="R6592" s="2"/>
    </row>
    <row r="6593" spans="1:18" ht="19.5" hidden="1" thickBot="1" x14ac:dyDescent="0.3">
      <c r="A6593" s="968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6"/>
        <v>07,26</v>
      </c>
      <c r="L6593" s="640" t="s">
        <v>265</v>
      </c>
      <c r="M6593" s="640">
        <v>16463.16</v>
      </c>
      <c r="N6593" s="644">
        <v>0.375</v>
      </c>
      <c r="O6593" s="2"/>
      <c r="P6593" s="758" t="s">
        <v>1528</v>
      </c>
      <c r="Q6593" s="758"/>
      <c r="R6593" s="2"/>
    </row>
    <row r="6594" spans="1:18" ht="19.5" hidden="1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6"/>
        <v>07,26</v>
      </c>
      <c r="L6594" s="518" t="s">
        <v>28</v>
      </c>
      <c r="M6594" s="518">
        <v>17495.000000000004</v>
      </c>
      <c r="N6594" s="522">
        <v>0.45833333333333331</v>
      </c>
      <c r="O6594" s="2"/>
      <c r="P6594" s="758" t="s">
        <v>1534</v>
      </c>
      <c r="Q6594" s="758"/>
      <c r="R6594" s="2"/>
    </row>
    <row r="6595" spans="1:18" ht="19.5" hidden="1" thickBot="1" x14ac:dyDescent="0.3">
      <c r="A6595" s="966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6"/>
        <v>07,26</v>
      </c>
      <c r="L6595" s="535" t="s">
        <v>266</v>
      </c>
      <c r="M6595" s="535">
        <v>6209.64</v>
      </c>
      <c r="N6595" s="539">
        <v>0.41666666666666669</v>
      </c>
      <c r="O6595" s="2"/>
      <c r="P6595" s="758" t="s">
        <v>1523</v>
      </c>
      <c r="Q6595" s="758"/>
      <c r="R6595" s="2"/>
    </row>
    <row r="6596" spans="1:18" ht="19.5" hidden="1" thickBot="1" x14ac:dyDescent="0.3">
      <c r="A6596" s="967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6"/>
        <v>07,26</v>
      </c>
      <c r="L6596" s="567" t="s">
        <v>266</v>
      </c>
      <c r="M6596" s="567">
        <v>2112.9399999999996</v>
      </c>
      <c r="N6596" s="571">
        <v>0.41666666666666669</v>
      </c>
      <c r="O6596" s="2"/>
      <c r="P6596" s="758" t="s">
        <v>1524</v>
      </c>
      <c r="Q6596" s="758"/>
      <c r="R6596" s="2"/>
    </row>
    <row r="6597" spans="1:18" ht="19.5" hidden="1" thickBot="1" x14ac:dyDescent="0.3">
      <c r="A6597" s="967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6"/>
        <v>07,26</v>
      </c>
      <c r="L6597" s="567" t="s">
        <v>28</v>
      </c>
      <c r="M6597" s="567">
        <v>1560.3600000000001</v>
      </c>
      <c r="N6597" s="571">
        <v>0.41666666666666669</v>
      </c>
      <c r="O6597" s="2"/>
      <c r="P6597" s="758" t="s">
        <v>1525</v>
      </c>
      <c r="Q6597" s="758"/>
      <c r="R6597" s="2"/>
    </row>
    <row r="6598" spans="1:18" ht="19.5" hidden="1" thickBot="1" x14ac:dyDescent="0.3">
      <c r="A6598" s="967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6"/>
        <v>07,26</v>
      </c>
      <c r="L6598" s="567" t="s">
        <v>28</v>
      </c>
      <c r="M6598" s="567">
        <v>6987.72</v>
      </c>
      <c r="N6598" s="571">
        <v>0.41666666666666669</v>
      </c>
      <c r="O6598" s="2"/>
      <c r="P6598" s="758" t="s">
        <v>1526</v>
      </c>
      <c r="Q6598" s="758"/>
      <c r="R6598" s="2"/>
    </row>
    <row r="6599" spans="1:18" ht="19.5" hidden="1" thickBot="1" x14ac:dyDescent="0.3">
      <c r="A6599" s="967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6"/>
        <v>07,26</v>
      </c>
      <c r="L6599" s="594" t="s">
        <v>28</v>
      </c>
      <c r="M6599" s="594">
        <v>656.7</v>
      </c>
      <c r="N6599" s="598">
        <v>0.41666666666666669</v>
      </c>
      <c r="O6599" s="2"/>
      <c r="P6599" s="758" t="s">
        <v>1527</v>
      </c>
      <c r="Q6599" s="758"/>
      <c r="R6599" s="2"/>
    </row>
    <row r="6600" spans="1:18" ht="19.5" hidden="1" thickBot="1" x14ac:dyDescent="0.3">
      <c r="A6600" s="513">
        <f t="shared" si="197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6"/>
        <v>07,26</v>
      </c>
      <c r="L6600" s="518" t="s">
        <v>265</v>
      </c>
      <c r="M6600" s="518">
        <v>10966.799999999997</v>
      </c>
      <c r="N6600" s="522">
        <v>0.375</v>
      </c>
      <c r="O6600" s="2"/>
      <c r="P6600" s="758" t="s">
        <v>1517</v>
      </c>
      <c r="Q6600" s="758"/>
      <c r="R6600" s="2"/>
    </row>
    <row r="6601" spans="1:18" ht="19.5" hidden="1" thickBot="1" x14ac:dyDescent="0.3">
      <c r="A6601" s="966">
        <f t="shared" si="197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6"/>
        <v>07,26</v>
      </c>
      <c r="L6601" s="535" t="s">
        <v>265</v>
      </c>
      <c r="M6601" s="535">
        <v>2839.9799999999996</v>
      </c>
      <c r="N6601" s="539">
        <v>0.375</v>
      </c>
      <c r="O6601" s="2"/>
      <c r="P6601" s="758" t="s">
        <v>1548</v>
      </c>
      <c r="Q6601" s="758"/>
      <c r="R6601" s="2"/>
    </row>
    <row r="6602" spans="1:18" ht="19.5" hidden="1" thickBot="1" x14ac:dyDescent="0.3">
      <c r="A6602" s="968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6"/>
        <v>07,26</v>
      </c>
      <c r="L6602" s="640" t="s">
        <v>265</v>
      </c>
      <c r="M6602" s="640">
        <v>14851.28</v>
      </c>
      <c r="N6602" s="644">
        <v>0.375</v>
      </c>
      <c r="O6602" s="2"/>
      <c r="P6602" s="758" t="s">
        <v>1549</v>
      </c>
      <c r="Q6602" s="758"/>
      <c r="R6602" s="2"/>
    </row>
    <row r="6603" spans="1:18" ht="19.5" hidden="1" thickBot="1" x14ac:dyDescent="0.3">
      <c r="A6603" s="513">
        <f t="shared" si="197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6"/>
        <v>07,26</v>
      </c>
      <c r="L6603" s="518" t="s">
        <v>265</v>
      </c>
      <c r="M6603" s="518">
        <v>17708.68</v>
      </c>
      <c r="N6603" s="522">
        <v>0.375</v>
      </c>
      <c r="O6603" s="2"/>
      <c r="P6603" s="758" t="s">
        <v>1551</v>
      </c>
      <c r="Q6603" s="758"/>
      <c r="R6603" s="2"/>
    </row>
    <row r="6604" spans="1:18" ht="19.5" hidden="1" thickBot="1" x14ac:dyDescent="0.3">
      <c r="A6604" s="966">
        <f t="shared" si="197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1033" t="s">
        <v>1508</v>
      </c>
      <c r="H6604" s="535" t="s">
        <v>1505</v>
      </c>
      <c r="I6604" s="537" t="s">
        <v>1505</v>
      </c>
      <c r="J6604" s="538"/>
      <c r="K6604" s="535" t="str">
        <f t="shared" si="196"/>
        <v>07,26</v>
      </c>
      <c r="L6604" s="535" t="s">
        <v>28</v>
      </c>
      <c r="M6604" s="535">
        <v>10123.780000000001</v>
      </c>
      <c r="N6604" s="539">
        <v>0.41666666666666669</v>
      </c>
      <c r="O6604" s="2"/>
      <c r="P6604" s="758" t="s">
        <v>1544</v>
      </c>
      <c r="Q6604" s="758"/>
      <c r="R6604" s="2"/>
    </row>
    <row r="6605" spans="1:18" ht="19.5" hidden="1" thickBot="1" x14ac:dyDescent="0.3">
      <c r="A6605" s="968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1034"/>
      <c r="H6605" s="640" t="s">
        <v>1505</v>
      </c>
      <c r="I6605" s="642" t="s">
        <v>1505</v>
      </c>
      <c r="J6605" s="643"/>
      <c r="K6605" s="640" t="str">
        <f t="shared" ref="K6605:K6668" si="200">RIGHT(I6605,5)</f>
        <v>07,26</v>
      </c>
      <c r="L6605" s="640" t="s">
        <v>28</v>
      </c>
      <c r="M6605" s="640">
        <v>3359.36</v>
      </c>
      <c r="N6605" s="644">
        <v>0.41666666666666669</v>
      </c>
      <c r="O6605" s="2"/>
      <c r="P6605" s="758" t="s">
        <v>1543</v>
      </c>
      <c r="Q6605" s="758"/>
      <c r="R6605" s="2"/>
    </row>
    <row r="6606" spans="1:18" ht="38.25" hidden="1" thickBot="1" x14ac:dyDescent="0.3">
      <c r="A6606" s="513">
        <f t="shared" si="197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200"/>
        <v>07,26</v>
      </c>
      <c r="L6606" s="518" t="s">
        <v>28</v>
      </c>
      <c r="M6606" s="518">
        <v>15167.900000000001</v>
      </c>
      <c r="N6606" s="522">
        <v>0.45833333333333331</v>
      </c>
      <c r="O6606" s="2"/>
      <c r="P6606" s="783" t="s">
        <v>1545</v>
      </c>
      <c r="Q6606" s="758"/>
      <c r="R6606" s="2"/>
    </row>
    <row r="6607" spans="1:18" ht="38.25" hidden="1" thickBot="1" x14ac:dyDescent="0.3">
      <c r="A6607" s="503">
        <f t="shared" si="197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200"/>
        <v>07,26</v>
      </c>
      <c r="L6607" s="508" t="s">
        <v>28</v>
      </c>
      <c r="M6607" s="508">
        <v>15182.760000000002</v>
      </c>
      <c r="N6607" s="512">
        <v>0.5</v>
      </c>
      <c r="O6607" s="2"/>
      <c r="P6607" s="758" t="s">
        <v>1546</v>
      </c>
      <c r="Q6607" s="758"/>
      <c r="R6607" s="2"/>
    </row>
    <row r="6608" spans="1:18" ht="19.5" hidden="1" thickBot="1" x14ac:dyDescent="0.3">
      <c r="A6608" s="954">
        <f t="shared" si="197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200"/>
        <v>07,26</v>
      </c>
      <c r="L6608" s="483" t="s">
        <v>28</v>
      </c>
      <c r="M6608" s="483">
        <v>6184.08</v>
      </c>
      <c r="N6608" s="486">
        <v>0.41666666666666669</v>
      </c>
      <c r="O6608" s="2"/>
      <c r="P6608" s="758" t="s">
        <v>1539</v>
      </c>
      <c r="Q6608" s="758"/>
      <c r="R6608" s="2"/>
    </row>
    <row r="6609" spans="1:18" ht="19.5" hidden="1" thickBot="1" x14ac:dyDescent="0.3">
      <c r="A6609" s="956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200"/>
        <v>07,26</v>
      </c>
      <c r="L6609" s="649" t="s">
        <v>28</v>
      </c>
      <c r="M6609" s="649">
        <v>5905.2000000000007</v>
      </c>
      <c r="N6609" s="653">
        <v>0.41666666666666669</v>
      </c>
      <c r="O6609" s="2"/>
      <c r="P6609" s="758" t="s">
        <v>1538</v>
      </c>
      <c r="Q6609" s="758"/>
      <c r="R6609" s="2"/>
    </row>
    <row r="6610" spans="1:18" ht="57" hidden="1" thickBot="1" x14ac:dyDescent="0.3">
      <c r="A6610" s="503">
        <f t="shared" si="197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200"/>
        <v>07,26</v>
      </c>
      <c r="L6610" s="508" t="s">
        <v>28</v>
      </c>
      <c r="M6610" s="508">
        <v>9574.08</v>
      </c>
      <c r="N6610" s="512">
        <v>0.45833333333333331</v>
      </c>
      <c r="O6610" s="2"/>
      <c r="P6610" s="758" t="s">
        <v>1560</v>
      </c>
      <c r="Q6610" s="758"/>
      <c r="R6610" s="2"/>
    </row>
    <row r="6611" spans="1:18" ht="19.5" hidden="1" thickBot="1" x14ac:dyDescent="0.3">
      <c r="A6611" s="954">
        <f t="shared" si="197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200"/>
        <v>07,26</v>
      </c>
      <c r="L6611" s="483" t="s">
        <v>28</v>
      </c>
      <c r="M6611" s="483">
        <v>6432.12</v>
      </c>
      <c r="N6611" s="486">
        <v>0.5</v>
      </c>
      <c r="O6611" s="2"/>
      <c r="P6611" s="758" t="s">
        <v>1558</v>
      </c>
      <c r="Q6611" s="758"/>
      <c r="R6611" s="2"/>
    </row>
    <row r="6612" spans="1:18" ht="19.5" hidden="1" thickBot="1" x14ac:dyDescent="0.3">
      <c r="A6612" s="956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200"/>
        <v>07,26</v>
      </c>
      <c r="L6612" s="649" t="s">
        <v>28</v>
      </c>
      <c r="M6612" s="649">
        <v>5321.36</v>
      </c>
      <c r="N6612" s="653">
        <v>0.5</v>
      </c>
      <c r="O6612" s="2"/>
      <c r="P6612" s="758" t="s">
        <v>1559</v>
      </c>
      <c r="Q6612" s="758"/>
      <c r="R6612" s="2"/>
    </row>
    <row r="6613" spans="1:18" ht="19.5" hidden="1" thickBot="1" x14ac:dyDescent="0.3">
      <c r="A6613" s="503">
        <f t="shared" si="197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200"/>
        <v>07,26</v>
      </c>
      <c r="L6613" s="508" t="s">
        <v>266</v>
      </c>
      <c r="M6613" s="508">
        <v>13113.15</v>
      </c>
      <c r="N6613" s="512">
        <v>0.54166666666666663</v>
      </c>
      <c r="O6613" s="2"/>
      <c r="P6613" s="758" t="s">
        <v>1561</v>
      </c>
      <c r="Q6613" s="758"/>
      <c r="R6613" s="2"/>
    </row>
    <row r="6614" spans="1:18" ht="19.5" hidden="1" thickBot="1" x14ac:dyDescent="0.3">
      <c r="A6614" s="954">
        <f t="shared" si="197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200"/>
        <v>07,26</v>
      </c>
      <c r="L6614" s="483" t="s">
        <v>266</v>
      </c>
      <c r="M6614" s="483">
        <v>3231.8</v>
      </c>
      <c r="N6614" s="486">
        <v>0.58333333333333337</v>
      </c>
      <c r="O6614" s="2"/>
      <c r="P6614" s="758" t="s">
        <v>1541</v>
      </c>
      <c r="Q6614" s="758"/>
      <c r="R6614" s="2"/>
    </row>
    <row r="6615" spans="1:18" ht="19.5" hidden="1" thickBot="1" x14ac:dyDescent="0.3">
      <c r="A6615" s="955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200"/>
        <v>07,26</v>
      </c>
      <c r="L6615" s="527" t="s">
        <v>266</v>
      </c>
      <c r="M6615" s="527">
        <v>4302.3</v>
      </c>
      <c r="N6615" s="530">
        <v>0.58333333333333337</v>
      </c>
      <c r="O6615" s="2"/>
      <c r="P6615" s="758" t="s">
        <v>1540</v>
      </c>
      <c r="Q6615" s="758"/>
      <c r="R6615" s="2"/>
    </row>
    <row r="6616" spans="1:18" ht="19.5" hidden="1" thickBot="1" x14ac:dyDescent="0.3">
      <c r="A6616" s="956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200"/>
        <v>07,26</v>
      </c>
      <c r="L6616" s="649" t="s">
        <v>266</v>
      </c>
      <c r="M6616" s="649">
        <v>3813.3</v>
      </c>
      <c r="N6616" s="653">
        <v>0.58333333333333337</v>
      </c>
      <c r="O6616" s="2"/>
      <c r="P6616" s="758" t="s">
        <v>1542</v>
      </c>
      <c r="Q6616" s="758"/>
      <c r="R6616" s="2"/>
    </row>
    <row r="6617" spans="1:18" ht="19.5" hidden="1" thickBot="1" x14ac:dyDescent="0.3">
      <c r="A6617" s="966">
        <f t="shared" si="197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200"/>
        <v>07,26</v>
      </c>
      <c r="L6617" s="535" t="s">
        <v>28</v>
      </c>
      <c r="M6617" s="535">
        <v>8902.56</v>
      </c>
      <c r="N6617" s="539">
        <v>0.41666666666666669</v>
      </c>
      <c r="O6617" s="2"/>
      <c r="P6617" s="758" t="s">
        <v>1552</v>
      </c>
      <c r="Q6617" s="758"/>
      <c r="R6617" s="2"/>
    </row>
    <row r="6618" spans="1:18" ht="19.5" hidden="1" thickBot="1" x14ac:dyDescent="0.3">
      <c r="A6618" s="968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200"/>
        <v>07,26</v>
      </c>
      <c r="L6618" s="640" t="s">
        <v>28</v>
      </c>
      <c r="M6618" s="640">
        <v>8452.9599999999991</v>
      </c>
      <c r="N6618" s="644">
        <v>0.41666666666666669</v>
      </c>
      <c r="O6618" s="2"/>
      <c r="P6618" s="758" t="s">
        <v>1553</v>
      </c>
      <c r="Q6618" s="758"/>
      <c r="R6618" s="2"/>
    </row>
    <row r="6619" spans="1:18" ht="19.5" hidden="1" thickBot="1" x14ac:dyDescent="0.3">
      <c r="A6619" s="513">
        <f t="shared" si="197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200"/>
        <v>07,26</v>
      </c>
      <c r="L6619" s="518" t="s">
        <v>28</v>
      </c>
      <c r="M6619" s="518">
        <v>17449.439999999999</v>
      </c>
      <c r="N6619" s="522">
        <v>0.45833333333333331</v>
      </c>
      <c r="O6619" s="2"/>
      <c r="P6619" s="758" t="s">
        <v>1562</v>
      </c>
      <c r="Q6619" s="758"/>
      <c r="R6619" s="2"/>
    </row>
    <row r="6620" spans="1:18" ht="19.5" hidden="1" thickBot="1" x14ac:dyDescent="0.3">
      <c r="A6620" s="551">
        <f t="shared" si="197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200"/>
        <v>07,26</v>
      </c>
      <c r="L6620" s="556" t="s">
        <v>28</v>
      </c>
      <c r="M6620" s="556">
        <v>11619.119999999997</v>
      </c>
      <c r="N6620" s="560">
        <v>0.41666666666666669</v>
      </c>
      <c r="O6620" s="2"/>
      <c r="P6620" s="758" t="s">
        <v>1547</v>
      </c>
      <c r="Q6620" s="758"/>
      <c r="R6620" s="2"/>
    </row>
    <row r="6621" spans="1:18" ht="19.5" hidden="1" thickBot="1" x14ac:dyDescent="0.3">
      <c r="A6621" s="513">
        <f t="shared" si="197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200"/>
        <v>07,26</v>
      </c>
      <c r="L6621" s="518" t="s">
        <v>266</v>
      </c>
      <c r="M6621" s="518">
        <v>18183.899999999998</v>
      </c>
      <c r="N6621" s="522">
        <v>0.41666666666666669</v>
      </c>
      <c r="O6621" s="2"/>
      <c r="P6621" s="758" t="s">
        <v>1567</v>
      </c>
      <c r="Q6621" s="758"/>
      <c r="R6621" s="2"/>
    </row>
    <row r="6622" spans="1:18" ht="19.5" hidden="1" thickBot="1" x14ac:dyDescent="0.3">
      <c r="A6622" s="503">
        <f t="shared" si="197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200"/>
        <v>07,26</v>
      </c>
      <c r="L6622" s="508" t="s">
        <v>266</v>
      </c>
      <c r="M6622" s="508">
        <v>18086.3</v>
      </c>
      <c r="N6622" s="512">
        <v>0.45833333333333331</v>
      </c>
      <c r="O6622" s="2"/>
      <c r="P6622" s="758" t="s">
        <v>1565</v>
      </c>
      <c r="Q6622" s="758"/>
      <c r="R6622" s="2"/>
    </row>
    <row r="6623" spans="1:18" ht="19.5" hidden="1" thickBot="1" x14ac:dyDescent="0.3">
      <c r="A6623" s="572">
        <f t="shared" ref="A6623:A6668" si="201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200"/>
        <v>07,26</v>
      </c>
      <c r="L6623" s="577" t="s">
        <v>266</v>
      </c>
      <c r="M6623" s="577">
        <v>18202.02</v>
      </c>
      <c r="N6623" s="581">
        <v>0.5</v>
      </c>
      <c r="O6623" s="2"/>
      <c r="P6623" s="758" t="s">
        <v>1568</v>
      </c>
      <c r="Q6623" s="758"/>
      <c r="R6623" s="2"/>
    </row>
    <row r="6624" spans="1:18" ht="19.5" hidden="1" thickBot="1" x14ac:dyDescent="0.3">
      <c r="A6624" s="966">
        <f t="shared" si="201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200"/>
        <v>07,26</v>
      </c>
      <c r="L6624" s="535" t="s">
        <v>265</v>
      </c>
      <c r="M6624" s="535">
        <v>15440.420000000002</v>
      </c>
      <c r="N6624" s="539">
        <v>0.375</v>
      </c>
      <c r="O6624" s="2"/>
      <c r="P6624" s="758" t="s">
        <v>1570</v>
      </c>
      <c r="Q6624" s="758"/>
      <c r="R6624" s="2"/>
    </row>
    <row r="6625" spans="1:18" ht="19.5" hidden="1" thickBot="1" x14ac:dyDescent="0.3">
      <c r="A6625" s="968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200"/>
        <v>07,26</v>
      </c>
      <c r="L6625" s="640" t="s">
        <v>265</v>
      </c>
      <c r="M6625" s="640">
        <v>2124.6000000000004</v>
      </c>
      <c r="N6625" s="644">
        <v>0.375</v>
      </c>
      <c r="O6625" s="2"/>
      <c r="P6625" s="758" t="s">
        <v>1569</v>
      </c>
      <c r="Q6625" s="758"/>
      <c r="R6625" s="2"/>
    </row>
    <row r="6626" spans="1:18" ht="19.5" hidden="1" thickBot="1" x14ac:dyDescent="0.3">
      <c r="A6626" s="513">
        <f t="shared" si="201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8" t="str">
        <f t="shared" si="200"/>
        <v>07,26</v>
      </c>
      <c r="L6626" s="518" t="s">
        <v>265</v>
      </c>
      <c r="M6626" s="518">
        <v>17622.960000000003</v>
      </c>
      <c r="N6626" s="522">
        <v>0.41666666666666669</v>
      </c>
      <c r="O6626" s="2"/>
      <c r="P6626" s="758" t="s">
        <v>1566</v>
      </c>
      <c r="Q6626" s="758"/>
      <c r="R6626" s="2"/>
    </row>
    <row r="6627" spans="1:18" ht="19.5" hidden="1" thickBot="1" x14ac:dyDescent="0.3">
      <c r="A6627" s="503">
        <f t="shared" si="201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8" t="str">
        <f t="shared" si="200"/>
        <v>07,26</v>
      </c>
      <c r="L6627" s="508" t="s">
        <v>265</v>
      </c>
      <c r="M6627" s="508">
        <v>17661.32</v>
      </c>
      <c r="N6627" s="512">
        <v>0.375</v>
      </c>
      <c r="O6627" s="2"/>
      <c r="P6627" s="758" t="s">
        <v>1583</v>
      </c>
      <c r="Q6627" s="758"/>
      <c r="R6627" s="2"/>
    </row>
    <row r="6628" spans="1:18" ht="19.5" hidden="1" thickBot="1" x14ac:dyDescent="0.3">
      <c r="A6628" s="513">
        <f t="shared" si="201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8" t="str">
        <f t="shared" si="200"/>
        <v>07,26</v>
      </c>
      <c r="L6628" s="518" t="s">
        <v>265</v>
      </c>
      <c r="M6628" s="518">
        <v>11744.88</v>
      </c>
      <c r="N6628" s="522">
        <v>0.375</v>
      </c>
      <c r="O6628" s="2"/>
      <c r="P6628" s="758" t="s">
        <v>1587</v>
      </c>
      <c r="Q6628" s="758"/>
      <c r="R6628" s="2"/>
    </row>
    <row r="6629" spans="1:18" ht="19.5" hidden="1" thickBot="1" x14ac:dyDescent="0.3">
      <c r="A6629" s="966">
        <f t="shared" si="201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5" t="str">
        <f t="shared" si="200"/>
        <v>07,26</v>
      </c>
      <c r="L6629" s="535" t="s">
        <v>28</v>
      </c>
      <c r="M6629" s="535">
        <v>10995.000000000002</v>
      </c>
      <c r="N6629" s="539">
        <v>0.41666666666666669</v>
      </c>
      <c r="O6629" s="2"/>
      <c r="P6629" s="758" t="s">
        <v>1580</v>
      </c>
      <c r="Q6629" s="758"/>
      <c r="R6629" s="2"/>
    </row>
    <row r="6630" spans="1:18" ht="19.5" hidden="1" thickBot="1" x14ac:dyDescent="0.3">
      <c r="A6630" s="967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7" t="str">
        <f t="shared" si="200"/>
        <v>07,26</v>
      </c>
      <c r="L6630" s="567" t="s">
        <v>266</v>
      </c>
      <c r="M6630" s="567">
        <v>3910.5600000000004</v>
      </c>
      <c r="N6630" s="571">
        <v>0.41666666666666669</v>
      </c>
      <c r="O6630" s="2"/>
      <c r="P6630" s="758" t="s">
        <v>1581</v>
      </c>
      <c r="Q6630" s="758"/>
      <c r="R6630" s="2"/>
    </row>
    <row r="6631" spans="1:18" ht="19.5" hidden="1" thickBot="1" x14ac:dyDescent="0.3">
      <c r="A6631" s="968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40" t="str">
        <f t="shared" si="200"/>
        <v>07,26</v>
      </c>
      <c r="L6631" s="640" t="s">
        <v>266</v>
      </c>
      <c r="M6631" s="640">
        <v>2502.3599999999997</v>
      </c>
      <c r="N6631" s="644">
        <v>0.41666666666666669</v>
      </c>
      <c r="O6631" s="2"/>
      <c r="P6631" s="758" t="s">
        <v>1582</v>
      </c>
      <c r="Q6631" s="758"/>
      <c r="R6631" s="2"/>
    </row>
    <row r="6632" spans="1:18" ht="19.5" hidden="1" thickBot="1" x14ac:dyDescent="0.3">
      <c r="A6632" s="954">
        <f t="shared" si="201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83" t="str">
        <f t="shared" si="200"/>
        <v>07,26</v>
      </c>
      <c r="L6632" s="483" t="s">
        <v>28</v>
      </c>
      <c r="M6632" s="483">
        <v>8779.58</v>
      </c>
      <c r="N6632" s="486">
        <v>0.45833333333333331</v>
      </c>
      <c r="O6632" s="2"/>
      <c r="P6632" s="758" t="s">
        <v>1598</v>
      </c>
      <c r="Q6632" s="758"/>
      <c r="R6632" s="2"/>
    </row>
    <row r="6633" spans="1:18" ht="57" hidden="1" thickBot="1" x14ac:dyDescent="0.3">
      <c r="A6633" s="955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7" t="str">
        <f t="shared" si="200"/>
        <v>07,26</v>
      </c>
      <c r="L6633" s="527" t="s">
        <v>28</v>
      </c>
      <c r="M6633" s="527">
        <v>1465.92</v>
      </c>
      <c r="N6633" s="530">
        <v>0.45833333333333331</v>
      </c>
      <c r="O6633" s="2"/>
      <c r="P6633" s="758" t="s">
        <v>1596</v>
      </c>
      <c r="Q6633" s="758"/>
      <c r="R6633" s="2"/>
    </row>
    <row r="6634" spans="1:18" ht="19.5" hidden="1" thickBot="1" x14ac:dyDescent="0.3">
      <c r="A6634" s="956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9" t="str">
        <f t="shared" si="200"/>
        <v>07,26</v>
      </c>
      <c r="L6634" s="649" t="s">
        <v>28</v>
      </c>
      <c r="M6634" s="649">
        <v>7114.8400000000011</v>
      </c>
      <c r="N6634" s="653">
        <v>0.45833333333333331</v>
      </c>
      <c r="O6634" s="2"/>
      <c r="P6634" s="758" t="s">
        <v>1597</v>
      </c>
      <c r="Q6634" s="758"/>
      <c r="R6634" s="2"/>
    </row>
    <row r="6635" spans="1:18" ht="19.5" hidden="1" thickBot="1" x14ac:dyDescent="0.3">
      <c r="A6635" s="966">
        <f t="shared" si="201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5" t="str">
        <f t="shared" si="200"/>
        <v>07,26</v>
      </c>
      <c r="L6635" s="535" t="s">
        <v>28</v>
      </c>
      <c r="M6635" s="535">
        <v>5368.14</v>
      </c>
      <c r="N6635" s="539">
        <v>0.5</v>
      </c>
      <c r="O6635" s="2"/>
      <c r="P6635" s="758" t="s">
        <v>1594</v>
      </c>
      <c r="Q6635" s="758"/>
      <c r="R6635" s="2"/>
    </row>
    <row r="6636" spans="1:18" ht="19.5" hidden="1" thickBot="1" x14ac:dyDescent="0.3">
      <c r="A6636" s="967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7" t="str">
        <f t="shared" si="200"/>
        <v>07,26</v>
      </c>
      <c r="L6636" s="567" t="s">
        <v>266</v>
      </c>
      <c r="M6636" s="567">
        <v>6267.4000000000005</v>
      </c>
      <c r="N6636" s="571">
        <v>0.5</v>
      </c>
      <c r="O6636" s="2"/>
      <c r="P6636" s="758" t="s">
        <v>1592</v>
      </c>
      <c r="Q6636" s="758"/>
      <c r="R6636" s="2"/>
    </row>
    <row r="6637" spans="1:18" ht="19.5" hidden="1" thickBot="1" x14ac:dyDescent="0.3">
      <c r="A6637" s="967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4" t="str">
        <f t="shared" si="200"/>
        <v>07,26</v>
      </c>
      <c r="L6637" s="594" t="s">
        <v>266</v>
      </c>
      <c r="M6637" s="594">
        <v>5560.8499999999995</v>
      </c>
      <c r="N6637" s="598">
        <v>0.5</v>
      </c>
      <c r="O6637" s="2"/>
      <c r="P6637" s="758" t="s">
        <v>1593</v>
      </c>
      <c r="Q6637" s="758"/>
      <c r="R6637" s="2"/>
    </row>
    <row r="6638" spans="1:18" ht="19.5" hidden="1" thickBot="1" x14ac:dyDescent="0.3">
      <c r="A6638" s="954">
        <f t="shared" si="201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83" t="str">
        <f t="shared" si="200"/>
        <v>07,26</v>
      </c>
      <c r="L6638" s="483" t="s">
        <v>265</v>
      </c>
      <c r="M6638" s="483">
        <v>1248.9000000000001</v>
      </c>
      <c r="N6638" s="486">
        <v>0.375</v>
      </c>
      <c r="O6638" s="2"/>
      <c r="P6638" s="758" t="s">
        <v>1585</v>
      </c>
      <c r="Q6638" s="758"/>
      <c r="R6638" s="2"/>
    </row>
    <row r="6639" spans="1:18" ht="19.5" hidden="1" thickBot="1" x14ac:dyDescent="0.3">
      <c r="A6639" s="956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9" t="str">
        <f t="shared" si="200"/>
        <v>07,26</v>
      </c>
      <c r="L6639" s="649" t="s">
        <v>265</v>
      </c>
      <c r="M6639" s="649">
        <v>16208.800000000001</v>
      </c>
      <c r="N6639" s="653">
        <v>0.375</v>
      </c>
      <c r="O6639" s="2"/>
      <c r="P6639" s="758" t="s">
        <v>1586</v>
      </c>
      <c r="Q6639" s="758"/>
      <c r="R6639" s="2"/>
    </row>
    <row r="6640" spans="1:18" ht="19.5" hidden="1" thickBot="1" x14ac:dyDescent="0.3">
      <c r="A6640" s="966">
        <f t="shared" si="201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5" t="str">
        <f t="shared" si="200"/>
        <v>07,26</v>
      </c>
      <c r="L6640" s="535" t="s">
        <v>28</v>
      </c>
      <c r="M6640" s="535">
        <v>5346.0999999999995</v>
      </c>
      <c r="N6640" s="539">
        <v>0.41666666666666669</v>
      </c>
      <c r="O6640" s="2"/>
      <c r="P6640" s="758" t="s">
        <v>1591</v>
      </c>
      <c r="Q6640" s="758"/>
      <c r="R6640" s="2"/>
    </row>
    <row r="6641" spans="1:18" ht="19.5" hidden="1" thickBot="1" x14ac:dyDescent="0.3">
      <c r="A6641" s="967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7" t="str">
        <f t="shared" si="200"/>
        <v>07,26</v>
      </c>
      <c r="L6641" s="567" t="s">
        <v>28</v>
      </c>
      <c r="M6641" s="567">
        <v>3983.12</v>
      </c>
      <c r="N6641" s="571">
        <v>0.41666666666666669</v>
      </c>
      <c r="O6641" s="2"/>
      <c r="P6641" s="758" t="s">
        <v>1589</v>
      </c>
      <c r="Q6641" s="758"/>
      <c r="R6641" s="2"/>
    </row>
    <row r="6642" spans="1:18" ht="19.5" hidden="1" thickBot="1" x14ac:dyDescent="0.3">
      <c r="A6642" s="968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40" t="str">
        <f t="shared" si="200"/>
        <v>07,26</v>
      </c>
      <c r="L6642" s="640" t="s">
        <v>28</v>
      </c>
      <c r="M6642" s="640">
        <v>8168.28</v>
      </c>
      <c r="N6642" s="644">
        <v>0.41666666666666669</v>
      </c>
      <c r="O6642" s="2"/>
      <c r="P6642" s="758" t="s">
        <v>1590</v>
      </c>
      <c r="Q6642" s="758"/>
      <c r="R6642" s="2"/>
    </row>
    <row r="6643" spans="1:18" ht="38.25" hidden="1" thickBot="1" x14ac:dyDescent="0.3">
      <c r="A6643" s="572">
        <f t="shared" si="201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7" t="str">
        <f t="shared" si="200"/>
        <v>07,26</v>
      </c>
      <c r="L6643" s="577" t="s">
        <v>266</v>
      </c>
      <c r="M6643" s="577">
        <v>18025.260000000002</v>
      </c>
      <c r="N6643" s="581">
        <v>0.45833333333333331</v>
      </c>
      <c r="O6643" s="2"/>
      <c r="P6643" s="758" t="s">
        <v>1584</v>
      </c>
      <c r="Q6643" s="758"/>
      <c r="R6643" s="2"/>
    </row>
    <row r="6644" spans="1:18" ht="19.5" hidden="1" thickBot="1" x14ac:dyDescent="0.3">
      <c r="A6644" s="966">
        <f t="shared" si="201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5" t="str">
        <f t="shared" si="200"/>
        <v>07,26</v>
      </c>
      <c r="L6644" s="535" t="s">
        <v>266</v>
      </c>
      <c r="M6644" s="535">
        <v>4039.04</v>
      </c>
      <c r="N6644" s="539">
        <v>0.5</v>
      </c>
      <c r="O6644" s="2"/>
      <c r="P6644" s="758" t="s">
        <v>1576</v>
      </c>
      <c r="Q6644" s="758"/>
      <c r="R6644" s="2"/>
    </row>
    <row r="6645" spans="1:18" ht="19.5" hidden="1" thickBot="1" x14ac:dyDescent="0.3">
      <c r="A6645" s="967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7" t="str">
        <f t="shared" si="200"/>
        <v>07,26</v>
      </c>
      <c r="L6645" s="567" t="s">
        <v>266</v>
      </c>
      <c r="M6645" s="567">
        <v>3676.74</v>
      </c>
      <c r="N6645" s="571">
        <v>0.5</v>
      </c>
      <c r="O6645" s="2"/>
      <c r="P6645" s="758" t="s">
        <v>1577</v>
      </c>
      <c r="Q6645" s="758"/>
      <c r="R6645" s="2"/>
    </row>
    <row r="6646" spans="1:18" ht="19.5" hidden="1" thickBot="1" x14ac:dyDescent="0.3">
      <c r="A6646" s="967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7" t="str">
        <f t="shared" si="200"/>
        <v>07,26</v>
      </c>
      <c r="L6646" s="567" t="s">
        <v>266</v>
      </c>
      <c r="M6646" s="567">
        <v>1372.92</v>
      </c>
      <c r="N6646" s="571">
        <v>0.5</v>
      </c>
      <c r="O6646" s="2"/>
      <c r="P6646" s="758" t="s">
        <v>1578</v>
      </c>
      <c r="Q6646" s="758"/>
      <c r="R6646" s="2"/>
    </row>
    <row r="6647" spans="1:18" ht="19.5" hidden="1" thickBot="1" x14ac:dyDescent="0.3">
      <c r="A6647" s="968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40" t="str">
        <f t="shared" si="200"/>
        <v>07,26</v>
      </c>
      <c r="L6647" s="640" t="s">
        <v>266</v>
      </c>
      <c r="M6647" s="640">
        <v>1527.12</v>
      </c>
      <c r="N6647" s="644">
        <v>0.5</v>
      </c>
      <c r="O6647" s="2"/>
      <c r="P6647" s="758" t="s">
        <v>1579</v>
      </c>
      <c r="Q6647" s="758"/>
      <c r="R6647" s="2"/>
    </row>
    <row r="6648" spans="1:18" ht="19.5" hidden="1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8" t="str">
        <f t="shared" si="200"/>
        <v>07,26</v>
      </c>
      <c r="L6648" s="518" t="s">
        <v>265</v>
      </c>
      <c r="M6648" s="518">
        <v>12226.92</v>
      </c>
      <c r="N6648" s="522">
        <v>0.375</v>
      </c>
      <c r="O6648" s="2"/>
      <c r="P6648" s="758" t="s">
        <v>1588</v>
      </c>
      <c r="Q6648" s="758"/>
      <c r="R6648" s="2"/>
    </row>
    <row r="6649" spans="1:18" ht="19.5" hidden="1" thickBot="1" x14ac:dyDescent="0.3">
      <c r="A6649" s="966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5" t="str">
        <f t="shared" si="200"/>
        <v>07,26</v>
      </c>
      <c r="L6649" s="535" t="s">
        <v>265</v>
      </c>
      <c r="M6649" s="535">
        <v>14707.929999999998</v>
      </c>
      <c r="N6649" s="539">
        <v>0.375</v>
      </c>
      <c r="O6649" s="2"/>
      <c r="P6649" s="758" t="s">
        <v>1607</v>
      </c>
      <c r="Q6649" s="758"/>
      <c r="R6649" s="2"/>
    </row>
    <row r="6650" spans="1:18" ht="19.5" hidden="1" thickBot="1" x14ac:dyDescent="0.3">
      <c r="A6650" s="967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7" t="str">
        <f t="shared" si="200"/>
        <v>07,26</v>
      </c>
      <c r="L6650" s="567" t="s">
        <v>265</v>
      </c>
      <c r="M6650" s="567">
        <v>504</v>
      </c>
      <c r="N6650" s="571">
        <v>0.375</v>
      </c>
      <c r="O6650" s="2"/>
      <c r="P6650" s="758" t="s">
        <v>1608</v>
      </c>
      <c r="Q6650" s="758"/>
      <c r="R6650" s="2"/>
    </row>
    <row r="6651" spans="1:18" ht="32.25" hidden="1" thickBot="1" x14ac:dyDescent="0.3">
      <c r="A6651" s="968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40" t="str">
        <f t="shared" si="200"/>
        <v>07,26</v>
      </c>
      <c r="L6651" s="640" t="s">
        <v>265</v>
      </c>
      <c r="M6651" s="640">
        <v>2382.9799999999996</v>
      </c>
      <c r="N6651" s="644">
        <v>0.375</v>
      </c>
      <c r="O6651" s="2"/>
      <c r="P6651" s="758" t="s">
        <v>1609</v>
      </c>
      <c r="Q6651" s="758"/>
      <c r="R6651" s="2"/>
    </row>
    <row r="6652" spans="1:18" ht="19.5" hidden="1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8" t="str">
        <f t="shared" si="200"/>
        <v>07,26</v>
      </c>
      <c r="L6652" s="518" t="s">
        <v>265</v>
      </c>
      <c r="M6652" s="518">
        <v>17621.719999999998</v>
      </c>
      <c r="N6652" s="522">
        <v>0.41666666666666669</v>
      </c>
      <c r="O6652" s="2"/>
      <c r="P6652" s="758" t="s">
        <v>1612</v>
      </c>
      <c r="Q6652" s="758"/>
      <c r="R6652" s="2"/>
    </row>
    <row r="6653" spans="1:18" ht="38.25" hidden="1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8" t="str">
        <f t="shared" si="200"/>
        <v>07,26</v>
      </c>
      <c r="L6653" s="508" t="s">
        <v>28</v>
      </c>
      <c r="M6653" s="508">
        <v>15658.579999999998</v>
      </c>
      <c r="N6653" s="512">
        <v>0.45833333333333331</v>
      </c>
      <c r="O6653" s="2"/>
      <c r="P6653" s="758" t="s">
        <v>1603</v>
      </c>
      <c r="Q6653" s="758"/>
      <c r="R6653" s="2"/>
    </row>
    <row r="6654" spans="1:18" ht="19.5" hidden="1" thickBot="1" x14ac:dyDescent="0.3">
      <c r="A6654" s="954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83" t="str">
        <f t="shared" si="200"/>
        <v>07,26</v>
      </c>
      <c r="L6654" s="483" t="s">
        <v>28</v>
      </c>
      <c r="M6654" s="483">
        <v>11070.240000000002</v>
      </c>
      <c r="N6654" s="486">
        <v>0.5</v>
      </c>
      <c r="O6654" s="2"/>
      <c r="P6654" s="758" t="s">
        <v>1606</v>
      </c>
      <c r="Q6654" s="758"/>
      <c r="R6654" s="2"/>
    </row>
    <row r="6655" spans="1:18" ht="19.5" hidden="1" thickBot="1" x14ac:dyDescent="0.3">
      <c r="A6655" s="956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9" t="str">
        <f t="shared" si="200"/>
        <v>07,26</v>
      </c>
      <c r="L6655" s="649" t="s">
        <v>266</v>
      </c>
      <c r="M6655" s="649">
        <v>6168.23</v>
      </c>
      <c r="N6655" s="653">
        <v>0.5</v>
      </c>
      <c r="O6655" s="2"/>
      <c r="P6655" s="758" t="s">
        <v>1605</v>
      </c>
      <c r="Q6655" s="758"/>
      <c r="R6655" s="2"/>
    </row>
    <row r="6656" spans="1:18" ht="38.25" hidden="1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8" t="str">
        <f t="shared" si="200"/>
        <v>07,26</v>
      </c>
      <c r="L6656" s="508" t="s">
        <v>28</v>
      </c>
      <c r="M6656" s="508">
        <v>15718.009999999998</v>
      </c>
      <c r="N6656" s="512">
        <v>0.54166666666666663</v>
      </c>
      <c r="O6656" s="2"/>
      <c r="P6656" s="758" t="s">
        <v>1602</v>
      </c>
      <c r="Q6656" s="758"/>
      <c r="R6656" s="2"/>
    </row>
    <row r="6657" spans="1:18" ht="19.5" hidden="1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8" t="str">
        <f t="shared" si="200"/>
        <v>07,26</v>
      </c>
      <c r="L6657" s="518" t="s">
        <v>28</v>
      </c>
      <c r="M6657" s="518">
        <v>9778.6799999999985</v>
      </c>
      <c r="N6657" s="522">
        <v>0.41666666666666669</v>
      </c>
      <c r="O6657" s="2"/>
      <c r="P6657" s="758" t="s">
        <v>1599</v>
      </c>
      <c r="Q6657" s="758"/>
      <c r="R6657" s="2"/>
    </row>
    <row r="6658" spans="1:18" ht="19.5" hidden="1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8" t="str">
        <f t="shared" si="200"/>
        <v>07,26</v>
      </c>
      <c r="L6658" s="508" t="s">
        <v>28</v>
      </c>
      <c r="M6658" s="508">
        <v>10842.28</v>
      </c>
      <c r="N6658" s="512">
        <v>0.45833333333333331</v>
      </c>
      <c r="O6658" s="2"/>
      <c r="P6658" s="758" t="s">
        <v>1600</v>
      </c>
      <c r="Q6658" s="758"/>
      <c r="R6658" s="2"/>
    </row>
    <row r="6659" spans="1:18" ht="19.5" hidden="1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8" t="str">
        <f t="shared" si="200"/>
        <v>07,26</v>
      </c>
      <c r="L6659" s="518" t="s">
        <v>265</v>
      </c>
      <c r="M6659" s="518">
        <v>17690.740000000002</v>
      </c>
      <c r="N6659" s="522">
        <v>0.375</v>
      </c>
      <c r="O6659" s="2"/>
      <c r="P6659" s="758" t="s">
        <v>1613</v>
      </c>
      <c r="Q6659" s="758"/>
      <c r="R6659" s="2"/>
    </row>
    <row r="6660" spans="1:18" ht="19.5" hidden="1" thickBot="1" x14ac:dyDescent="0.3">
      <c r="A6660" s="966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976" t="s">
        <v>1575</v>
      </c>
      <c r="H6660" s="535" t="s">
        <v>1574</v>
      </c>
      <c r="I6660" s="537" t="s">
        <v>1574</v>
      </c>
      <c r="J6660" s="538"/>
      <c r="K6660" s="535" t="str">
        <f t="shared" si="200"/>
        <v>07,26</v>
      </c>
      <c r="L6660" s="535" t="s">
        <v>28</v>
      </c>
      <c r="M6660" s="535">
        <v>8298.16</v>
      </c>
      <c r="N6660" s="539">
        <v>0.41666666666666669</v>
      </c>
      <c r="O6660" s="2"/>
      <c r="P6660" s="758" t="s">
        <v>1610</v>
      </c>
      <c r="Q6660" s="758"/>
      <c r="R6660" s="2"/>
    </row>
    <row r="6661" spans="1:18" ht="19.5" hidden="1" thickBot="1" x14ac:dyDescent="0.3">
      <c r="A6661" s="968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975"/>
      <c r="H6661" s="640" t="s">
        <v>1574</v>
      </c>
      <c r="I6661" s="642" t="s">
        <v>1574</v>
      </c>
      <c r="J6661" s="643"/>
      <c r="K6661" s="640" t="str">
        <f t="shared" si="200"/>
        <v>07,26</v>
      </c>
      <c r="L6661" s="640" t="s">
        <v>28</v>
      </c>
      <c r="M6661" s="640">
        <v>5599.92</v>
      </c>
      <c r="N6661" s="644">
        <v>0.41666666666666669</v>
      </c>
      <c r="O6661" s="2"/>
      <c r="P6661" s="758" t="s">
        <v>1611</v>
      </c>
      <c r="Q6661" s="758"/>
      <c r="R6661" s="2"/>
    </row>
    <row r="6662" spans="1:18" ht="19.5" hidden="1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8" t="str">
        <f t="shared" si="200"/>
        <v>07,26</v>
      </c>
      <c r="L6662" s="518" t="s">
        <v>28</v>
      </c>
      <c r="M6662" s="518">
        <v>17244.66</v>
      </c>
      <c r="N6662" s="522">
        <v>0.45833333333333331</v>
      </c>
      <c r="O6662" s="2"/>
      <c r="P6662" s="758" t="s">
        <v>1604</v>
      </c>
      <c r="Q6662" s="758"/>
      <c r="R6662" s="2"/>
    </row>
    <row r="6663" spans="1:18" ht="19.5" hidden="1" thickBot="1" x14ac:dyDescent="0.3">
      <c r="A6663" s="966">
        <f t="shared" si="201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5" t="str">
        <f t="shared" si="200"/>
        <v>07,26</v>
      </c>
      <c r="L6663" s="535" t="s">
        <v>266</v>
      </c>
      <c r="M6663" s="535">
        <v>2367.1</v>
      </c>
      <c r="N6663" s="539">
        <v>0.5</v>
      </c>
      <c r="O6663" s="2"/>
      <c r="P6663" s="758" t="s">
        <v>1616</v>
      </c>
      <c r="Q6663" s="758"/>
      <c r="R6663" s="2"/>
    </row>
    <row r="6664" spans="1:18" ht="19.5" hidden="1" thickBot="1" x14ac:dyDescent="0.3">
      <c r="A6664" s="967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4" t="str">
        <f t="shared" si="200"/>
        <v>07,26</v>
      </c>
      <c r="L6664" s="594" t="s">
        <v>266</v>
      </c>
      <c r="M6664" s="594">
        <v>15104.26</v>
      </c>
      <c r="N6664" s="598">
        <v>0.5</v>
      </c>
      <c r="O6664" s="2"/>
      <c r="P6664" s="758" t="s">
        <v>1617</v>
      </c>
      <c r="Q6664" s="758"/>
      <c r="R6664" s="2"/>
    </row>
    <row r="6665" spans="1:18" ht="19.5" hidden="1" thickBot="1" x14ac:dyDescent="0.3">
      <c r="A6665" s="513">
        <f t="shared" si="201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8" t="str">
        <f t="shared" si="200"/>
        <v>07,26</v>
      </c>
      <c r="L6665" s="518" t="s">
        <v>266</v>
      </c>
      <c r="M6665" s="518">
        <v>18119.349999999999</v>
      </c>
      <c r="N6665" s="522">
        <v>0.41666666666666669</v>
      </c>
      <c r="O6665" s="2"/>
      <c r="P6665" s="758" t="s">
        <v>1619</v>
      </c>
      <c r="Q6665" s="758"/>
      <c r="R6665" s="2"/>
    </row>
    <row r="6666" spans="1:18" ht="19.5" hidden="1" thickBot="1" x14ac:dyDescent="0.3">
      <c r="A6666" s="503">
        <f t="shared" si="201"/>
        <v>4193</v>
      </c>
      <c r="B6666" s="504" t="s">
        <v>1574</v>
      </c>
      <c r="C6666" s="505" t="s">
        <v>32</v>
      </c>
      <c r="D6666" s="506">
        <v>18.059999999999999</v>
      </c>
      <c r="E6666" s="507">
        <v>16.905999999999999</v>
      </c>
      <c r="F6666" s="508" t="s">
        <v>16</v>
      </c>
      <c r="G6666" s="509"/>
      <c r="H6666" s="508" t="s">
        <v>1601</v>
      </c>
      <c r="I6666" s="510" t="s">
        <v>1601</v>
      </c>
      <c r="J6666" s="511"/>
      <c r="K6666" s="508" t="str">
        <f t="shared" si="200"/>
        <v>07,26</v>
      </c>
      <c r="L6666" s="508" t="s">
        <v>266</v>
      </c>
      <c r="M6666" s="508">
        <v>18153.7</v>
      </c>
      <c r="N6666" s="512">
        <v>0.45833333333333331</v>
      </c>
      <c r="O6666" s="2"/>
      <c r="P6666" s="758" t="s">
        <v>1621</v>
      </c>
      <c r="Q6666" s="758"/>
      <c r="R6666" s="2"/>
    </row>
    <row r="6667" spans="1:18" ht="19.5" hidden="1" thickBot="1" x14ac:dyDescent="0.3">
      <c r="A6667" s="572">
        <f t="shared" si="201"/>
        <v>4194</v>
      </c>
      <c r="B6667" s="573" t="s">
        <v>1574</v>
      </c>
      <c r="C6667" s="574" t="s">
        <v>32</v>
      </c>
      <c r="D6667" s="575">
        <v>18</v>
      </c>
      <c r="E6667" s="576">
        <v>18.001000000000001</v>
      </c>
      <c r="F6667" s="577" t="s">
        <v>16</v>
      </c>
      <c r="G6667" s="578"/>
      <c r="H6667" s="577" t="s">
        <v>1601</v>
      </c>
      <c r="I6667" s="579" t="s">
        <v>1614</v>
      </c>
      <c r="J6667" s="580"/>
      <c r="K6667" s="577" t="str">
        <f t="shared" si="200"/>
        <v>07,26</v>
      </c>
      <c r="L6667" s="577" t="s">
        <v>266</v>
      </c>
      <c r="M6667" s="577">
        <v>18022.2</v>
      </c>
      <c r="N6667" s="581">
        <v>0.5</v>
      </c>
      <c r="O6667" s="2"/>
      <c r="P6667" s="758" t="s">
        <v>1623</v>
      </c>
      <c r="Q6667" s="758"/>
      <c r="R6667" s="2"/>
    </row>
    <row r="6668" spans="1:18" ht="19.5" hidden="1" thickBot="1" x14ac:dyDescent="0.3">
      <c r="A6668" s="973">
        <f t="shared" si="201"/>
        <v>4195</v>
      </c>
      <c r="B6668" s="759" t="s">
        <v>1574</v>
      </c>
      <c r="C6668" s="532" t="s">
        <v>848</v>
      </c>
      <c r="D6668" s="533">
        <v>18.032</v>
      </c>
      <c r="E6668" s="534">
        <v>15.804</v>
      </c>
      <c r="F6668" s="535" t="s">
        <v>16</v>
      </c>
      <c r="G6668" s="536" t="s">
        <v>1618</v>
      </c>
      <c r="H6668" s="535" t="s">
        <v>1601</v>
      </c>
      <c r="I6668" s="537" t="s">
        <v>1614</v>
      </c>
      <c r="J6668" s="538"/>
      <c r="K6668" s="535" t="str">
        <f t="shared" si="200"/>
        <v>07,26</v>
      </c>
      <c r="L6668" s="535" t="s">
        <v>266</v>
      </c>
      <c r="M6668" s="535">
        <v>18155.820000000003</v>
      </c>
      <c r="N6668" s="539">
        <v>0.54166666666666663</v>
      </c>
      <c r="O6668" s="2"/>
      <c r="P6668" s="758" t="s">
        <v>1629</v>
      </c>
      <c r="Q6668" s="758"/>
      <c r="R6668" s="2"/>
    </row>
    <row r="6669" spans="1:18" ht="19.5" hidden="1" thickBot="1" x14ac:dyDescent="0.3">
      <c r="A6669" s="974"/>
      <c r="B6669" s="785" t="s">
        <v>1601</v>
      </c>
      <c r="C6669" s="786" t="s">
        <v>848</v>
      </c>
      <c r="D6669" s="787">
        <v>2.1</v>
      </c>
      <c r="E6669" s="787">
        <v>2.11</v>
      </c>
      <c r="F6669" s="788" t="s">
        <v>16</v>
      </c>
      <c r="G6669" s="789" t="s">
        <v>76</v>
      </c>
      <c r="H6669" s="788" t="s">
        <v>1601</v>
      </c>
      <c r="I6669" s="788" t="s">
        <v>1614</v>
      </c>
      <c r="J6669" s="790"/>
      <c r="K6669" s="788" t="str">
        <f t="shared" ref="K6669:K6732" si="202">RIGHT(I6669,5)</f>
        <v>07,26</v>
      </c>
      <c r="L6669" s="788" t="s">
        <v>266</v>
      </c>
      <c r="M6669" s="788">
        <v>2100</v>
      </c>
      <c r="N6669" s="784">
        <v>0.54166666666666663</v>
      </c>
      <c r="O6669" s="2"/>
      <c r="P6669" s="758" t="s">
        <v>1630</v>
      </c>
      <c r="Q6669" s="758"/>
      <c r="R6669" s="2"/>
    </row>
    <row r="6670" spans="1:18" ht="19.5" hidden="1" thickBot="1" x14ac:dyDescent="0.3">
      <c r="A6670" s="961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>
        <v>14.662000000000001</v>
      </c>
      <c r="F6670" s="483" t="s">
        <v>16</v>
      </c>
      <c r="G6670" s="549"/>
      <c r="H6670" s="483" t="s">
        <v>1614</v>
      </c>
      <c r="I6670" s="484" t="s">
        <v>1614</v>
      </c>
      <c r="J6670" s="485"/>
      <c r="K6670" s="483" t="str">
        <f t="shared" si="202"/>
        <v>07,26</v>
      </c>
      <c r="L6670" s="483" t="s">
        <v>265</v>
      </c>
      <c r="M6670" s="483">
        <v>15769.920000000002</v>
      </c>
      <c r="N6670" s="486">
        <v>0.375</v>
      </c>
      <c r="O6670" s="2"/>
      <c r="P6670" s="758" t="s">
        <v>1624</v>
      </c>
      <c r="Q6670" s="758"/>
      <c r="R6670" s="2"/>
    </row>
    <row r="6671" spans="1:18" ht="19.5" hidden="1" thickBot="1" x14ac:dyDescent="0.3">
      <c r="A6671" s="961"/>
      <c r="B6671" s="769" t="s">
        <v>1595</v>
      </c>
      <c r="C6671" s="764" t="s">
        <v>496</v>
      </c>
      <c r="D6671" s="765">
        <v>1.8819999999999999</v>
      </c>
      <c r="E6671" s="766">
        <v>1.8180000000000001</v>
      </c>
      <c r="F6671" s="763" t="s">
        <v>16</v>
      </c>
      <c r="G6671" s="767"/>
      <c r="H6671" s="763" t="s">
        <v>1614</v>
      </c>
      <c r="I6671" s="768" t="s">
        <v>1614</v>
      </c>
      <c r="J6671" s="779"/>
      <c r="K6671" s="763" t="str">
        <f t="shared" si="202"/>
        <v>07,26</v>
      </c>
      <c r="L6671" s="763" t="s">
        <v>265</v>
      </c>
      <c r="M6671" s="763">
        <v>1882.2</v>
      </c>
      <c r="N6671" s="770">
        <v>0.375</v>
      </c>
      <c r="O6671" s="2"/>
      <c r="P6671" s="758" t="s">
        <v>1625</v>
      </c>
      <c r="Q6671" s="758"/>
      <c r="R6671" s="2"/>
    </row>
    <row r="6672" spans="1:18" ht="19.5" hidden="1" thickBot="1" x14ac:dyDescent="0.3">
      <c r="A6672" s="962"/>
      <c r="B6672" s="792" t="s">
        <v>1601</v>
      </c>
      <c r="C6672" s="793" t="s">
        <v>26</v>
      </c>
      <c r="D6672" s="794">
        <v>1.9</v>
      </c>
      <c r="E6672" s="794">
        <v>1.9059999999999999</v>
      </c>
      <c r="F6672" s="795" t="s">
        <v>16</v>
      </c>
      <c r="G6672" s="796" t="s">
        <v>76</v>
      </c>
      <c r="H6672" s="795" t="s">
        <v>1614</v>
      </c>
      <c r="I6672" s="795" t="s">
        <v>1614</v>
      </c>
      <c r="J6672" s="797"/>
      <c r="K6672" s="795" t="str">
        <f t="shared" si="202"/>
        <v>07,26</v>
      </c>
      <c r="L6672" s="795" t="s">
        <v>265</v>
      </c>
      <c r="M6672" s="795">
        <v>1905</v>
      </c>
      <c r="N6672" s="502">
        <v>0.375</v>
      </c>
      <c r="O6672" s="2"/>
      <c r="P6672" s="758" t="s">
        <v>1626</v>
      </c>
      <c r="Q6672" s="758"/>
      <c r="R6672" s="2"/>
    </row>
    <row r="6673" spans="1:18" ht="19.5" hidden="1" thickBot="1" x14ac:dyDescent="0.3">
      <c r="A6673" s="957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>
        <v>16.323</v>
      </c>
      <c r="F6673" s="535" t="s">
        <v>16</v>
      </c>
      <c r="G6673" s="536"/>
      <c r="H6673" s="535" t="s">
        <v>1614</v>
      </c>
      <c r="I6673" s="537" t="s">
        <v>1614</v>
      </c>
      <c r="J6673" s="538"/>
      <c r="K6673" s="535" t="str">
        <f t="shared" si="202"/>
        <v>07,26</v>
      </c>
      <c r="L6673" s="535" t="s">
        <v>265</v>
      </c>
      <c r="M6673" s="535">
        <v>17725.060000000001</v>
      </c>
      <c r="N6673" s="539">
        <v>0.41666666666666669</v>
      </c>
      <c r="O6673" s="2"/>
      <c r="P6673" s="758" t="s">
        <v>1627</v>
      </c>
      <c r="Q6673" s="834"/>
    </row>
    <row r="6674" spans="1:18" ht="18.75" hidden="1" customHeight="1" thickBot="1" x14ac:dyDescent="0.3">
      <c r="A6674" s="959"/>
      <c r="B6674" s="785" t="s">
        <v>1601</v>
      </c>
      <c r="C6674" s="786" t="s">
        <v>26</v>
      </c>
      <c r="D6674" s="787">
        <v>1.9</v>
      </c>
      <c r="E6674" s="787">
        <v>1.9059999999999999</v>
      </c>
      <c r="F6674" s="788" t="s">
        <v>16</v>
      </c>
      <c r="G6674" s="789" t="s">
        <v>76</v>
      </c>
      <c r="H6674" s="788" t="s">
        <v>1614</v>
      </c>
      <c r="I6674" s="788" t="s">
        <v>1614</v>
      </c>
      <c r="J6674" s="790"/>
      <c r="K6674" s="788" t="str">
        <f t="shared" si="202"/>
        <v>07,26</v>
      </c>
      <c r="L6674" s="788" t="s">
        <v>265</v>
      </c>
      <c r="M6674" s="788">
        <v>1905</v>
      </c>
      <c r="N6674" s="784">
        <v>0.41666666666666669</v>
      </c>
      <c r="O6674" s="2"/>
      <c r="P6674" s="758" t="s">
        <v>1628</v>
      </c>
      <c r="Q6674" s="834"/>
    </row>
    <row r="6675" spans="1:18" ht="19.5" hidden="1" thickBot="1" x14ac:dyDescent="0.3">
      <c r="A6675" s="954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>
        <v>7.7850000000000001</v>
      </c>
      <c r="F6675" s="527" t="s">
        <v>16</v>
      </c>
      <c r="G6675" s="561"/>
      <c r="H6675" s="527" t="s">
        <v>1614</v>
      </c>
      <c r="I6675" s="528" t="s">
        <v>1620</v>
      </c>
      <c r="J6675" s="529"/>
      <c r="K6675" s="527" t="str">
        <f t="shared" si="202"/>
        <v>07,26</v>
      </c>
      <c r="L6675" s="527" t="s">
        <v>266</v>
      </c>
      <c r="M6675" s="527">
        <v>7856.2</v>
      </c>
      <c r="N6675" s="530">
        <v>0.45833333333333331</v>
      </c>
      <c r="O6675" s="2"/>
      <c r="P6675" s="758" t="s">
        <v>1658</v>
      </c>
      <c r="Q6675" s="834"/>
    </row>
    <row r="6676" spans="1:18" ht="19.5" hidden="1" thickBot="1" x14ac:dyDescent="0.3">
      <c r="A6676" s="956"/>
      <c r="B6676" s="645" t="s">
        <v>1595</v>
      </c>
      <c r="C6676" s="646" t="s">
        <v>32</v>
      </c>
      <c r="D6676" s="647">
        <v>7.1859999999999999</v>
      </c>
      <c r="E6676" s="648">
        <v>7.2270000000000003</v>
      </c>
      <c r="F6676" s="649" t="s">
        <v>16</v>
      </c>
      <c r="G6676" s="650"/>
      <c r="H6676" s="649" t="s">
        <v>1614</v>
      </c>
      <c r="I6676" s="651" t="s">
        <v>1620</v>
      </c>
      <c r="J6676" s="652"/>
      <c r="K6676" s="649" t="str">
        <f t="shared" si="202"/>
        <v>07,26</v>
      </c>
      <c r="L6676" s="649" t="s">
        <v>266</v>
      </c>
      <c r="M6676" s="649">
        <v>7186.8</v>
      </c>
      <c r="N6676" s="653">
        <v>0.45833333333333331</v>
      </c>
      <c r="O6676" s="2"/>
      <c r="P6676" s="758" t="s">
        <v>1657</v>
      </c>
      <c r="Q6676" s="834"/>
    </row>
    <row r="6677" spans="1:18" ht="19.5" hidden="1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>
        <v>11.907</v>
      </c>
      <c r="F6677" s="508" t="s">
        <v>30</v>
      </c>
      <c r="G6677" s="509"/>
      <c r="H6677" s="508" t="s">
        <v>1614</v>
      </c>
      <c r="I6677" s="510" t="s">
        <v>1614</v>
      </c>
      <c r="J6677" s="511"/>
      <c r="K6677" s="508" t="str">
        <f t="shared" si="202"/>
        <v>07,26</v>
      </c>
      <c r="L6677" s="508" t="s">
        <v>265</v>
      </c>
      <c r="M6677" s="508">
        <v>11907.16</v>
      </c>
      <c r="N6677" s="512">
        <v>0.375</v>
      </c>
      <c r="O6677" s="2"/>
      <c r="P6677" s="758" t="s">
        <v>1622</v>
      </c>
      <c r="Q6677" s="834"/>
    </row>
    <row r="6678" spans="1:18" ht="19.5" hidden="1" thickBot="1" x14ac:dyDescent="0.3">
      <c r="A6678" s="954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>
        <v>10.987</v>
      </c>
      <c r="F6678" s="483" t="s">
        <v>30</v>
      </c>
      <c r="G6678" s="549"/>
      <c r="H6678" s="483" t="s">
        <v>1614</v>
      </c>
      <c r="I6678" s="484" t="s">
        <v>1620</v>
      </c>
      <c r="J6678" s="485"/>
      <c r="K6678" s="483" t="str">
        <f t="shared" si="202"/>
        <v>07,26</v>
      </c>
      <c r="L6678" s="483" t="s">
        <v>28</v>
      </c>
      <c r="M6678" s="483">
        <v>10987.8</v>
      </c>
      <c r="N6678" s="486">
        <v>0.41666666666666669</v>
      </c>
      <c r="O6678" s="2"/>
      <c r="P6678" s="758" t="s">
        <v>1644</v>
      </c>
    </row>
    <row r="6679" spans="1:18" ht="19.5" hidden="1" thickBot="1" x14ac:dyDescent="0.3">
      <c r="A6679" s="955"/>
      <c r="B6679" s="495" t="s">
        <v>1595</v>
      </c>
      <c r="C6679" s="496" t="s">
        <v>24</v>
      </c>
      <c r="D6679" s="497">
        <v>1.536</v>
      </c>
      <c r="E6679" s="498">
        <v>1.536</v>
      </c>
      <c r="F6679" s="499" t="s">
        <v>30</v>
      </c>
      <c r="G6679" s="562"/>
      <c r="H6679" s="499" t="s">
        <v>1614</v>
      </c>
      <c r="I6679" s="500" t="s">
        <v>1620</v>
      </c>
      <c r="J6679" s="501"/>
      <c r="K6679" s="499" t="str">
        <f t="shared" si="202"/>
        <v>07,26</v>
      </c>
      <c r="L6679" s="499" t="s">
        <v>28</v>
      </c>
      <c r="M6679" s="499">
        <v>1536.12</v>
      </c>
      <c r="N6679" s="502">
        <v>0.41666666666666669</v>
      </c>
      <c r="O6679" s="2"/>
      <c r="P6679" s="758" t="s">
        <v>1643</v>
      </c>
    </row>
    <row r="6680" spans="1:18" ht="19.5" hidden="1" thickBot="1" x14ac:dyDescent="0.3">
      <c r="A6680" s="957">
        <f>MAX(A6663:A6679)+1</f>
        <v>4201</v>
      </c>
      <c r="B6680" s="759" t="s">
        <v>1595</v>
      </c>
      <c r="C6680" s="532" t="s">
        <v>26</v>
      </c>
      <c r="D6680" s="533">
        <v>17.585000000000001</v>
      </c>
      <c r="E6680" s="534">
        <f>13.651+0.302+1.502</f>
        <v>15.455</v>
      </c>
      <c r="F6680" s="535" t="s">
        <v>16</v>
      </c>
      <c r="G6680" s="536"/>
      <c r="H6680" s="535" t="s">
        <v>1615</v>
      </c>
      <c r="I6680" s="537" t="s">
        <v>1615</v>
      </c>
      <c r="J6680" s="538"/>
      <c r="K6680" s="535" t="str">
        <f t="shared" si="202"/>
        <v>07,26</v>
      </c>
      <c r="L6680" s="535" t="s">
        <v>265</v>
      </c>
      <c r="M6680" s="535">
        <v>17741.740000000002</v>
      </c>
      <c r="N6680" s="539">
        <v>0.375</v>
      </c>
      <c r="O6680" s="2"/>
      <c r="P6680" s="758" t="s">
        <v>1646</v>
      </c>
      <c r="Q6680" s="834" t="s">
        <v>1647</v>
      </c>
      <c r="R6680" s="833" t="s">
        <v>1648</v>
      </c>
    </row>
    <row r="6681" spans="1:18" ht="18.75" hidden="1" customHeight="1" thickBot="1" x14ac:dyDescent="0.3">
      <c r="A6681" s="959"/>
      <c r="B6681" s="798" t="s">
        <v>1614</v>
      </c>
      <c r="C6681" s="799" t="s">
        <v>26</v>
      </c>
      <c r="D6681" s="800">
        <v>1.8</v>
      </c>
      <c r="E6681" s="800">
        <v>1.8129999999999999</v>
      </c>
      <c r="F6681" s="801" t="s">
        <v>16</v>
      </c>
      <c r="G6681" s="802" t="s">
        <v>76</v>
      </c>
      <c r="H6681" s="801" t="s">
        <v>1615</v>
      </c>
      <c r="I6681" s="801" t="s">
        <v>1615</v>
      </c>
      <c r="J6681" s="803"/>
      <c r="K6681" s="801" t="str">
        <f t="shared" si="202"/>
        <v>07,26</v>
      </c>
      <c r="L6681" s="801" t="s">
        <v>265</v>
      </c>
      <c r="M6681" s="801">
        <v>1800</v>
      </c>
      <c r="N6681" s="804">
        <v>0.375</v>
      </c>
      <c r="O6681" s="2"/>
      <c r="P6681" s="758" t="s">
        <v>1645</v>
      </c>
      <c r="Q6681" s="834"/>
    </row>
    <row r="6682" spans="1:18" ht="19.5" hidden="1" thickBot="1" x14ac:dyDescent="0.3">
      <c r="A6682" s="960">
        <f>MAX(A6664:A6681)+1</f>
        <v>4202</v>
      </c>
      <c r="B6682" s="610" t="s">
        <v>1595</v>
      </c>
      <c r="C6682" s="480" t="s">
        <v>26</v>
      </c>
      <c r="D6682" s="481">
        <v>17.481000000000002</v>
      </c>
      <c r="E6682" s="482">
        <f>13.731+0.298+1.304</f>
        <v>15.333</v>
      </c>
      <c r="F6682" s="483" t="s">
        <v>16</v>
      </c>
      <c r="G6682" s="549"/>
      <c r="H6682" s="483" t="s">
        <v>1615</v>
      </c>
      <c r="I6682" s="484" t="s">
        <v>1615</v>
      </c>
      <c r="J6682" s="485"/>
      <c r="K6682" s="483" t="str">
        <f t="shared" si="202"/>
        <v>07,26</v>
      </c>
      <c r="L6682" s="483" t="s">
        <v>265</v>
      </c>
      <c r="M6682" s="483">
        <v>17666.54</v>
      </c>
      <c r="N6682" s="486">
        <v>0.41666666666666669</v>
      </c>
      <c r="O6682" s="2"/>
      <c r="P6682" s="758" t="s">
        <v>1650</v>
      </c>
      <c r="Q6682" s="834" t="s">
        <v>1651</v>
      </c>
      <c r="R6682" s="833" t="s">
        <v>1652</v>
      </c>
    </row>
    <row r="6683" spans="1:18" ht="18.75" hidden="1" customHeight="1" thickBot="1" x14ac:dyDescent="0.3">
      <c r="A6683" s="962"/>
      <c r="B6683" s="805" t="s">
        <v>1614</v>
      </c>
      <c r="C6683" s="806" t="s">
        <v>26</v>
      </c>
      <c r="D6683" s="807">
        <v>1.8</v>
      </c>
      <c r="E6683" s="807">
        <v>1.8069999999999999</v>
      </c>
      <c r="F6683" s="808" t="s">
        <v>16</v>
      </c>
      <c r="G6683" s="809" t="s">
        <v>76</v>
      </c>
      <c r="H6683" s="808" t="s">
        <v>1615</v>
      </c>
      <c r="I6683" s="808" t="s">
        <v>1615</v>
      </c>
      <c r="J6683" s="810"/>
      <c r="K6683" s="808" t="str">
        <f t="shared" si="202"/>
        <v>07,26</v>
      </c>
      <c r="L6683" s="808" t="s">
        <v>265</v>
      </c>
      <c r="M6683" s="808">
        <v>1800</v>
      </c>
      <c r="N6683" s="778">
        <v>0.41666666666666669</v>
      </c>
      <c r="O6683" s="2"/>
      <c r="P6683" s="758" t="s">
        <v>1649</v>
      </c>
      <c r="Q6683" s="834"/>
    </row>
    <row r="6684" spans="1:18" ht="19.5" hidden="1" thickBot="1" x14ac:dyDescent="0.3">
      <c r="A6684" s="957">
        <f>MAX(A6665:A6683)+1</f>
        <v>4203</v>
      </c>
      <c r="B6684" s="759" t="s">
        <v>1595</v>
      </c>
      <c r="C6684" s="532" t="s">
        <v>15</v>
      </c>
      <c r="D6684" s="533">
        <v>5.984</v>
      </c>
      <c r="E6684" s="534">
        <v>5.2279999999999998</v>
      </c>
      <c r="F6684" s="535" t="s">
        <v>16</v>
      </c>
      <c r="G6684" s="536"/>
      <c r="H6684" s="535" t="s">
        <v>1615</v>
      </c>
      <c r="I6684" s="537" t="s">
        <v>1635</v>
      </c>
      <c r="J6684" s="538"/>
      <c r="K6684" s="535" t="str">
        <f t="shared" si="202"/>
        <v>07,26</v>
      </c>
      <c r="L6684" s="535" t="s">
        <v>28</v>
      </c>
      <c r="M6684" s="535">
        <v>6110.8199999999988</v>
      </c>
      <c r="N6684" s="539">
        <v>0.45833333333333331</v>
      </c>
      <c r="O6684" s="2"/>
      <c r="P6684" s="758" t="s">
        <v>1678</v>
      </c>
    </row>
    <row r="6685" spans="1:18" ht="19.5" hidden="1" thickBot="1" x14ac:dyDescent="0.3">
      <c r="A6685" s="958"/>
      <c r="B6685" s="824" t="s">
        <v>1595</v>
      </c>
      <c r="C6685" s="820" t="s">
        <v>24</v>
      </c>
      <c r="D6685" s="821">
        <v>11.436999999999999</v>
      </c>
      <c r="E6685" s="822">
        <v>10.012</v>
      </c>
      <c r="F6685" s="819" t="s">
        <v>16</v>
      </c>
      <c r="G6685" s="823"/>
      <c r="H6685" s="819" t="s">
        <v>1615</v>
      </c>
      <c r="I6685" s="782" t="s">
        <v>1635</v>
      </c>
      <c r="J6685" s="825"/>
      <c r="K6685" s="819" t="str">
        <f t="shared" si="202"/>
        <v>07,26</v>
      </c>
      <c r="L6685" s="819" t="s">
        <v>28</v>
      </c>
      <c r="M6685" s="819">
        <v>11590.22</v>
      </c>
      <c r="N6685" s="811">
        <v>0.45833333333333331</v>
      </c>
      <c r="O6685" s="2"/>
      <c r="P6685" s="758" t="s">
        <v>1679</v>
      </c>
    </row>
    <row r="6686" spans="1:18" ht="19.5" hidden="1" thickBot="1" x14ac:dyDescent="0.3">
      <c r="A6686" s="958"/>
      <c r="B6686" s="813" t="s">
        <v>1615</v>
      </c>
      <c r="C6686" s="814" t="s">
        <v>15</v>
      </c>
      <c r="D6686" s="815">
        <v>0.7</v>
      </c>
      <c r="E6686" s="815">
        <v>0.71299999999999997</v>
      </c>
      <c r="F6686" s="816" t="s">
        <v>16</v>
      </c>
      <c r="G6686" s="817" t="s">
        <v>76</v>
      </c>
      <c r="H6686" s="816" t="s">
        <v>1615</v>
      </c>
      <c r="I6686" s="816" t="s">
        <v>1635</v>
      </c>
      <c r="J6686" s="818"/>
      <c r="K6686" s="816" t="str">
        <f t="shared" si="202"/>
        <v>07,26</v>
      </c>
      <c r="L6686" s="816" t="s">
        <v>28</v>
      </c>
      <c r="M6686" s="816">
        <v>720</v>
      </c>
      <c r="N6686" s="811">
        <v>0.45833333333333331</v>
      </c>
      <c r="O6686" s="2"/>
      <c r="P6686" s="758" t="s">
        <v>1680</v>
      </c>
    </row>
    <row r="6687" spans="1:18" ht="19.5" hidden="1" thickBot="1" x14ac:dyDescent="0.3">
      <c r="A6687" s="959"/>
      <c r="B6687" s="826" t="s">
        <v>1615</v>
      </c>
      <c r="C6687" s="827" t="s">
        <v>24</v>
      </c>
      <c r="D6687" s="828">
        <v>1</v>
      </c>
      <c r="E6687" s="828">
        <v>1.0109999999999999</v>
      </c>
      <c r="F6687" s="829" t="s">
        <v>16</v>
      </c>
      <c r="G6687" s="830" t="s">
        <v>76</v>
      </c>
      <c r="H6687" s="829" t="s">
        <v>1615</v>
      </c>
      <c r="I6687" s="829" t="s">
        <v>1635</v>
      </c>
      <c r="J6687" s="831"/>
      <c r="K6687" s="829" t="str">
        <f t="shared" si="202"/>
        <v>07,26</v>
      </c>
      <c r="L6687" s="829" t="s">
        <v>28</v>
      </c>
      <c r="M6687" s="829">
        <v>1020</v>
      </c>
      <c r="N6687" s="644">
        <v>0.45833333333333331</v>
      </c>
      <c r="O6687" s="2"/>
      <c r="P6687" s="758" t="s">
        <v>1681</v>
      </c>
    </row>
    <row r="6688" spans="1:18" ht="19.5" hidden="1" thickBot="1" x14ac:dyDescent="0.3">
      <c r="A6688" s="960">
        <f>MAX(A6667:A6687)+1</f>
        <v>4204</v>
      </c>
      <c r="B6688" s="610" t="s">
        <v>1595</v>
      </c>
      <c r="C6688" s="480" t="s">
        <v>47</v>
      </c>
      <c r="D6688" s="481">
        <v>12.212</v>
      </c>
      <c r="E6688" s="482">
        <v>9.7059999999999995</v>
      </c>
      <c r="F6688" s="483" t="s">
        <v>16</v>
      </c>
      <c r="G6688" s="549"/>
      <c r="H6688" s="483" t="s">
        <v>1615</v>
      </c>
      <c r="I6688" s="484" t="s">
        <v>1631</v>
      </c>
      <c r="J6688" s="485"/>
      <c r="K6688" s="483" t="str">
        <f t="shared" si="202"/>
        <v>07,26</v>
      </c>
      <c r="L6688" s="483" t="s">
        <v>28</v>
      </c>
      <c r="M6688" s="483">
        <v>12306.62</v>
      </c>
      <c r="N6688" s="486">
        <v>0.5</v>
      </c>
      <c r="O6688" s="2"/>
      <c r="P6688" s="758" t="s">
        <v>1662</v>
      </c>
    </row>
    <row r="6689" spans="1:17" ht="19.5" hidden="1" thickBot="1" x14ac:dyDescent="0.3">
      <c r="A6689" s="961"/>
      <c r="B6689" s="769" t="s">
        <v>1595</v>
      </c>
      <c r="C6689" s="764" t="s">
        <v>41</v>
      </c>
      <c r="D6689" s="765">
        <v>4.92</v>
      </c>
      <c r="E6689" s="766">
        <v>4.53</v>
      </c>
      <c r="F6689" s="763" t="s">
        <v>16</v>
      </c>
      <c r="G6689" s="767"/>
      <c r="H6689" s="763" t="s">
        <v>1615</v>
      </c>
      <c r="I6689" s="768" t="s">
        <v>1631</v>
      </c>
      <c r="J6689" s="779"/>
      <c r="K6689" s="763" t="str">
        <f t="shared" si="202"/>
        <v>07,26</v>
      </c>
      <c r="L6689" s="763" t="s">
        <v>266</v>
      </c>
      <c r="M6689" s="763">
        <v>4962.6000000000004</v>
      </c>
      <c r="N6689" s="770">
        <v>0.5</v>
      </c>
      <c r="O6689" s="2"/>
      <c r="P6689" s="758" t="s">
        <v>1661</v>
      </c>
      <c r="Q6689" s="834"/>
    </row>
    <row r="6690" spans="1:17" ht="19.5" hidden="1" thickBot="1" x14ac:dyDescent="0.3">
      <c r="A6690" s="962"/>
      <c r="B6690" s="792" t="s">
        <v>1615</v>
      </c>
      <c r="C6690" s="793" t="s">
        <v>47</v>
      </c>
      <c r="D6690" s="794">
        <v>2.5</v>
      </c>
      <c r="E6690" s="794">
        <v>2.5449999999999999</v>
      </c>
      <c r="F6690" s="795" t="s">
        <v>16</v>
      </c>
      <c r="G6690" s="796" t="s">
        <v>76</v>
      </c>
      <c r="H6690" s="795" t="s">
        <v>1615</v>
      </c>
      <c r="I6690" s="795" t="s">
        <v>1631</v>
      </c>
      <c r="J6690" s="797"/>
      <c r="K6690" s="795" t="str">
        <f t="shared" si="202"/>
        <v>07,26</v>
      </c>
      <c r="L6690" s="795" t="s">
        <v>28</v>
      </c>
      <c r="M6690" s="795">
        <v>2524.8000000000002</v>
      </c>
      <c r="N6690" s="502">
        <v>0.5</v>
      </c>
      <c r="O6690" s="2"/>
      <c r="P6690" s="758" t="s">
        <v>1663</v>
      </c>
      <c r="Q6690" s="834"/>
    </row>
    <row r="6691" spans="1:17" ht="19.5" hidden="1" thickBot="1" x14ac:dyDescent="0.3">
      <c r="A6691" s="957">
        <f>MAX(A6670:A6690)+1</f>
        <v>4205</v>
      </c>
      <c r="B6691" s="759" t="s">
        <v>1595</v>
      </c>
      <c r="C6691" s="532" t="s">
        <v>23</v>
      </c>
      <c r="D6691" s="533">
        <v>17.202000000000002</v>
      </c>
      <c r="E6691" s="534">
        <v>12.946999999999999</v>
      </c>
      <c r="F6691" s="535" t="s">
        <v>16</v>
      </c>
      <c r="G6691" s="536"/>
      <c r="H6691" s="535" t="s">
        <v>1615</v>
      </c>
      <c r="I6691" s="537" t="s">
        <v>1620</v>
      </c>
      <c r="J6691" s="538"/>
      <c r="K6691" s="535" t="str">
        <f t="shared" si="202"/>
        <v>07,26</v>
      </c>
      <c r="L6691" s="535" t="s">
        <v>28</v>
      </c>
      <c r="M6691" s="535">
        <v>17353.440000000002</v>
      </c>
      <c r="N6691" s="539">
        <v>0.54166666666666663</v>
      </c>
      <c r="O6691" s="2"/>
      <c r="P6691" s="758" t="s">
        <v>1640</v>
      </c>
    </row>
    <row r="6692" spans="1:17" ht="19.5" hidden="1" thickBot="1" x14ac:dyDescent="0.3">
      <c r="A6692" s="959"/>
      <c r="B6692" s="785" t="s">
        <v>1615</v>
      </c>
      <c r="C6692" s="786" t="s">
        <v>23</v>
      </c>
      <c r="D6692" s="787">
        <v>4</v>
      </c>
      <c r="E6692" s="787">
        <v>4.0209999999999999</v>
      </c>
      <c r="F6692" s="788" t="s">
        <v>16</v>
      </c>
      <c r="G6692" s="789" t="s">
        <v>76</v>
      </c>
      <c r="H6692" s="788" t="s">
        <v>1615</v>
      </c>
      <c r="I6692" s="788" t="s">
        <v>1620</v>
      </c>
      <c r="J6692" s="790"/>
      <c r="K6692" s="788" t="str">
        <f t="shared" si="202"/>
        <v>07,26</v>
      </c>
      <c r="L6692" s="788" t="s">
        <v>28</v>
      </c>
      <c r="M6692" s="788">
        <v>4020</v>
      </c>
      <c r="N6692" s="784">
        <v>0.54166666666666663</v>
      </c>
      <c r="O6692" s="2"/>
      <c r="P6692" s="758" t="s">
        <v>1639</v>
      </c>
    </row>
    <row r="6693" spans="1:17" ht="19.5" hidden="1" thickBot="1" x14ac:dyDescent="0.3">
      <c r="A6693" s="960">
        <f>MAX(A6672:A6692)+1</f>
        <v>4206</v>
      </c>
      <c r="B6693" s="610" t="s">
        <v>1595</v>
      </c>
      <c r="C6693" s="480" t="s">
        <v>47</v>
      </c>
      <c r="D6693" s="481">
        <v>17.206</v>
      </c>
      <c r="E6693" s="482">
        <v>14.01</v>
      </c>
      <c r="F6693" s="483" t="s">
        <v>16</v>
      </c>
      <c r="G6693" s="549"/>
      <c r="H6693" s="483" t="s">
        <v>1615</v>
      </c>
      <c r="I6693" s="484" t="s">
        <v>1615</v>
      </c>
      <c r="J6693" s="485"/>
      <c r="K6693" s="483" t="str">
        <f t="shared" si="202"/>
        <v>07,26</v>
      </c>
      <c r="L6693" s="483" t="s">
        <v>28</v>
      </c>
      <c r="M6693" s="483">
        <v>17455.91</v>
      </c>
      <c r="N6693" s="486">
        <v>0.58333333333333337</v>
      </c>
      <c r="O6693" s="2"/>
      <c r="P6693" s="758" t="s">
        <v>1641</v>
      </c>
    </row>
    <row r="6694" spans="1:17" ht="19.5" hidden="1" thickBot="1" x14ac:dyDescent="0.3">
      <c r="A6694" s="962"/>
      <c r="B6694" s="805" t="s">
        <v>1615</v>
      </c>
      <c r="C6694" s="806" t="s">
        <v>47</v>
      </c>
      <c r="D6694" s="807">
        <v>2.8</v>
      </c>
      <c r="E6694" s="807">
        <v>2.8319999999999999</v>
      </c>
      <c r="F6694" s="808" t="s">
        <v>16</v>
      </c>
      <c r="G6694" s="809" t="s">
        <v>76</v>
      </c>
      <c r="H6694" s="808" t="s">
        <v>1615</v>
      </c>
      <c r="I6694" s="808" t="s">
        <v>1615</v>
      </c>
      <c r="J6694" s="810"/>
      <c r="K6694" s="808" t="str">
        <f t="shared" si="202"/>
        <v>07,26</v>
      </c>
      <c r="L6694" s="808" t="s">
        <v>28</v>
      </c>
      <c r="M6694" s="808">
        <v>2820</v>
      </c>
      <c r="N6694" s="778">
        <v>0.58333333333333337</v>
      </c>
      <c r="O6694" s="2"/>
      <c r="P6694" s="758" t="s">
        <v>1642</v>
      </c>
    </row>
    <row r="6695" spans="1:17" ht="19.5" hidden="1" thickBot="1" x14ac:dyDescent="0.3">
      <c r="A6695" s="957">
        <f>MAX(A6673:A6694)+1</f>
        <v>4207</v>
      </c>
      <c r="B6695" s="760" t="s">
        <v>1601</v>
      </c>
      <c r="C6695" s="564" t="s">
        <v>26</v>
      </c>
      <c r="D6695" s="565">
        <v>16.431000000000001</v>
      </c>
      <c r="E6695" s="566">
        <v>14.638</v>
      </c>
      <c r="F6695" s="567" t="s">
        <v>16</v>
      </c>
      <c r="G6695" s="568"/>
      <c r="H6695" s="567" t="s">
        <v>1620</v>
      </c>
      <c r="I6695" s="569" t="s">
        <v>1620</v>
      </c>
      <c r="J6695" s="570"/>
      <c r="K6695" s="567" t="str">
        <f t="shared" si="202"/>
        <v>07,26</v>
      </c>
      <c r="L6695" s="567" t="s">
        <v>265</v>
      </c>
      <c r="M6695" s="567">
        <v>16592.62</v>
      </c>
      <c r="N6695" s="571">
        <v>0.375</v>
      </c>
      <c r="O6695" s="2"/>
      <c r="P6695" s="758" t="s">
        <v>1654</v>
      </c>
      <c r="Q6695" s="834"/>
    </row>
    <row r="6696" spans="1:17" ht="19.5" hidden="1" thickBot="1" x14ac:dyDescent="0.3">
      <c r="A6696" s="958"/>
      <c r="B6696" s="813" t="s">
        <v>1614</v>
      </c>
      <c r="C6696" s="814" t="s">
        <v>26</v>
      </c>
      <c r="D6696" s="815">
        <v>3.5</v>
      </c>
      <c r="E6696" s="815">
        <v>1.8009999999999999</v>
      </c>
      <c r="F6696" s="816" t="s">
        <v>16</v>
      </c>
      <c r="G6696" s="817" t="s">
        <v>76</v>
      </c>
      <c r="H6696" s="816" t="s">
        <v>1620</v>
      </c>
      <c r="I6696" s="816" t="s">
        <v>1620</v>
      </c>
      <c r="J6696" s="818"/>
      <c r="K6696" s="816" t="str">
        <f t="shared" si="202"/>
        <v>07,26</v>
      </c>
      <c r="L6696" s="816" t="s">
        <v>265</v>
      </c>
      <c r="M6696" s="816">
        <v>3510</v>
      </c>
      <c r="N6696" s="811">
        <v>0.375</v>
      </c>
      <c r="O6696" s="2"/>
      <c r="P6696" s="758" t="s">
        <v>1655</v>
      </c>
      <c r="Q6696" s="834"/>
    </row>
    <row r="6697" spans="1:17" ht="32.25" hidden="1" thickBot="1" x14ac:dyDescent="0.3">
      <c r="A6697" s="959"/>
      <c r="B6697" s="812" t="s">
        <v>1601</v>
      </c>
      <c r="C6697" s="637" t="s">
        <v>952</v>
      </c>
      <c r="D6697" s="638">
        <v>1.1100000000000001</v>
      </c>
      <c r="E6697" s="639">
        <v>1.0609999999999999</v>
      </c>
      <c r="F6697" s="640" t="s">
        <v>16</v>
      </c>
      <c r="G6697" s="641"/>
      <c r="H6697" s="640" t="s">
        <v>1620</v>
      </c>
      <c r="I6697" s="642" t="s">
        <v>1620</v>
      </c>
      <c r="J6697" s="643"/>
      <c r="K6697" s="640" t="str">
        <f t="shared" si="202"/>
        <v>07,26</v>
      </c>
      <c r="L6697" s="640" t="s">
        <v>265</v>
      </c>
      <c r="M6697" s="640">
        <v>1164.54</v>
      </c>
      <c r="N6697" s="644">
        <v>0.375</v>
      </c>
      <c r="O6697" s="2"/>
      <c r="P6697" s="758" t="s">
        <v>1653</v>
      </c>
      <c r="Q6697" s="834"/>
    </row>
    <row r="6698" spans="1:17" ht="19.5" hidden="1" thickBot="1" x14ac:dyDescent="0.3">
      <c r="A6698" s="960">
        <f>MAX(A6676:A6697)+1</f>
        <v>4208</v>
      </c>
      <c r="B6698" s="610" t="s">
        <v>1601</v>
      </c>
      <c r="C6698" s="480" t="s">
        <v>26</v>
      </c>
      <c r="D6698" s="481">
        <v>17.666</v>
      </c>
      <c r="E6698" s="482">
        <v>15.852</v>
      </c>
      <c r="F6698" s="483" t="s">
        <v>16</v>
      </c>
      <c r="G6698" s="549"/>
      <c r="H6698" s="483" t="s">
        <v>1620</v>
      </c>
      <c r="I6698" s="484" t="s">
        <v>1631</v>
      </c>
      <c r="J6698" s="485"/>
      <c r="K6698" s="483" t="str">
        <f t="shared" si="202"/>
        <v>07,26</v>
      </c>
      <c r="L6698" s="483" t="s">
        <v>265</v>
      </c>
      <c r="M6698" s="483">
        <v>17862.260000000002</v>
      </c>
      <c r="N6698" s="486">
        <v>0.41666666666666669</v>
      </c>
      <c r="O6698" s="2"/>
      <c r="P6698" s="758" t="s">
        <v>1676</v>
      </c>
      <c r="Q6698" s="834"/>
    </row>
    <row r="6699" spans="1:17" ht="18.75" hidden="1" customHeight="1" thickBot="1" x14ac:dyDescent="0.3">
      <c r="A6699" s="962"/>
      <c r="B6699" s="805" t="s">
        <v>1614</v>
      </c>
      <c r="C6699" s="806" t="s">
        <v>26</v>
      </c>
      <c r="D6699" s="807">
        <v>4.3</v>
      </c>
      <c r="E6699" s="807">
        <v>1.7050000000000001</v>
      </c>
      <c r="F6699" s="808" t="s">
        <v>16</v>
      </c>
      <c r="G6699" s="809"/>
      <c r="H6699" s="808" t="s">
        <v>1620</v>
      </c>
      <c r="I6699" s="808" t="s">
        <v>1631</v>
      </c>
      <c r="J6699" s="810"/>
      <c r="K6699" s="808" t="str">
        <f t="shared" si="202"/>
        <v>07,26</v>
      </c>
      <c r="L6699" s="808" t="s">
        <v>265</v>
      </c>
      <c r="M6699" s="808">
        <v>4305</v>
      </c>
      <c r="N6699" s="778">
        <v>0.41666666666666669</v>
      </c>
      <c r="O6699" s="2"/>
      <c r="P6699" s="758" t="s">
        <v>1677</v>
      </c>
      <c r="Q6699" s="834"/>
    </row>
    <row r="6700" spans="1:17" ht="19.5" hidden="1" thickBot="1" x14ac:dyDescent="0.3">
      <c r="A6700" s="957">
        <f>MAX(A6677:A6699)+1</f>
        <v>4209</v>
      </c>
      <c r="B6700" s="759" t="s">
        <v>1601</v>
      </c>
      <c r="C6700" s="532" t="s">
        <v>913</v>
      </c>
      <c r="D6700" s="533">
        <v>3.4249999999999998</v>
      </c>
      <c r="E6700" s="534">
        <v>2.68</v>
      </c>
      <c r="F6700" s="535" t="s">
        <v>16</v>
      </c>
      <c r="G6700" s="536"/>
      <c r="H6700" s="535" t="s">
        <v>1620</v>
      </c>
      <c r="I6700" s="537" t="s">
        <v>1620</v>
      </c>
      <c r="J6700" s="538"/>
      <c r="K6700" s="535" t="str">
        <f t="shared" si="202"/>
        <v>07,26</v>
      </c>
      <c r="L6700" s="535" t="s">
        <v>266</v>
      </c>
      <c r="M6700" s="535">
        <v>3459.63</v>
      </c>
      <c r="N6700" s="539">
        <v>0.45833333333333331</v>
      </c>
      <c r="O6700" s="2"/>
      <c r="P6700" s="758" t="s">
        <v>1636</v>
      </c>
      <c r="Q6700" s="834"/>
    </row>
    <row r="6701" spans="1:17" ht="19.5" hidden="1" thickBot="1" x14ac:dyDescent="0.3">
      <c r="A6701" s="958"/>
      <c r="B6701" s="813" t="s">
        <v>1614</v>
      </c>
      <c r="C6701" s="814" t="s">
        <v>23</v>
      </c>
      <c r="D6701" s="815">
        <v>4</v>
      </c>
      <c r="E6701" s="815">
        <v>4.0439999999999996</v>
      </c>
      <c r="F6701" s="816" t="s">
        <v>16</v>
      </c>
      <c r="G6701" s="817"/>
      <c r="H6701" s="816" t="s">
        <v>1620</v>
      </c>
      <c r="I6701" s="816" t="s">
        <v>1620</v>
      </c>
      <c r="J6701" s="818"/>
      <c r="K6701" s="816" t="str">
        <f t="shared" si="202"/>
        <v>07,26</v>
      </c>
      <c r="L6701" s="816" t="s">
        <v>28</v>
      </c>
      <c r="M6701" s="816">
        <v>4022.4</v>
      </c>
      <c r="N6701" s="811">
        <v>0.45833333333333331</v>
      </c>
      <c r="O6701" s="2"/>
      <c r="P6701" s="758" t="s">
        <v>1638</v>
      </c>
    </row>
    <row r="6702" spans="1:17" ht="19.5" hidden="1" thickBot="1" x14ac:dyDescent="0.3">
      <c r="A6702" s="959"/>
      <c r="B6702" s="812" t="s">
        <v>1601</v>
      </c>
      <c r="C6702" s="637" t="s">
        <v>23</v>
      </c>
      <c r="D6702" s="638">
        <v>13.865</v>
      </c>
      <c r="E6702" s="639">
        <v>9.4429999999999996</v>
      </c>
      <c r="F6702" s="640" t="s">
        <v>16</v>
      </c>
      <c r="G6702" s="641"/>
      <c r="H6702" s="640" t="s">
        <v>1620</v>
      </c>
      <c r="I6702" s="642" t="s">
        <v>1620</v>
      </c>
      <c r="J6702" s="643"/>
      <c r="K6702" s="640" t="str">
        <f t="shared" si="202"/>
        <v>07,26</v>
      </c>
      <c r="L6702" s="640" t="s">
        <v>28</v>
      </c>
      <c r="M6702" s="640">
        <v>13946.94</v>
      </c>
      <c r="N6702" s="644">
        <v>0.45833333333333331</v>
      </c>
      <c r="O6702" s="2"/>
      <c r="P6702" s="758" t="s">
        <v>1637</v>
      </c>
    </row>
    <row r="6703" spans="1:17" ht="57" hidden="1" thickBot="1" x14ac:dyDescent="0.3">
      <c r="A6703" s="954">
        <f>MAX(A6679:A6702)+1</f>
        <v>4210</v>
      </c>
      <c r="B6703" s="479" t="s">
        <v>1601</v>
      </c>
      <c r="C6703" s="480" t="s">
        <v>587</v>
      </c>
      <c r="D6703" s="481">
        <v>0.51700000000000002</v>
      </c>
      <c r="E6703" s="482">
        <v>0.21299999999999999</v>
      </c>
      <c r="F6703" s="483" t="s">
        <v>16</v>
      </c>
      <c r="G6703" s="549" t="s">
        <v>794</v>
      </c>
      <c r="H6703" s="483" t="s">
        <v>1620</v>
      </c>
      <c r="I6703" s="484" t="s">
        <v>1631</v>
      </c>
      <c r="J6703" s="485"/>
      <c r="K6703" s="483" t="str">
        <f t="shared" si="202"/>
        <v>07,26</v>
      </c>
      <c r="L6703" s="483" t="s">
        <v>28</v>
      </c>
      <c r="M6703" s="483">
        <v>517.44000000000005</v>
      </c>
      <c r="N6703" s="486">
        <v>0.5</v>
      </c>
      <c r="O6703" s="2"/>
      <c r="P6703" s="867" t="s">
        <v>1666</v>
      </c>
    </row>
    <row r="6704" spans="1:17" ht="19.5" hidden="1" thickBot="1" x14ac:dyDescent="0.3">
      <c r="A6704" s="955"/>
      <c r="B6704" s="523" t="s">
        <v>1601</v>
      </c>
      <c r="C6704" s="524" t="s">
        <v>587</v>
      </c>
      <c r="D6704" s="525">
        <v>8.2680000000000007</v>
      </c>
      <c r="E6704" s="526">
        <v>7.1180000000000003</v>
      </c>
      <c r="F6704" s="527" t="s">
        <v>16</v>
      </c>
      <c r="G6704" s="561" t="s">
        <v>47</v>
      </c>
      <c r="H6704" s="527" t="s">
        <v>1620</v>
      </c>
      <c r="I6704" s="528" t="s">
        <v>1631</v>
      </c>
      <c r="J6704" s="529"/>
      <c r="K6704" s="527" t="str">
        <f t="shared" si="202"/>
        <v>07,26</v>
      </c>
      <c r="L6704" s="527" t="s">
        <v>28</v>
      </c>
      <c r="M6704" s="527">
        <v>8268.52</v>
      </c>
      <c r="N6704" s="530">
        <v>0.5</v>
      </c>
      <c r="O6704" s="2"/>
      <c r="P6704" s="867" t="s">
        <v>1667</v>
      </c>
    </row>
    <row r="6705" spans="1:17" ht="19.5" hidden="1" thickBot="1" x14ac:dyDescent="0.3">
      <c r="A6705" s="955"/>
      <c r="B6705" s="495" t="s">
        <v>1601</v>
      </c>
      <c r="C6705" s="496" t="s">
        <v>47</v>
      </c>
      <c r="D6705" s="497">
        <v>8.4</v>
      </c>
      <c r="E6705" s="498">
        <v>5.4349999999999996</v>
      </c>
      <c r="F6705" s="499" t="s">
        <v>16</v>
      </c>
      <c r="G6705" s="562"/>
      <c r="H6705" s="499" t="s">
        <v>1620</v>
      </c>
      <c r="I6705" s="500" t="s">
        <v>1631</v>
      </c>
      <c r="J6705" s="501"/>
      <c r="K6705" s="499" t="str">
        <f t="shared" si="202"/>
        <v>07,26</v>
      </c>
      <c r="L6705" s="499" t="s">
        <v>28</v>
      </c>
      <c r="M6705" s="499">
        <v>8438.4</v>
      </c>
      <c r="N6705" s="502">
        <v>0.5</v>
      </c>
      <c r="O6705" s="2"/>
      <c r="P6705" s="867" t="s">
        <v>1668</v>
      </c>
    </row>
    <row r="6706" spans="1:17" ht="19.5" hidden="1" thickBot="1" x14ac:dyDescent="0.3">
      <c r="A6706" s="955"/>
      <c r="B6706" s="805" t="s">
        <v>1631</v>
      </c>
      <c r="C6706" s="806" t="s">
        <v>47</v>
      </c>
      <c r="D6706" s="807">
        <v>4</v>
      </c>
      <c r="E6706" s="807" t="s">
        <v>1496</v>
      </c>
      <c r="F6706" s="808" t="s">
        <v>16</v>
      </c>
      <c r="G6706" s="809" t="s">
        <v>76</v>
      </c>
      <c r="H6706" s="808" t="s">
        <v>1620</v>
      </c>
      <c r="I6706" s="808" t="s">
        <v>1496</v>
      </c>
      <c r="J6706" s="810"/>
      <c r="K6706" s="808" t="str">
        <f t="shared" si="202"/>
        <v>тмена</v>
      </c>
      <c r="L6706" s="808" t="s">
        <v>28</v>
      </c>
      <c r="M6706" s="808">
        <v>4020</v>
      </c>
      <c r="N6706" s="778">
        <v>0.5</v>
      </c>
      <c r="O6706" s="2"/>
      <c r="P6706" s="867" t="s">
        <v>1024</v>
      </c>
    </row>
    <row r="6707" spans="1:17" ht="19.5" hidden="1" thickBot="1" x14ac:dyDescent="0.3">
      <c r="A6707" s="503">
        <f>MAX(A6684:A6706)+1</f>
        <v>4211</v>
      </c>
      <c r="B6707" s="504" t="s">
        <v>1614</v>
      </c>
      <c r="C6707" s="505" t="s">
        <v>32</v>
      </c>
      <c r="D6707" s="506">
        <v>17.959</v>
      </c>
      <c r="E6707" s="507">
        <v>16.515000000000001</v>
      </c>
      <c r="F6707" s="508" t="s">
        <v>16</v>
      </c>
      <c r="G6707" s="509"/>
      <c r="H6707" s="508" t="s">
        <v>1620</v>
      </c>
      <c r="I6707" s="510" t="s">
        <v>1620</v>
      </c>
      <c r="J6707" s="511"/>
      <c r="K6707" s="508" t="str">
        <f t="shared" si="202"/>
        <v>07,26</v>
      </c>
      <c r="L6707" s="508" t="s">
        <v>266</v>
      </c>
      <c r="M6707" s="508">
        <v>18025.18</v>
      </c>
      <c r="N6707" s="512">
        <v>0.54166666666666663</v>
      </c>
      <c r="O6707" s="2"/>
      <c r="P6707" s="867" t="s">
        <v>1656</v>
      </c>
    </row>
    <row r="6708" spans="1:17" ht="19.5" hidden="1" thickBot="1" x14ac:dyDescent="0.3">
      <c r="A6708" s="513">
        <f>MAX(A6687:A6707)+1</f>
        <v>4212</v>
      </c>
      <c r="B6708" s="514" t="s">
        <v>1614</v>
      </c>
      <c r="C6708" s="515" t="s">
        <v>26</v>
      </c>
      <c r="D6708" s="516">
        <v>12.032999999999999</v>
      </c>
      <c r="E6708" s="517">
        <v>12.032999999999999</v>
      </c>
      <c r="F6708" s="518" t="s">
        <v>30</v>
      </c>
      <c r="G6708" s="519"/>
      <c r="H6708" s="518" t="s">
        <v>1620</v>
      </c>
      <c r="I6708" s="520" t="s">
        <v>1620</v>
      </c>
      <c r="J6708" s="521"/>
      <c r="K6708" s="518" t="str">
        <f t="shared" si="202"/>
        <v>07,26</v>
      </c>
      <c r="L6708" s="518" t="s">
        <v>265</v>
      </c>
      <c r="M6708" s="518">
        <v>12033.279999999999</v>
      </c>
      <c r="N6708" s="522">
        <v>0.375</v>
      </c>
      <c r="O6708" s="2"/>
      <c r="P6708" s="867" t="s">
        <v>1659</v>
      </c>
    </row>
    <row r="6709" spans="1:17" ht="19.5" hidden="1" thickBot="1" x14ac:dyDescent="0.3">
      <c r="A6709" s="966">
        <f>MAX(A6688:A6708)+1</f>
        <v>4213</v>
      </c>
      <c r="B6709" s="531" t="s">
        <v>1614</v>
      </c>
      <c r="C6709" s="532" t="s">
        <v>26</v>
      </c>
      <c r="D6709" s="533">
        <v>12.714</v>
      </c>
      <c r="E6709" s="534">
        <f>10.61+0.3</f>
        <v>10.91</v>
      </c>
      <c r="F6709" s="535" t="s">
        <v>16</v>
      </c>
      <c r="G6709" s="536"/>
      <c r="H6709" s="535" t="s">
        <v>1631</v>
      </c>
      <c r="I6709" s="537" t="s">
        <v>1635</v>
      </c>
      <c r="J6709" s="538"/>
      <c r="K6709" s="535" t="str">
        <f t="shared" si="202"/>
        <v>07,26</v>
      </c>
      <c r="L6709" s="535" t="s">
        <v>265</v>
      </c>
      <c r="M6709" s="535">
        <v>12827.199999999999</v>
      </c>
      <c r="N6709" s="539">
        <v>0.375</v>
      </c>
      <c r="O6709" s="2"/>
      <c r="P6709" s="867" t="s">
        <v>1673</v>
      </c>
      <c r="Q6709" s="847" t="s">
        <v>1675</v>
      </c>
    </row>
    <row r="6710" spans="1:17" ht="19.5" hidden="1" thickBot="1" x14ac:dyDescent="0.3">
      <c r="A6710" s="967"/>
      <c r="B6710" s="563" t="s">
        <v>1614</v>
      </c>
      <c r="C6710" s="564" t="s">
        <v>1358</v>
      </c>
      <c r="D6710" s="565">
        <v>2.7949999999999999</v>
      </c>
      <c r="E6710" s="566">
        <v>2.7029999999999998</v>
      </c>
      <c r="F6710" s="567" t="s">
        <v>16</v>
      </c>
      <c r="G6710" s="568" t="s">
        <v>844</v>
      </c>
      <c r="H6710" s="567" t="s">
        <v>1631</v>
      </c>
      <c r="I6710" s="569" t="s">
        <v>1635</v>
      </c>
      <c r="J6710" s="570"/>
      <c r="K6710" s="567" t="str">
        <f t="shared" si="202"/>
        <v>07,26</v>
      </c>
      <c r="L6710" s="567" t="s">
        <v>265</v>
      </c>
      <c r="M6710" s="567">
        <v>2894.42</v>
      </c>
      <c r="N6710" s="571">
        <v>0.375</v>
      </c>
      <c r="O6710" s="2"/>
      <c r="P6710" s="867" t="s">
        <v>1671</v>
      </c>
    </row>
    <row r="6711" spans="1:17" ht="19.5" hidden="1" thickBot="1" x14ac:dyDescent="0.3">
      <c r="A6711" s="967"/>
      <c r="B6711" s="563" t="s">
        <v>1614</v>
      </c>
      <c r="C6711" s="564" t="s">
        <v>1358</v>
      </c>
      <c r="D6711" s="565">
        <v>1.8149999999999999</v>
      </c>
      <c r="E6711" s="566">
        <v>1.6559999999999999</v>
      </c>
      <c r="F6711" s="567" t="s">
        <v>16</v>
      </c>
      <c r="G6711" s="568" t="s">
        <v>845</v>
      </c>
      <c r="H6711" s="567" t="s">
        <v>1631</v>
      </c>
      <c r="I6711" s="569" t="s">
        <v>1631</v>
      </c>
      <c r="J6711" s="570"/>
      <c r="K6711" s="567" t="str">
        <f t="shared" si="202"/>
        <v>07,26</v>
      </c>
      <c r="L6711" s="567" t="s">
        <v>265</v>
      </c>
      <c r="M6711" s="567">
        <v>1925.24</v>
      </c>
      <c r="N6711" s="571">
        <v>0.375</v>
      </c>
      <c r="O6711" s="2"/>
      <c r="P6711" s="867" t="s">
        <v>1672</v>
      </c>
    </row>
    <row r="6712" spans="1:17" ht="19.5" hidden="1" thickBot="1" x14ac:dyDescent="0.3">
      <c r="A6712" s="968"/>
      <c r="B6712" s="832" t="s">
        <v>1615</v>
      </c>
      <c r="C6712" s="827" t="s">
        <v>26</v>
      </c>
      <c r="D6712" s="828">
        <v>2</v>
      </c>
      <c r="E6712" s="828">
        <v>2.0179999999999998</v>
      </c>
      <c r="F6712" s="829" t="s">
        <v>16</v>
      </c>
      <c r="G6712" s="830" t="s">
        <v>76</v>
      </c>
      <c r="H6712" s="829" t="s">
        <v>1631</v>
      </c>
      <c r="I6712" s="829" t="s">
        <v>1635</v>
      </c>
      <c r="J6712" s="831"/>
      <c r="K6712" s="829" t="str">
        <f t="shared" si="202"/>
        <v>07,26</v>
      </c>
      <c r="L6712" s="829" t="s">
        <v>265</v>
      </c>
      <c r="M6712" s="829">
        <v>2010</v>
      </c>
      <c r="N6712" s="644">
        <v>0.375</v>
      </c>
      <c r="O6712" s="2"/>
      <c r="P6712" s="867" t="s">
        <v>1674</v>
      </c>
    </row>
    <row r="6713" spans="1:17" ht="19.5" hidden="1" thickBot="1" x14ac:dyDescent="0.3">
      <c r="A6713" s="960">
        <f>MAX(A6693:A6712)+1</f>
        <v>4214</v>
      </c>
      <c r="B6713" s="610" t="s">
        <v>1614</v>
      </c>
      <c r="C6713" s="480" t="s">
        <v>26</v>
      </c>
      <c r="D6713" s="481">
        <v>17.507000000000001</v>
      </c>
      <c r="E6713" s="482">
        <v>15.074</v>
      </c>
      <c r="F6713" s="483" t="s">
        <v>16</v>
      </c>
      <c r="G6713" s="549"/>
      <c r="H6713" s="483" t="s">
        <v>1631</v>
      </c>
      <c r="I6713" s="484" t="s">
        <v>1635</v>
      </c>
      <c r="J6713" s="485"/>
      <c r="K6713" s="483" t="str">
        <f t="shared" si="202"/>
        <v>07,26</v>
      </c>
      <c r="L6713" s="483" t="s">
        <v>265</v>
      </c>
      <c r="M6713" s="483">
        <v>17672.740000000002</v>
      </c>
      <c r="N6713" s="486">
        <v>0.41666666666666669</v>
      </c>
      <c r="O6713" s="2"/>
      <c r="P6713" s="867" t="s">
        <v>1698</v>
      </c>
    </row>
    <row r="6714" spans="1:17" ht="19.5" hidden="1" thickBot="1" x14ac:dyDescent="0.3">
      <c r="A6714" s="962"/>
      <c r="B6714" s="805" t="s">
        <v>1615</v>
      </c>
      <c r="C6714" s="806" t="s">
        <v>26</v>
      </c>
      <c r="D6714" s="807">
        <v>2.2000000000000002</v>
      </c>
      <c r="E6714" s="807">
        <v>2.2309999999999999</v>
      </c>
      <c r="F6714" s="808" t="s">
        <v>16</v>
      </c>
      <c r="G6714" s="809" t="s">
        <v>76</v>
      </c>
      <c r="H6714" s="808" t="s">
        <v>1631</v>
      </c>
      <c r="I6714" s="808" t="s">
        <v>1635</v>
      </c>
      <c r="J6714" s="810"/>
      <c r="K6714" s="808" t="str">
        <f t="shared" si="202"/>
        <v>07,26</v>
      </c>
      <c r="L6714" s="808" t="s">
        <v>265</v>
      </c>
      <c r="M6714" s="808">
        <v>2220</v>
      </c>
      <c r="N6714" s="778">
        <v>0.41666666666666669</v>
      </c>
      <c r="O6714" s="2"/>
      <c r="P6714" s="867" t="s">
        <v>1699</v>
      </c>
    </row>
    <row r="6715" spans="1:17" ht="19.5" hidden="1" thickBot="1" x14ac:dyDescent="0.3">
      <c r="A6715" s="503">
        <f>MAX(A6695:A6713)+1</f>
        <v>4215</v>
      </c>
      <c r="B6715" s="504" t="s">
        <v>1614</v>
      </c>
      <c r="C6715" s="505" t="s">
        <v>23</v>
      </c>
      <c r="D6715" s="506">
        <v>11.225</v>
      </c>
      <c r="E6715" s="507">
        <v>11.225</v>
      </c>
      <c r="F6715" s="508" t="s">
        <v>30</v>
      </c>
      <c r="G6715" s="509"/>
      <c r="H6715" s="508" t="s">
        <v>1631</v>
      </c>
      <c r="I6715" s="510" t="s">
        <v>1631</v>
      </c>
      <c r="J6715" s="511"/>
      <c r="K6715" s="508" t="str">
        <f t="shared" si="202"/>
        <v>07,26</v>
      </c>
      <c r="L6715" s="508" t="s">
        <v>28</v>
      </c>
      <c r="M6715" s="508">
        <v>11225.12</v>
      </c>
      <c r="N6715" s="512">
        <v>0.41666666666666669</v>
      </c>
      <c r="O6715" s="2"/>
      <c r="P6715" s="867" t="s">
        <v>1660</v>
      </c>
    </row>
    <row r="6716" spans="1:17" ht="57" hidden="1" thickBot="1" x14ac:dyDescent="0.3">
      <c r="A6716" s="513">
        <f>MAX(A6697:A6715)+1</f>
        <v>4216</v>
      </c>
      <c r="B6716" s="514" t="s">
        <v>1614</v>
      </c>
      <c r="C6716" s="515" t="s">
        <v>587</v>
      </c>
      <c r="D6716" s="516">
        <v>11.345000000000001</v>
      </c>
      <c r="E6716" s="517">
        <v>11.345000000000001</v>
      </c>
      <c r="F6716" s="518" t="s">
        <v>30</v>
      </c>
      <c r="G6716" s="519" t="s">
        <v>1632</v>
      </c>
      <c r="H6716" s="518" t="s">
        <v>1631</v>
      </c>
      <c r="I6716" s="520" t="s">
        <v>1721</v>
      </c>
      <c r="J6716" s="521"/>
      <c r="K6716" s="518" t="str">
        <f t="shared" si="202"/>
        <v>07,26</v>
      </c>
      <c r="L6716" s="518" t="s">
        <v>28</v>
      </c>
      <c r="M6716" s="518">
        <v>11345.68</v>
      </c>
      <c r="N6716" s="522">
        <v>0.45833333333333331</v>
      </c>
      <c r="O6716" s="2"/>
      <c r="P6716" s="867" t="s">
        <v>1758</v>
      </c>
    </row>
    <row r="6717" spans="1:17" ht="19.5" hidden="1" thickBot="1" x14ac:dyDescent="0.3">
      <c r="A6717" s="503">
        <f>MAX(A6698:A6716)+1</f>
        <v>4217</v>
      </c>
      <c r="B6717" s="552" t="s">
        <v>1614</v>
      </c>
      <c r="C6717" s="553" t="s">
        <v>47</v>
      </c>
      <c r="D6717" s="554">
        <v>11.48</v>
      </c>
      <c r="E6717" s="555">
        <v>11.48</v>
      </c>
      <c r="F6717" s="556" t="s">
        <v>30</v>
      </c>
      <c r="G6717" s="557"/>
      <c r="H6717" s="556" t="s">
        <v>1631</v>
      </c>
      <c r="I6717" s="558" t="s">
        <v>1631</v>
      </c>
      <c r="J6717" s="559"/>
      <c r="K6717" s="556" t="str">
        <f t="shared" si="202"/>
        <v>07,26</v>
      </c>
      <c r="L6717" s="556" t="s">
        <v>28</v>
      </c>
      <c r="M6717" s="556">
        <v>11480.960000000001</v>
      </c>
      <c r="N6717" s="560">
        <v>0.5</v>
      </c>
      <c r="O6717" s="2"/>
      <c r="P6717" s="867" t="s">
        <v>1664</v>
      </c>
      <c r="Q6717" s="847" t="s">
        <v>1665</v>
      </c>
    </row>
    <row r="6718" spans="1:17" ht="19.5" hidden="1" thickBot="1" x14ac:dyDescent="0.3">
      <c r="A6718" s="960">
        <f>MAX(A6700:A6717)+1</f>
        <v>4218</v>
      </c>
      <c r="B6718" s="610" t="s">
        <v>1614</v>
      </c>
      <c r="C6718" s="480" t="s">
        <v>24</v>
      </c>
      <c r="D6718" s="481">
        <v>7.7350000000000003</v>
      </c>
      <c r="E6718" s="482">
        <v>6.391</v>
      </c>
      <c r="F6718" s="483" t="s">
        <v>16</v>
      </c>
      <c r="G6718" s="970" t="s">
        <v>1633</v>
      </c>
      <c r="H6718" s="483" t="s">
        <v>1631</v>
      </c>
      <c r="I6718" s="484" t="s">
        <v>1635</v>
      </c>
      <c r="J6718" s="485"/>
      <c r="K6718" s="483" t="str">
        <f t="shared" si="202"/>
        <v>07,26</v>
      </c>
      <c r="L6718" s="483" t="s">
        <v>28</v>
      </c>
      <c r="M6718" s="483">
        <v>7917.2999999999993</v>
      </c>
      <c r="N6718" s="486">
        <v>0.45833333333333331</v>
      </c>
      <c r="O6718" s="2"/>
      <c r="P6718" s="867" t="s">
        <v>1690</v>
      </c>
    </row>
    <row r="6719" spans="1:17" ht="19.5" hidden="1" thickBot="1" x14ac:dyDescent="0.3">
      <c r="A6719" s="961"/>
      <c r="B6719" s="769" t="s">
        <v>1614</v>
      </c>
      <c r="C6719" s="764" t="s">
        <v>15</v>
      </c>
      <c r="D6719" s="765">
        <v>8.0030000000000001</v>
      </c>
      <c r="E6719" s="766">
        <v>8.1620000000000008</v>
      </c>
      <c r="F6719" s="763" t="s">
        <v>16</v>
      </c>
      <c r="G6719" s="971"/>
      <c r="H6719" s="763" t="s">
        <v>1631</v>
      </c>
      <c r="I6719" s="768" t="s">
        <v>1635</v>
      </c>
      <c r="J6719" s="779"/>
      <c r="K6719" s="763" t="str">
        <f t="shared" si="202"/>
        <v>07,26</v>
      </c>
      <c r="L6719" s="763" t="s">
        <v>28</v>
      </c>
      <c r="M6719" s="763">
        <v>8185.32</v>
      </c>
      <c r="N6719" s="770">
        <v>0.45833333333333331</v>
      </c>
      <c r="O6719" s="2"/>
      <c r="P6719" s="867" t="s">
        <v>1689</v>
      </c>
    </row>
    <row r="6720" spans="1:17" ht="19.5" hidden="1" thickBot="1" x14ac:dyDescent="0.3">
      <c r="A6720" s="962"/>
      <c r="B6720" s="805" t="s">
        <v>1631</v>
      </c>
      <c r="C6720" s="806" t="s">
        <v>24</v>
      </c>
      <c r="D6720" s="807">
        <v>1.5</v>
      </c>
      <c r="E6720" s="807">
        <v>1.5249999999999999</v>
      </c>
      <c r="F6720" s="808" t="s">
        <v>16</v>
      </c>
      <c r="G6720" s="972"/>
      <c r="H6720" s="808" t="s">
        <v>1631</v>
      </c>
      <c r="I6720" s="808" t="s">
        <v>1635</v>
      </c>
      <c r="J6720" s="810"/>
      <c r="K6720" s="808" t="str">
        <f t="shared" si="202"/>
        <v>07,26</v>
      </c>
      <c r="L6720" s="808" t="s">
        <v>28</v>
      </c>
      <c r="M6720" s="808">
        <v>1525.2</v>
      </c>
      <c r="N6720" s="778">
        <v>0.45833333333333331</v>
      </c>
      <c r="O6720" s="2"/>
      <c r="P6720" s="867" t="s">
        <v>1691</v>
      </c>
    </row>
    <row r="6721" spans="1:18" ht="19.5" hidden="1" thickBot="1" x14ac:dyDescent="0.3">
      <c r="A6721" s="966">
        <f>MAX(A6703:A6720)+1</f>
        <v>4219</v>
      </c>
      <c r="B6721" s="563" t="s">
        <v>1614</v>
      </c>
      <c r="C6721" s="564" t="s">
        <v>47</v>
      </c>
      <c r="D6721" s="565">
        <v>15.422000000000001</v>
      </c>
      <c r="E6721" s="566">
        <v>14.77</v>
      </c>
      <c r="F6721" s="567" t="s">
        <v>16</v>
      </c>
      <c r="G6721" s="969" t="s">
        <v>1633</v>
      </c>
      <c r="H6721" s="567" t="s">
        <v>1631</v>
      </c>
      <c r="I6721" s="569" t="s">
        <v>1635</v>
      </c>
      <c r="J6721" s="570"/>
      <c r="K6721" s="567" t="str">
        <f t="shared" si="202"/>
        <v>07,26</v>
      </c>
      <c r="L6721" s="567" t="s">
        <v>28</v>
      </c>
      <c r="M6721" s="567">
        <v>15657.02</v>
      </c>
      <c r="N6721" s="571">
        <v>0.5</v>
      </c>
      <c r="O6721" s="2"/>
      <c r="P6721" s="867" t="s">
        <v>1682</v>
      </c>
    </row>
    <row r="6722" spans="1:18" ht="19.5" hidden="1" thickBot="1" x14ac:dyDescent="0.3">
      <c r="A6722" s="968"/>
      <c r="B6722" s="836" t="s">
        <v>1631</v>
      </c>
      <c r="C6722" s="837" t="s">
        <v>47</v>
      </c>
      <c r="D6722" s="838">
        <v>0.9</v>
      </c>
      <c r="E6722" s="838">
        <v>0.92400000000000004</v>
      </c>
      <c r="F6722" s="839" t="s">
        <v>16</v>
      </c>
      <c r="G6722" s="969"/>
      <c r="H6722" s="839" t="s">
        <v>1631</v>
      </c>
      <c r="I6722" s="839" t="s">
        <v>1635</v>
      </c>
      <c r="J6722" s="840"/>
      <c r="K6722" s="839" t="str">
        <f t="shared" si="202"/>
        <v>07,26</v>
      </c>
      <c r="L6722" s="839" t="s">
        <v>28</v>
      </c>
      <c r="M6722" s="839">
        <v>918</v>
      </c>
      <c r="N6722" s="598">
        <v>0.5</v>
      </c>
      <c r="O6722" s="2"/>
      <c r="P6722" s="867" t="s">
        <v>1683</v>
      </c>
    </row>
    <row r="6723" spans="1:18" ht="19.5" hidden="1" thickBot="1" x14ac:dyDescent="0.3">
      <c r="A6723" s="960">
        <f>MAX(A6704:A6722)+1</f>
        <v>4220</v>
      </c>
      <c r="B6723" s="610" t="s">
        <v>1614</v>
      </c>
      <c r="C6723" s="480" t="s">
        <v>23</v>
      </c>
      <c r="D6723" s="481">
        <v>15.811999999999999</v>
      </c>
      <c r="E6723" s="482">
        <v>14.119</v>
      </c>
      <c r="F6723" s="483" t="s">
        <v>16</v>
      </c>
      <c r="G6723" s="963" t="s">
        <v>1634</v>
      </c>
      <c r="H6723" s="483" t="s">
        <v>1631</v>
      </c>
      <c r="I6723" s="484" t="s">
        <v>1635</v>
      </c>
      <c r="J6723" s="485"/>
      <c r="K6723" s="483" t="str">
        <f t="shared" si="202"/>
        <v>07,26</v>
      </c>
      <c r="L6723" s="483" t="s">
        <v>28</v>
      </c>
      <c r="M6723" s="483">
        <v>15985.570000000002</v>
      </c>
      <c r="N6723" s="486">
        <v>0.54166666666666663</v>
      </c>
      <c r="O6723" s="2"/>
      <c r="P6723" s="867" t="s">
        <v>1669</v>
      </c>
    </row>
    <row r="6724" spans="1:18" ht="19.5" hidden="1" thickBot="1" x14ac:dyDescent="0.3">
      <c r="A6724" s="962"/>
      <c r="B6724" s="841" t="s">
        <v>1631</v>
      </c>
      <c r="C6724" s="842" t="s">
        <v>23</v>
      </c>
      <c r="D6724" s="843">
        <v>1.7</v>
      </c>
      <c r="E6724" s="843">
        <v>1.722</v>
      </c>
      <c r="F6724" s="844" t="s">
        <v>16</v>
      </c>
      <c r="G6724" s="964"/>
      <c r="H6724" s="844" t="s">
        <v>1631</v>
      </c>
      <c r="I6724" s="844" t="s">
        <v>1635</v>
      </c>
      <c r="J6724" s="845"/>
      <c r="K6724" s="844" t="str">
        <f t="shared" si="202"/>
        <v>07,26</v>
      </c>
      <c r="L6724" s="844" t="s">
        <v>28</v>
      </c>
      <c r="M6724" s="844">
        <v>1728</v>
      </c>
      <c r="N6724" s="846">
        <v>0.54166666666666663</v>
      </c>
      <c r="O6724" s="2"/>
      <c r="P6724" s="867" t="s">
        <v>1670</v>
      </c>
      <c r="R6724" s="835"/>
    </row>
    <row r="6725" spans="1:18" ht="19.5" hidden="1" thickBot="1" x14ac:dyDescent="0.3">
      <c r="A6725" s="957">
        <f>MAX(A6706:A6724)+1</f>
        <v>4221</v>
      </c>
      <c r="B6725" s="759" t="s">
        <v>1614</v>
      </c>
      <c r="C6725" s="532" t="s">
        <v>26</v>
      </c>
      <c r="D6725" s="533">
        <v>17.276</v>
      </c>
      <c r="E6725" s="534">
        <v>15.965999999999999</v>
      </c>
      <c r="F6725" s="535" t="s">
        <v>16</v>
      </c>
      <c r="G6725" s="536"/>
      <c r="H6725" s="535" t="s">
        <v>1635</v>
      </c>
      <c r="I6725" s="537" t="s">
        <v>1635</v>
      </c>
      <c r="J6725" s="538"/>
      <c r="K6725" s="535" t="str">
        <f t="shared" si="202"/>
        <v>07,26</v>
      </c>
      <c r="L6725" s="535" t="s">
        <v>265</v>
      </c>
      <c r="M6725" s="535">
        <v>17496.179999999997</v>
      </c>
      <c r="N6725" s="539">
        <v>0.375</v>
      </c>
      <c r="O6725" s="2"/>
      <c r="P6725" s="867" t="s">
        <v>1685</v>
      </c>
      <c r="Q6725" s="834"/>
    </row>
    <row r="6726" spans="1:18" ht="19.5" hidden="1" thickBot="1" x14ac:dyDescent="0.3">
      <c r="A6726" s="959"/>
      <c r="B6726" s="785" t="s">
        <v>1631</v>
      </c>
      <c r="C6726" s="786" t="s">
        <v>26</v>
      </c>
      <c r="D6726" s="787">
        <v>1.3</v>
      </c>
      <c r="E6726" s="787">
        <v>1.3069999999999999</v>
      </c>
      <c r="F6726" s="788" t="s">
        <v>16</v>
      </c>
      <c r="G6726" s="789" t="s">
        <v>76</v>
      </c>
      <c r="H6726" s="788" t="s">
        <v>1635</v>
      </c>
      <c r="I6726" s="788" t="s">
        <v>1635</v>
      </c>
      <c r="J6726" s="790"/>
      <c r="K6726" s="788" t="str">
        <f t="shared" si="202"/>
        <v>07,26</v>
      </c>
      <c r="L6726" s="788" t="s">
        <v>265</v>
      </c>
      <c r="M6726" s="788">
        <v>1305</v>
      </c>
      <c r="N6726" s="784">
        <v>0.375</v>
      </c>
      <c r="O6726" s="2"/>
      <c r="P6726" s="867" t="s">
        <v>1686</v>
      </c>
      <c r="Q6726" s="834"/>
    </row>
    <row r="6727" spans="1:18" ht="19.5" hidden="1" thickBot="1" x14ac:dyDescent="0.3">
      <c r="A6727" s="954">
        <f>MAX(A6707:A6726)+1</f>
        <v>4222</v>
      </c>
      <c r="B6727" s="523" t="s">
        <v>1614</v>
      </c>
      <c r="C6727" s="524" t="s">
        <v>47</v>
      </c>
      <c r="D6727" s="525">
        <v>3.5859999999999999</v>
      </c>
      <c r="E6727" s="526">
        <v>3.5859999999999999</v>
      </c>
      <c r="F6727" s="527" t="s">
        <v>30</v>
      </c>
      <c r="G6727" s="561"/>
      <c r="H6727" s="527" t="s">
        <v>1635</v>
      </c>
      <c r="I6727" s="528" t="s">
        <v>1635</v>
      </c>
      <c r="J6727" s="529"/>
      <c r="K6727" s="527" t="str">
        <f t="shared" si="202"/>
        <v>07,26</v>
      </c>
      <c r="L6727" s="527" t="s">
        <v>28</v>
      </c>
      <c r="M6727" s="527">
        <v>3586.8</v>
      </c>
      <c r="N6727" s="530">
        <v>0.41666666666666669</v>
      </c>
      <c r="O6727" s="2"/>
      <c r="P6727" s="867" t="s">
        <v>1687</v>
      </c>
    </row>
    <row r="6728" spans="1:18" ht="19.5" hidden="1" thickBot="1" x14ac:dyDescent="0.3">
      <c r="A6728" s="956"/>
      <c r="B6728" s="645" t="s">
        <v>1614</v>
      </c>
      <c r="C6728" s="646" t="s">
        <v>587</v>
      </c>
      <c r="D6728" s="647">
        <v>6.9210000000000003</v>
      </c>
      <c r="E6728" s="648">
        <v>6.9210000000000003</v>
      </c>
      <c r="F6728" s="649" t="s">
        <v>30</v>
      </c>
      <c r="G6728" s="650" t="s">
        <v>47</v>
      </c>
      <c r="H6728" s="649" t="s">
        <v>1635</v>
      </c>
      <c r="I6728" s="651" t="s">
        <v>1635</v>
      </c>
      <c r="J6728" s="652"/>
      <c r="K6728" s="649" t="str">
        <f t="shared" si="202"/>
        <v>07,26</v>
      </c>
      <c r="L6728" s="649" t="s">
        <v>28</v>
      </c>
      <c r="M6728" s="649">
        <v>6921.6</v>
      </c>
      <c r="N6728" s="653">
        <v>0.41666666666666669</v>
      </c>
      <c r="O6728" s="2"/>
      <c r="P6728" s="867" t="s">
        <v>1688</v>
      </c>
    </row>
    <row r="6729" spans="1:18" ht="19.5" hidden="1" thickBot="1" x14ac:dyDescent="0.3">
      <c r="A6729" s="966">
        <f>MAX(A6709:A6728)+1</f>
        <v>4223</v>
      </c>
      <c r="B6729" s="531" t="s">
        <v>1614</v>
      </c>
      <c r="C6729" s="532" t="s">
        <v>23</v>
      </c>
      <c r="D6729" s="533">
        <v>4.0129999999999999</v>
      </c>
      <c r="E6729" s="534">
        <v>3.742</v>
      </c>
      <c r="F6729" s="535" t="s">
        <v>16</v>
      </c>
      <c r="G6729" s="536"/>
      <c r="H6729" s="535" t="s">
        <v>1635</v>
      </c>
      <c r="I6729" s="537" t="s">
        <v>1635</v>
      </c>
      <c r="J6729" s="538"/>
      <c r="K6729" s="535" t="str">
        <f t="shared" si="202"/>
        <v>07,26</v>
      </c>
      <c r="L6729" s="535" t="s">
        <v>28</v>
      </c>
      <c r="M6729" s="535">
        <v>4043.64</v>
      </c>
      <c r="N6729" s="539">
        <v>0.41666666666666669</v>
      </c>
      <c r="O6729" s="2"/>
      <c r="P6729" s="867" t="s">
        <v>1696</v>
      </c>
    </row>
    <row r="6730" spans="1:18" ht="19.5" hidden="1" thickBot="1" x14ac:dyDescent="0.3">
      <c r="A6730" s="968"/>
      <c r="B6730" s="636" t="s">
        <v>1614</v>
      </c>
      <c r="C6730" s="637" t="s">
        <v>480</v>
      </c>
      <c r="D6730" s="638">
        <v>13.15</v>
      </c>
      <c r="E6730" s="639">
        <v>12.404</v>
      </c>
      <c r="F6730" s="640" t="s">
        <v>16</v>
      </c>
      <c r="G6730" s="641"/>
      <c r="H6730" s="640" t="s">
        <v>1635</v>
      </c>
      <c r="I6730" s="642" t="s">
        <v>1635</v>
      </c>
      <c r="J6730" s="643"/>
      <c r="K6730" s="640" t="str">
        <f t="shared" si="202"/>
        <v>07,26</v>
      </c>
      <c r="L6730" s="640" t="s">
        <v>266</v>
      </c>
      <c r="M6730" s="640">
        <v>13282.3</v>
      </c>
      <c r="N6730" s="644">
        <v>0.41666666666666669</v>
      </c>
      <c r="O6730" s="2"/>
      <c r="P6730" s="867" t="s">
        <v>1697</v>
      </c>
      <c r="Q6730" s="834"/>
    </row>
    <row r="6731" spans="1:18" ht="19.5" hidden="1" thickBot="1" x14ac:dyDescent="0.3">
      <c r="A6731" s="954">
        <f>MAX(A6712:A6730)+1</f>
        <v>4224</v>
      </c>
      <c r="B6731" s="479" t="s">
        <v>1614</v>
      </c>
      <c r="C6731" s="480" t="s">
        <v>23</v>
      </c>
      <c r="D6731" s="481">
        <v>3.38</v>
      </c>
      <c r="E6731" s="482">
        <v>3.4089999999999998</v>
      </c>
      <c r="F6731" s="483" t="s">
        <v>16</v>
      </c>
      <c r="G6731" s="549"/>
      <c r="H6731" s="483" t="s">
        <v>1635</v>
      </c>
      <c r="I6731" s="484" t="s">
        <v>1635</v>
      </c>
      <c r="J6731" s="485"/>
      <c r="K6731" s="483" t="str">
        <f t="shared" si="202"/>
        <v>07,26</v>
      </c>
      <c r="L6731" s="483" t="s">
        <v>28</v>
      </c>
      <c r="M6731" s="483">
        <v>3401.82</v>
      </c>
      <c r="N6731" s="486">
        <v>0.45833333333333331</v>
      </c>
      <c r="O6731" s="2"/>
      <c r="P6731" s="867" t="s">
        <v>1694</v>
      </c>
    </row>
    <row r="6732" spans="1:18" ht="19.5" hidden="1" thickBot="1" x14ac:dyDescent="0.3">
      <c r="A6732" s="955"/>
      <c r="B6732" s="495" t="s">
        <v>1614</v>
      </c>
      <c r="C6732" s="496" t="s">
        <v>840</v>
      </c>
      <c r="D6732" s="497">
        <v>13.826000000000001</v>
      </c>
      <c r="E6732" s="498">
        <v>13.617000000000001</v>
      </c>
      <c r="F6732" s="499" t="s">
        <v>16</v>
      </c>
      <c r="G6732" s="562"/>
      <c r="H6732" s="499" t="s">
        <v>1635</v>
      </c>
      <c r="I6732" s="500" t="s">
        <v>1635</v>
      </c>
      <c r="J6732" s="501"/>
      <c r="K6732" s="499" t="str">
        <f t="shared" si="202"/>
        <v>07,26</v>
      </c>
      <c r="L6732" s="499" t="s">
        <v>266</v>
      </c>
      <c r="M6732" s="499">
        <v>13908.660000000002</v>
      </c>
      <c r="N6732" s="502">
        <v>0.45833333333333331</v>
      </c>
      <c r="O6732" s="2"/>
      <c r="P6732" s="867" t="s">
        <v>1695</v>
      </c>
      <c r="Q6732" s="834"/>
    </row>
    <row r="6733" spans="1:18" ht="19.5" hidden="1" thickBot="1" x14ac:dyDescent="0.3">
      <c r="A6733" s="973">
        <f>MAX(A6715:A6732)+1</f>
        <v>4225</v>
      </c>
      <c r="B6733" s="531" t="s">
        <v>1614</v>
      </c>
      <c r="C6733" s="532" t="s">
        <v>26</v>
      </c>
      <c r="D6733" s="533">
        <v>17.5</v>
      </c>
      <c r="E6733" s="534">
        <v>16.622</v>
      </c>
      <c r="F6733" s="535" t="s">
        <v>16</v>
      </c>
      <c r="G6733" s="536"/>
      <c r="H6733" s="535" t="s">
        <v>1635</v>
      </c>
      <c r="I6733" s="537" t="s">
        <v>1635</v>
      </c>
      <c r="J6733" s="538"/>
      <c r="K6733" s="535" t="str">
        <f t="shared" ref="K6733:K6796" si="203">RIGHT(I6733,5)</f>
        <v>07,26</v>
      </c>
      <c r="L6733" s="535" t="s">
        <v>265</v>
      </c>
      <c r="M6733" s="535">
        <v>17527.2</v>
      </c>
      <c r="N6733" s="539">
        <v>0.66666666666666663</v>
      </c>
      <c r="O6733" s="2"/>
      <c r="P6733" s="867" t="s">
        <v>1692</v>
      </c>
      <c r="Q6733" s="834"/>
    </row>
    <row r="6734" spans="1:18" ht="19.5" hidden="1" thickBot="1" x14ac:dyDescent="0.3">
      <c r="A6734" s="982"/>
      <c r="B6734" s="848" t="s">
        <v>1631</v>
      </c>
      <c r="C6734" s="799" t="s">
        <v>26</v>
      </c>
      <c r="D6734" s="800">
        <v>0.8</v>
      </c>
      <c r="E6734" s="800">
        <v>0.82499999999999996</v>
      </c>
      <c r="F6734" s="801" t="s">
        <v>16</v>
      </c>
      <c r="G6734" s="802" t="s">
        <v>76</v>
      </c>
      <c r="H6734" s="801" t="s">
        <v>1635</v>
      </c>
      <c r="I6734" s="801" t="s">
        <v>1635</v>
      </c>
      <c r="J6734" s="803"/>
      <c r="K6734" s="801" t="str">
        <f t="shared" si="203"/>
        <v>07,26</v>
      </c>
      <c r="L6734" s="801" t="s">
        <v>265</v>
      </c>
      <c r="M6734" s="801">
        <v>810</v>
      </c>
      <c r="N6734" s="804">
        <v>0.66666666666666663</v>
      </c>
      <c r="O6734" s="2"/>
      <c r="P6734" s="867" t="s">
        <v>1693</v>
      </c>
      <c r="Q6734" s="834"/>
    </row>
    <row r="6735" spans="1:18" ht="19.5" hidden="1" thickBot="1" x14ac:dyDescent="0.3">
      <c r="A6735" s="960">
        <f>MAX(A6717:A6734)+1</f>
        <v>4226</v>
      </c>
      <c r="B6735" s="610" t="s">
        <v>1635</v>
      </c>
      <c r="C6735" s="480" t="s">
        <v>32</v>
      </c>
      <c r="D6735" s="481">
        <v>17.984000000000002</v>
      </c>
      <c r="E6735" s="482">
        <v>15.074999999999999</v>
      </c>
      <c r="F6735" s="483" t="s">
        <v>16</v>
      </c>
      <c r="G6735" s="549"/>
      <c r="H6735" s="483" t="s">
        <v>1684</v>
      </c>
      <c r="I6735" s="484" t="s">
        <v>1684</v>
      </c>
      <c r="J6735" s="485"/>
      <c r="K6735" s="483" t="str">
        <f t="shared" si="203"/>
        <v>07,26</v>
      </c>
      <c r="L6735" s="483" t="s">
        <v>266</v>
      </c>
      <c r="M6735" s="483">
        <v>18153.29</v>
      </c>
      <c r="N6735" s="486">
        <v>0.41666666666666669</v>
      </c>
      <c r="O6735" s="2"/>
      <c r="P6735" s="867" t="s">
        <v>1709</v>
      </c>
      <c r="Q6735" s="834"/>
    </row>
    <row r="6736" spans="1:18" ht="19.5" hidden="1" thickBot="1" x14ac:dyDescent="0.3">
      <c r="A6736" s="962"/>
      <c r="B6736" s="805" t="s">
        <v>1684</v>
      </c>
      <c r="C6736" s="806" t="s">
        <v>32</v>
      </c>
      <c r="D6736" s="807">
        <v>2.2999999999999998</v>
      </c>
      <c r="E6736" s="807">
        <v>2.319</v>
      </c>
      <c r="F6736" s="808" t="s">
        <v>16</v>
      </c>
      <c r="G6736" s="809" t="s">
        <v>76</v>
      </c>
      <c r="H6736" s="808" t="s">
        <v>1684</v>
      </c>
      <c r="I6736" s="808" t="s">
        <v>1684</v>
      </c>
      <c r="J6736" s="810"/>
      <c r="K6736" s="808" t="str">
        <f t="shared" si="203"/>
        <v>07,26</v>
      </c>
      <c r="L6736" s="808" t="s">
        <v>266</v>
      </c>
      <c r="M6736" s="808">
        <v>2310</v>
      </c>
      <c r="N6736" s="778">
        <v>0.41666666666666669</v>
      </c>
      <c r="O6736" s="2"/>
      <c r="P6736" s="867" t="s">
        <v>1710</v>
      </c>
      <c r="Q6736" s="834"/>
    </row>
    <row r="6737" spans="1:17" ht="19.5" hidden="1" thickBot="1" x14ac:dyDescent="0.3">
      <c r="A6737" s="503">
        <f>MAX(A6718:A6736)+1</f>
        <v>4227</v>
      </c>
      <c r="B6737" s="636" t="s">
        <v>1635</v>
      </c>
      <c r="C6737" s="637" t="s">
        <v>32</v>
      </c>
      <c r="D6737" s="638">
        <v>18.010999999999999</v>
      </c>
      <c r="E6737" s="639">
        <v>17.559999999999999</v>
      </c>
      <c r="F6737" s="640" t="s">
        <v>16</v>
      </c>
      <c r="G6737" s="641"/>
      <c r="H6737" s="640" t="s">
        <v>1684</v>
      </c>
      <c r="I6737" s="642" t="s">
        <v>1684</v>
      </c>
      <c r="J6737" s="643"/>
      <c r="K6737" s="640" t="str">
        <f t="shared" si="203"/>
        <v>07,26</v>
      </c>
      <c r="L6737" s="640" t="s">
        <v>266</v>
      </c>
      <c r="M6737" s="640">
        <v>18135.710000000003</v>
      </c>
      <c r="N6737" s="644">
        <v>0.45833333333333331</v>
      </c>
      <c r="O6737" s="2"/>
      <c r="P6737" s="867" t="s">
        <v>1706</v>
      </c>
      <c r="Q6737" s="834"/>
    </row>
    <row r="6738" spans="1:17" ht="19.5" hidden="1" thickBot="1" x14ac:dyDescent="0.3">
      <c r="A6738" s="960">
        <f>MAX(A6720:A6737)+1</f>
        <v>4228</v>
      </c>
      <c r="B6738" s="610" t="s">
        <v>1635</v>
      </c>
      <c r="C6738" s="480" t="s">
        <v>32</v>
      </c>
      <c r="D6738" s="481">
        <v>18.05</v>
      </c>
      <c r="E6738" s="482">
        <v>14.471</v>
      </c>
      <c r="F6738" s="483" t="s">
        <v>16</v>
      </c>
      <c r="G6738" s="549"/>
      <c r="H6738" s="483" t="s">
        <v>1684</v>
      </c>
      <c r="I6738" s="484" t="s">
        <v>1684</v>
      </c>
      <c r="J6738" s="485"/>
      <c r="K6738" s="483" t="str">
        <f t="shared" si="203"/>
        <v>07,26</v>
      </c>
      <c r="L6738" s="483" t="s">
        <v>266</v>
      </c>
      <c r="M6738" s="483">
        <v>18078.599999999999</v>
      </c>
      <c r="N6738" s="486">
        <v>0.5</v>
      </c>
      <c r="O6738" s="2"/>
      <c r="P6738" s="867" t="s">
        <v>1707</v>
      </c>
      <c r="Q6738" s="834"/>
    </row>
    <row r="6739" spans="1:17" ht="19.5" hidden="1" thickBot="1" x14ac:dyDescent="0.3">
      <c r="A6739" s="962"/>
      <c r="B6739" s="805" t="s">
        <v>1684</v>
      </c>
      <c r="C6739" s="806" t="s">
        <v>32</v>
      </c>
      <c r="D6739" s="807">
        <v>3.5</v>
      </c>
      <c r="E6739" s="807">
        <v>3.52</v>
      </c>
      <c r="F6739" s="808" t="s">
        <v>16</v>
      </c>
      <c r="G6739" s="809" t="s">
        <v>76</v>
      </c>
      <c r="H6739" s="808" t="s">
        <v>1684</v>
      </c>
      <c r="I6739" s="808" t="s">
        <v>1684</v>
      </c>
      <c r="J6739" s="810"/>
      <c r="K6739" s="808" t="str">
        <f t="shared" si="203"/>
        <v>07,26</v>
      </c>
      <c r="L6739" s="808" t="s">
        <v>266</v>
      </c>
      <c r="M6739" s="808">
        <v>3510</v>
      </c>
      <c r="N6739" s="778">
        <v>0.5</v>
      </c>
      <c r="O6739" s="2"/>
      <c r="P6739" s="867" t="s">
        <v>1708</v>
      </c>
      <c r="Q6739" s="834"/>
    </row>
    <row r="6740" spans="1:17" ht="19.5" hidden="1" thickBot="1" x14ac:dyDescent="0.3">
      <c r="A6740" s="551">
        <f>MAX(A6721:A6739)+1</f>
        <v>4229</v>
      </c>
      <c r="B6740" s="552" t="s">
        <v>1635</v>
      </c>
      <c r="C6740" s="553" t="s">
        <v>848</v>
      </c>
      <c r="D6740" s="554">
        <v>18.059000000000001</v>
      </c>
      <c r="E6740" s="555">
        <v>17.088999999999999</v>
      </c>
      <c r="F6740" s="556" t="s">
        <v>16</v>
      </c>
      <c r="G6740" s="557"/>
      <c r="H6740" s="556" t="s">
        <v>1684</v>
      </c>
      <c r="I6740" s="558" t="s">
        <v>1701</v>
      </c>
      <c r="J6740" s="559"/>
      <c r="K6740" s="556" t="str">
        <f t="shared" si="203"/>
        <v>07,26</v>
      </c>
      <c r="L6740" s="556" t="s">
        <v>266</v>
      </c>
      <c r="M6740" s="556">
        <v>18156.96</v>
      </c>
      <c r="N6740" s="560">
        <v>0.54166666666666663</v>
      </c>
      <c r="O6740" s="2"/>
      <c r="P6740" s="867" t="s">
        <v>1716</v>
      </c>
    </row>
    <row r="6741" spans="1:17" ht="19.5" hidden="1" thickBot="1" x14ac:dyDescent="0.3">
      <c r="A6741" s="960">
        <f>MAX(A6722:A6740)+1</f>
        <v>4230</v>
      </c>
      <c r="B6741" s="610" t="s">
        <v>1700</v>
      </c>
      <c r="C6741" s="480" t="s">
        <v>26</v>
      </c>
      <c r="D6741" s="481">
        <v>17.47</v>
      </c>
      <c r="E6741" s="482">
        <f>15.887+0.324</f>
        <v>16.211000000000002</v>
      </c>
      <c r="F6741" s="483" t="s">
        <v>16</v>
      </c>
      <c r="G6741" s="549"/>
      <c r="H6741" s="483" t="s">
        <v>1701</v>
      </c>
      <c r="I6741" s="484" t="s">
        <v>1701</v>
      </c>
      <c r="J6741" s="485"/>
      <c r="K6741" s="483" t="str">
        <f t="shared" si="203"/>
        <v>07,26</v>
      </c>
      <c r="L6741" s="483" t="s">
        <v>265</v>
      </c>
      <c r="M6741" s="483">
        <v>17734.39</v>
      </c>
      <c r="N6741" s="486">
        <v>0.375</v>
      </c>
      <c r="O6741" s="2"/>
      <c r="P6741" s="867" t="s">
        <v>1728</v>
      </c>
      <c r="Q6741" s="847" t="s">
        <v>1731</v>
      </c>
    </row>
    <row r="6742" spans="1:17" ht="19.5" hidden="1" thickBot="1" x14ac:dyDescent="0.3">
      <c r="A6742" s="961"/>
      <c r="B6742" s="841" t="s">
        <v>1701</v>
      </c>
      <c r="C6742" s="842" t="s">
        <v>26</v>
      </c>
      <c r="D6742" s="843">
        <v>0.2</v>
      </c>
      <c r="E6742" s="843">
        <v>0.20899999999999999</v>
      </c>
      <c r="F6742" s="844" t="s">
        <v>16</v>
      </c>
      <c r="G6742" s="851" t="s">
        <v>76</v>
      </c>
      <c r="H6742" s="844" t="s">
        <v>1701</v>
      </c>
      <c r="I6742" s="844" t="s">
        <v>1701</v>
      </c>
      <c r="J6742" s="845"/>
      <c r="K6742" s="844" t="str">
        <f t="shared" si="203"/>
        <v>07,26</v>
      </c>
      <c r="L6742" s="844" t="s">
        <v>265</v>
      </c>
      <c r="M6742" s="844">
        <v>210</v>
      </c>
      <c r="N6742" s="502">
        <v>0.375</v>
      </c>
      <c r="O6742" s="2"/>
      <c r="P6742" s="867" t="s">
        <v>1730</v>
      </c>
    </row>
    <row r="6743" spans="1:17" ht="19.5" hidden="1" thickBot="1" x14ac:dyDescent="0.3">
      <c r="A6743" s="962"/>
      <c r="B6743" s="841" t="s">
        <v>1700</v>
      </c>
      <c r="C6743" s="842" t="s">
        <v>26</v>
      </c>
      <c r="D6743" s="843">
        <v>1.2</v>
      </c>
      <c r="E6743" s="843">
        <v>1.222</v>
      </c>
      <c r="F6743" s="844" t="s">
        <v>16</v>
      </c>
      <c r="G6743" s="851" t="s">
        <v>76</v>
      </c>
      <c r="H6743" s="844" t="s">
        <v>1701</v>
      </c>
      <c r="I6743" s="844" t="s">
        <v>1701</v>
      </c>
      <c r="J6743" s="845"/>
      <c r="K6743" s="844" t="str">
        <f t="shared" si="203"/>
        <v>07,26</v>
      </c>
      <c r="L6743" s="844" t="s">
        <v>265</v>
      </c>
      <c r="M6743" s="844">
        <v>1200</v>
      </c>
      <c r="N6743" s="846">
        <v>0.375</v>
      </c>
      <c r="O6743" s="2"/>
      <c r="P6743" s="867" t="s">
        <v>1729</v>
      </c>
    </row>
    <row r="6744" spans="1:17" ht="19.5" hidden="1" thickBot="1" x14ac:dyDescent="0.3">
      <c r="A6744" s="966">
        <f>MAX(A6723:A6741)+1</f>
        <v>4231</v>
      </c>
      <c r="B6744" s="759" t="s">
        <v>1700</v>
      </c>
      <c r="C6744" s="532" t="s">
        <v>26</v>
      </c>
      <c r="D6744" s="533">
        <v>17.331</v>
      </c>
      <c r="E6744" s="534">
        <f>15.1+0.52</f>
        <v>15.62</v>
      </c>
      <c r="F6744" s="535" t="s">
        <v>16</v>
      </c>
      <c r="G6744" s="536"/>
      <c r="H6744" s="535" t="s">
        <v>1701</v>
      </c>
      <c r="I6744" s="537" t="s">
        <v>1701</v>
      </c>
      <c r="J6744" s="538"/>
      <c r="K6744" s="535" t="str">
        <f t="shared" si="203"/>
        <v>07,26</v>
      </c>
      <c r="L6744" s="535" t="s">
        <v>265</v>
      </c>
      <c r="M6744" s="535">
        <v>17497.330000000002</v>
      </c>
      <c r="N6744" s="539">
        <v>0.41666666666666669</v>
      </c>
      <c r="O6744" s="2"/>
      <c r="P6744" s="867" t="s">
        <v>1712</v>
      </c>
      <c r="Q6744" s="847" t="s">
        <v>1715</v>
      </c>
    </row>
    <row r="6745" spans="1:17" ht="19.5" hidden="1" thickBot="1" x14ac:dyDescent="0.3">
      <c r="A6745" s="967"/>
      <c r="B6745" s="852" t="s">
        <v>1701</v>
      </c>
      <c r="C6745" s="837" t="s">
        <v>26</v>
      </c>
      <c r="D6745" s="838">
        <v>0.5</v>
      </c>
      <c r="E6745" s="838">
        <v>0.50700000000000001</v>
      </c>
      <c r="F6745" s="839" t="s">
        <v>16</v>
      </c>
      <c r="G6745" s="850" t="s">
        <v>76</v>
      </c>
      <c r="H6745" s="839" t="s">
        <v>1701</v>
      </c>
      <c r="I6745" s="839" t="s">
        <v>1701</v>
      </c>
      <c r="J6745" s="840"/>
      <c r="K6745" s="839" t="str">
        <f t="shared" si="203"/>
        <v>07,26</v>
      </c>
      <c r="L6745" s="839" t="s">
        <v>265</v>
      </c>
      <c r="M6745" s="839">
        <v>510</v>
      </c>
      <c r="N6745" s="598">
        <v>0.41666666666666669</v>
      </c>
      <c r="O6745" s="2"/>
      <c r="P6745" s="867" t="s">
        <v>1714</v>
      </c>
    </row>
    <row r="6746" spans="1:17" ht="19.5" hidden="1" thickBot="1" x14ac:dyDescent="0.3">
      <c r="A6746" s="968"/>
      <c r="B6746" s="798" t="s">
        <v>1700</v>
      </c>
      <c r="C6746" s="799" t="s">
        <v>26</v>
      </c>
      <c r="D6746" s="800">
        <v>1.5</v>
      </c>
      <c r="E6746" s="800">
        <v>1.5069999999999999</v>
      </c>
      <c r="F6746" s="801" t="s">
        <v>16</v>
      </c>
      <c r="G6746" s="802" t="s">
        <v>76</v>
      </c>
      <c r="H6746" s="801" t="s">
        <v>1701</v>
      </c>
      <c r="I6746" s="801" t="s">
        <v>1701</v>
      </c>
      <c r="J6746" s="803"/>
      <c r="K6746" s="801" t="str">
        <f t="shared" si="203"/>
        <v>07,26</v>
      </c>
      <c r="L6746" s="801" t="s">
        <v>265</v>
      </c>
      <c r="M6746" s="801">
        <v>1500</v>
      </c>
      <c r="N6746" s="804">
        <v>0.41666666666666669</v>
      </c>
      <c r="O6746" s="2"/>
      <c r="P6746" s="867" t="s">
        <v>1713</v>
      </c>
      <c r="Q6746" s="847" t="s">
        <v>1720</v>
      </c>
    </row>
    <row r="6747" spans="1:17" ht="19.5" hidden="1" thickBot="1" x14ac:dyDescent="0.3">
      <c r="A6747" s="954">
        <f>MAX(A6724:A6746)+1</f>
        <v>4232</v>
      </c>
      <c r="B6747" s="610" t="s">
        <v>1700</v>
      </c>
      <c r="C6747" s="480" t="s">
        <v>26</v>
      </c>
      <c r="D6747" s="481">
        <v>17.260999999999999</v>
      </c>
      <c r="E6747" s="482">
        <f>14.537+0.542</f>
        <v>15.079000000000001</v>
      </c>
      <c r="F6747" s="483" t="s">
        <v>16</v>
      </c>
      <c r="G6747" s="549"/>
      <c r="H6747" s="483" t="s">
        <v>1701</v>
      </c>
      <c r="I6747" s="484" t="s">
        <v>1701</v>
      </c>
      <c r="J6747" s="485"/>
      <c r="K6747" s="483" t="str">
        <f t="shared" si="203"/>
        <v>07,26</v>
      </c>
      <c r="L6747" s="483" t="s">
        <v>265</v>
      </c>
      <c r="M6747" s="483">
        <v>17469.330000000002</v>
      </c>
      <c r="N6747" s="486">
        <v>0.45833333333333331</v>
      </c>
      <c r="O6747" s="2"/>
      <c r="P6747" s="867" t="s">
        <v>1717</v>
      </c>
    </row>
    <row r="6748" spans="1:17" ht="19.5" hidden="1" thickBot="1" x14ac:dyDescent="0.3">
      <c r="A6748" s="955"/>
      <c r="B6748" s="841" t="s">
        <v>1701</v>
      </c>
      <c r="C6748" s="842" t="s">
        <v>26</v>
      </c>
      <c r="D6748" s="843">
        <v>0.76</v>
      </c>
      <c r="E6748" s="843">
        <v>0.76700000000000002</v>
      </c>
      <c r="F6748" s="844" t="s">
        <v>16</v>
      </c>
      <c r="G6748" s="851" t="s">
        <v>76</v>
      </c>
      <c r="H6748" s="844" t="s">
        <v>1701</v>
      </c>
      <c r="I6748" s="844" t="s">
        <v>1701</v>
      </c>
      <c r="J6748" s="845"/>
      <c r="K6748" s="844" t="str">
        <f t="shared" si="203"/>
        <v>07,26</v>
      </c>
      <c r="L6748" s="844" t="s">
        <v>265</v>
      </c>
      <c r="M6748" s="844">
        <v>765</v>
      </c>
      <c r="N6748" s="502">
        <v>0.45833333333333331</v>
      </c>
      <c r="O6748" s="2"/>
      <c r="P6748" s="867" t="s">
        <v>1719</v>
      </c>
    </row>
    <row r="6749" spans="1:17" ht="19.5" hidden="1" thickBot="1" x14ac:dyDescent="0.3">
      <c r="A6749" s="956"/>
      <c r="B6749" s="805" t="s">
        <v>1700</v>
      </c>
      <c r="C6749" s="806" t="s">
        <v>26</v>
      </c>
      <c r="D6749" s="807">
        <v>1.5</v>
      </c>
      <c r="E6749" s="807">
        <v>1.5069999999999999</v>
      </c>
      <c r="F6749" s="808" t="s">
        <v>16</v>
      </c>
      <c r="G6749" s="809" t="s">
        <v>76</v>
      </c>
      <c r="H6749" s="808" t="s">
        <v>1701</v>
      </c>
      <c r="I6749" s="808" t="s">
        <v>1701</v>
      </c>
      <c r="J6749" s="810"/>
      <c r="K6749" s="808" t="str">
        <f t="shared" si="203"/>
        <v>07,26</v>
      </c>
      <c r="L6749" s="808" t="s">
        <v>265</v>
      </c>
      <c r="M6749" s="808">
        <v>1500</v>
      </c>
      <c r="N6749" s="778">
        <v>0.45833333333333331</v>
      </c>
      <c r="O6749" s="2"/>
      <c r="P6749" s="867" t="s">
        <v>1718</v>
      </c>
    </row>
    <row r="6750" spans="1:17" ht="19.5" hidden="1" thickBot="1" x14ac:dyDescent="0.3">
      <c r="A6750" s="966">
        <f>MAX(A6725:A6747)+1</f>
        <v>4233</v>
      </c>
      <c r="B6750" s="563" t="s">
        <v>1700</v>
      </c>
      <c r="C6750" s="564" t="s">
        <v>41</v>
      </c>
      <c r="D6750" s="565">
        <v>10.225</v>
      </c>
      <c r="E6750" s="566">
        <v>9.1240000000000006</v>
      </c>
      <c r="F6750" s="567" t="s">
        <v>16</v>
      </c>
      <c r="G6750" s="568"/>
      <c r="H6750" s="567" t="s">
        <v>1701</v>
      </c>
      <c r="I6750" s="569" t="s">
        <v>1704</v>
      </c>
      <c r="J6750" s="570"/>
      <c r="K6750" s="567" t="str">
        <f t="shared" si="203"/>
        <v>07,26</v>
      </c>
      <c r="L6750" s="567" t="s">
        <v>266</v>
      </c>
      <c r="M6750" s="567">
        <v>10316.100000000002</v>
      </c>
      <c r="N6750" s="571">
        <v>0.5</v>
      </c>
      <c r="O6750" s="2"/>
      <c r="P6750" s="867" t="s">
        <v>1747</v>
      </c>
    </row>
    <row r="6751" spans="1:17" ht="19.5" hidden="1" thickBot="1" x14ac:dyDescent="0.3">
      <c r="A6751" s="967"/>
      <c r="B6751" s="563" t="s">
        <v>1700</v>
      </c>
      <c r="C6751" s="564" t="s">
        <v>32</v>
      </c>
      <c r="D6751" s="565">
        <v>4.7690000000000001</v>
      </c>
      <c r="E6751" s="566">
        <v>4.048</v>
      </c>
      <c r="F6751" s="567" t="s">
        <v>16</v>
      </c>
      <c r="G6751" s="568" t="s">
        <v>1702</v>
      </c>
      <c r="H6751" s="567" t="s">
        <v>1701</v>
      </c>
      <c r="I6751" s="569" t="s">
        <v>1704</v>
      </c>
      <c r="J6751" s="570"/>
      <c r="K6751" s="567" t="str">
        <f t="shared" si="203"/>
        <v>07,26</v>
      </c>
      <c r="L6751" s="567" t="s">
        <v>266</v>
      </c>
      <c r="M6751" s="567">
        <v>4769.0999999999995</v>
      </c>
      <c r="N6751" s="571">
        <v>0.5</v>
      </c>
      <c r="O6751" s="2"/>
      <c r="P6751" s="867" t="s">
        <v>1748</v>
      </c>
    </row>
    <row r="6752" spans="1:17" ht="19.5" hidden="1" thickBot="1" x14ac:dyDescent="0.3">
      <c r="A6752" s="968"/>
      <c r="B6752" s="636" t="s">
        <v>1700</v>
      </c>
      <c r="C6752" s="637" t="s">
        <v>32</v>
      </c>
      <c r="D6752" s="638">
        <v>2.5</v>
      </c>
      <c r="E6752" s="639" t="s">
        <v>1496</v>
      </c>
      <c r="F6752" s="640" t="s">
        <v>16</v>
      </c>
      <c r="G6752" s="641" t="s">
        <v>1024</v>
      </c>
      <c r="H6752" s="640" t="s">
        <v>1701</v>
      </c>
      <c r="I6752" s="642" t="s">
        <v>1496</v>
      </c>
      <c r="J6752" s="643"/>
      <c r="K6752" s="640" t="str">
        <f t="shared" si="203"/>
        <v>тмена</v>
      </c>
      <c r="L6752" s="640" t="s">
        <v>266</v>
      </c>
      <c r="M6752" s="640">
        <v>2503.7999999999997</v>
      </c>
      <c r="N6752" s="644">
        <v>0.5</v>
      </c>
      <c r="O6752" s="2"/>
      <c r="P6752" s="867" t="s">
        <v>1024</v>
      </c>
    </row>
    <row r="6753" spans="1:16" ht="19.5" hidden="1" thickBot="1" x14ac:dyDescent="0.3">
      <c r="A6753" s="513">
        <f>MAX(A6728:A6752)+1</f>
        <v>4234</v>
      </c>
      <c r="B6753" s="573" t="s">
        <v>1700</v>
      </c>
      <c r="C6753" s="574" t="s">
        <v>26</v>
      </c>
      <c r="D6753" s="575">
        <v>13.055</v>
      </c>
      <c r="E6753" s="576">
        <v>13.055</v>
      </c>
      <c r="F6753" s="577" t="s">
        <v>30</v>
      </c>
      <c r="G6753" s="578"/>
      <c r="H6753" s="577" t="s">
        <v>1701</v>
      </c>
      <c r="I6753" s="579" t="s">
        <v>1701</v>
      </c>
      <c r="J6753" s="580"/>
      <c r="K6753" s="577" t="str">
        <f t="shared" si="203"/>
        <v>07,26</v>
      </c>
      <c r="L6753" s="577" t="s">
        <v>265</v>
      </c>
      <c r="M6753" s="577">
        <v>13055.56</v>
      </c>
      <c r="N6753" s="581">
        <v>0.375</v>
      </c>
      <c r="O6753" s="2"/>
      <c r="P6753" s="867" t="s">
        <v>1711</v>
      </c>
    </row>
    <row r="6754" spans="1:16" ht="19.5" hidden="1" thickBot="1" x14ac:dyDescent="0.3">
      <c r="A6754" s="966">
        <f>MAX(A6729:A6753)+1</f>
        <v>4235</v>
      </c>
      <c r="B6754" s="531" t="s">
        <v>1700</v>
      </c>
      <c r="C6754" s="532" t="s">
        <v>26</v>
      </c>
      <c r="D6754" s="533">
        <v>17.495999999999999</v>
      </c>
      <c r="E6754" s="534">
        <v>13.135999999999999</v>
      </c>
      <c r="F6754" s="535" t="s">
        <v>16</v>
      </c>
      <c r="G6754" s="536"/>
      <c r="H6754" s="535" t="s">
        <v>1703</v>
      </c>
      <c r="I6754" s="537" t="s">
        <v>1703</v>
      </c>
      <c r="J6754" s="538"/>
      <c r="K6754" s="535" t="str">
        <f t="shared" si="203"/>
        <v>07,26</v>
      </c>
      <c r="L6754" s="535" t="s">
        <v>265</v>
      </c>
      <c r="M6754" s="535">
        <v>17758.39</v>
      </c>
      <c r="N6754" s="539">
        <v>0.375</v>
      </c>
      <c r="O6754" s="2"/>
      <c r="P6754" s="867" t="s">
        <v>1736</v>
      </c>
    </row>
    <row r="6755" spans="1:16" ht="19.5" hidden="1" thickBot="1" x14ac:dyDescent="0.3">
      <c r="A6755" s="968"/>
      <c r="B6755" s="836" t="s">
        <v>1701</v>
      </c>
      <c r="C6755" s="837" t="s">
        <v>26</v>
      </c>
      <c r="D6755" s="838">
        <v>4.4000000000000004</v>
      </c>
      <c r="E6755" s="838">
        <v>4.4219999999999997</v>
      </c>
      <c r="F6755" s="839" t="s">
        <v>16</v>
      </c>
      <c r="G6755" s="850" t="s">
        <v>76</v>
      </c>
      <c r="H6755" s="839" t="s">
        <v>1703</v>
      </c>
      <c r="I6755" s="839" t="s">
        <v>1703</v>
      </c>
      <c r="J6755" s="840"/>
      <c r="K6755" s="839" t="str">
        <f t="shared" si="203"/>
        <v>07,26</v>
      </c>
      <c r="L6755" s="839" t="s">
        <v>265</v>
      </c>
      <c r="M6755" s="839">
        <v>4410</v>
      </c>
      <c r="N6755" s="804">
        <v>0.375</v>
      </c>
      <c r="O6755" s="2"/>
      <c r="P6755" s="867" t="s">
        <v>1737</v>
      </c>
    </row>
    <row r="6756" spans="1:16" ht="19.5" hidden="1" thickBot="1" x14ac:dyDescent="0.3">
      <c r="A6756" s="960">
        <f>MAX(A6730:A6755)+1</f>
        <v>4236</v>
      </c>
      <c r="B6756" s="610" t="s">
        <v>1700</v>
      </c>
      <c r="C6756" s="480" t="s">
        <v>26</v>
      </c>
      <c r="D6756" s="481">
        <v>17.387</v>
      </c>
      <c r="E6756" s="482">
        <v>13.191000000000001</v>
      </c>
      <c r="F6756" s="483" t="s">
        <v>16</v>
      </c>
      <c r="G6756" s="549"/>
      <c r="H6756" s="483" t="s">
        <v>1703</v>
      </c>
      <c r="I6756" s="484" t="s">
        <v>1703</v>
      </c>
      <c r="J6756" s="485"/>
      <c r="K6756" s="483" t="str">
        <f t="shared" si="203"/>
        <v>07,26</v>
      </c>
      <c r="L6756" s="483" t="s">
        <v>265</v>
      </c>
      <c r="M6756" s="483">
        <v>17577.29</v>
      </c>
      <c r="N6756" s="486">
        <v>0.41666666666666669</v>
      </c>
      <c r="O6756" s="2"/>
      <c r="P6756" s="867" t="s">
        <v>1738</v>
      </c>
    </row>
    <row r="6757" spans="1:16" ht="19.5" hidden="1" thickBot="1" x14ac:dyDescent="0.3">
      <c r="A6757" s="961"/>
      <c r="B6757" s="864" t="s">
        <v>1703</v>
      </c>
      <c r="C6757" s="861" t="s">
        <v>26</v>
      </c>
      <c r="D6757" s="862">
        <v>0.3</v>
      </c>
      <c r="E6757" s="862">
        <v>0.29899999999999999</v>
      </c>
      <c r="F6757" s="860" t="s">
        <v>16</v>
      </c>
      <c r="G6757" s="863"/>
      <c r="H6757" s="860" t="s">
        <v>1703</v>
      </c>
      <c r="I6757" s="860" t="s">
        <v>1703</v>
      </c>
      <c r="J6757" s="865"/>
      <c r="K6757" s="860" t="str">
        <f t="shared" si="203"/>
        <v>07,26</v>
      </c>
      <c r="L6757" s="860" t="s">
        <v>265</v>
      </c>
      <c r="M6757" s="860">
        <v>300</v>
      </c>
      <c r="N6757" s="770">
        <v>0.41666666666666669</v>
      </c>
      <c r="O6757" s="2"/>
      <c r="P6757" s="867" t="s">
        <v>1740</v>
      </c>
    </row>
    <row r="6758" spans="1:16" ht="19.5" hidden="1" thickBot="1" x14ac:dyDescent="0.3">
      <c r="A6758" s="962"/>
      <c r="B6758" s="853" t="s">
        <v>1701</v>
      </c>
      <c r="C6758" s="854" t="s">
        <v>26</v>
      </c>
      <c r="D6758" s="855">
        <v>4</v>
      </c>
      <c r="E6758" s="855">
        <v>4.0330000000000004</v>
      </c>
      <c r="F6758" s="856" t="s">
        <v>16</v>
      </c>
      <c r="G6758" s="857" t="s">
        <v>76</v>
      </c>
      <c r="H6758" s="856" t="s">
        <v>1703</v>
      </c>
      <c r="I6758" s="856" t="s">
        <v>1703</v>
      </c>
      <c r="J6758" s="858"/>
      <c r="K6758" s="856" t="str">
        <f t="shared" si="203"/>
        <v>07,26</v>
      </c>
      <c r="L6758" s="856" t="s">
        <v>265</v>
      </c>
      <c r="M6758" s="856">
        <v>4020</v>
      </c>
      <c r="N6758" s="653">
        <v>0.41666666666666669</v>
      </c>
      <c r="O6758" s="2"/>
      <c r="P6758" s="867" t="s">
        <v>1739</v>
      </c>
    </row>
    <row r="6759" spans="1:16" ht="19.5" hidden="1" thickBot="1" x14ac:dyDescent="0.3">
      <c r="A6759" s="957">
        <f>MAX(A6731:A6758)+1</f>
        <v>4237</v>
      </c>
      <c r="B6759" s="759" t="s">
        <v>1700</v>
      </c>
      <c r="C6759" s="532" t="s">
        <v>15</v>
      </c>
      <c r="D6759" s="533">
        <v>9.6829999999999998</v>
      </c>
      <c r="E6759" s="534">
        <v>8.1470000000000002</v>
      </c>
      <c r="F6759" s="535" t="s">
        <v>16</v>
      </c>
      <c r="G6759" s="536"/>
      <c r="H6759" s="535" t="s">
        <v>1703</v>
      </c>
      <c r="I6759" s="537" t="s">
        <v>1703</v>
      </c>
      <c r="J6759" s="538"/>
      <c r="K6759" s="535" t="str">
        <f t="shared" si="203"/>
        <v>07,26</v>
      </c>
      <c r="L6759" s="535" t="s">
        <v>28</v>
      </c>
      <c r="M6759" s="535">
        <v>9815.5400000000009</v>
      </c>
      <c r="N6759" s="539">
        <v>0.45833333333333331</v>
      </c>
      <c r="O6759" s="2"/>
      <c r="P6759" s="867" t="s">
        <v>1732</v>
      </c>
    </row>
    <row r="6760" spans="1:16" ht="19.5" hidden="1" thickBot="1" x14ac:dyDescent="0.3">
      <c r="A6760" s="958"/>
      <c r="B6760" s="824" t="s">
        <v>1700</v>
      </c>
      <c r="C6760" s="820" t="s">
        <v>24</v>
      </c>
      <c r="D6760" s="821">
        <v>7.4669999999999996</v>
      </c>
      <c r="E6760" s="822">
        <v>4.0369999999999999</v>
      </c>
      <c r="F6760" s="819" t="s">
        <v>16</v>
      </c>
      <c r="G6760" s="823"/>
      <c r="H6760" s="819" t="s">
        <v>1703</v>
      </c>
      <c r="I6760" s="782" t="s">
        <v>1703</v>
      </c>
      <c r="J6760" s="825"/>
      <c r="K6760" s="819" t="str">
        <f t="shared" si="203"/>
        <v>07,26</v>
      </c>
      <c r="L6760" s="819" t="s">
        <v>28</v>
      </c>
      <c r="M6760" s="819">
        <v>7637.880000000001</v>
      </c>
      <c r="N6760" s="811">
        <v>0.45833333333333331</v>
      </c>
      <c r="O6760" s="2"/>
      <c r="P6760" s="867" t="s">
        <v>1733</v>
      </c>
    </row>
    <row r="6761" spans="1:16" ht="19.5" hidden="1" thickBot="1" x14ac:dyDescent="0.3">
      <c r="A6761" s="958"/>
      <c r="B6761" s="813" t="s">
        <v>1684</v>
      </c>
      <c r="C6761" s="814" t="s">
        <v>15</v>
      </c>
      <c r="D6761" s="815">
        <v>2</v>
      </c>
      <c r="E6761" s="815">
        <v>2.0310000000000001</v>
      </c>
      <c r="F6761" s="816" t="s">
        <v>16</v>
      </c>
      <c r="G6761" s="817" t="s">
        <v>76</v>
      </c>
      <c r="H6761" s="816" t="s">
        <v>1703</v>
      </c>
      <c r="I6761" s="816" t="s">
        <v>1703</v>
      </c>
      <c r="J6761" s="818"/>
      <c r="K6761" s="816" t="str">
        <f t="shared" si="203"/>
        <v>07,26</v>
      </c>
      <c r="L6761" s="816" t="s">
        <v>28</v>
      </c>
      <c r="M6761" s="816">
        <v>2010</v>
      </c>
      <c r="N6761" s="811">
        <v>0.45833333333333331</v>
      </c>
      <c r="O6761" s="2"/>
      <c r="P6761" s="867" t="s">
        <v>1734</v>
      </c>
    </row>
    <row r="6762" spans="1:16" ht="19.5" hidden="1" thickBot="1" x14ac:dyDescent="0.3">
      <c r="A6762" s="959"/>
      <c r="B6762" s="826" t="s">
        <v>1684</v>
      </c>
      <c r="C6762" s="827" t="s">
        <v>24</v>
      </c>
      <c r="D6762" s="828">
        <v>3.5</v>
      </c>
      <c r="E6762" s="828">
        <v>3.5350000000000001</v>
      </c>
      <c r="F6762" s="829" t="s">
        <v>16</v>
      </c>
      <c r="G6762" s="830" t="s">
        <v>76</v>
      </c>
      <c r="H6762" s="829" t="s">
        <v>1703</v>
      </c>
      <c r="I6762" s="829" t="s">
        <v>1703</v>
      </c>
      <c r="J6762" s="831"/>
      <c r="K6762" s="829" t="str">
        <f t="shared" si="203"/>
        <v>07,26</v>
      </c>
      <c r="L6762" s="829" t="s">
        <v>28</v>
      </c>
      <c r="M6762" s="829">
        <v>3510</v>
      </c>
      <c r="N6762" s="784">
        <v>0.45833333333333331</v>
      </c>
      <c r="O6762" s="2"/>
      <c r="P6762" s="867" t="s">
        <v>1735</v>
      </c>
    </row>
    <row r="6763" spans="1:16" ht="19.5" hidden="1" thickBot="1" x14ac:dyDescent="0.3">
      <c r="A6763" s="960">
        <f>MAX(A6733:A6762)+1</f>
        <v>4238</v>
      </c>
      <c r="B6763" s="610" t="s">
        <v>1700</v>
      </c>
      <c r="C6763" s="480" t="s">
        <v>24</v>
      </c>
      <c r="D6763" s="481">
        <v>6</v>
      </c>
      <c r="E6763" s="482">
        <v>2.9039999999999999</v>
      </c>
      <c r="F6763" s="483" t="s">
        <v>16</v>
      </c>
      <c r="G6763" s="549"/>
      <c r="H6763" s="483" t="s">
        <v>1703</v>
      </c>
      <c r="I6763" s="484" t="s">
        <v>1703</v>
      </c>
      <c r="J6763" s="485"/>
      <c r="K6763" s="483" t="str">
        <f t="shared" si="203"/>
        <v>07,26</v>
      </c>
      <c r="L6763" s="483" t="s">
        <v>28</v>
      </c>
      <c r="M6763" s="483">
        <v>6098.88</v>
      </c>
      <c r="N6763" s="486">
        <v>0.5</v>
      </c>
      <c r="O6763" s="2"/>
      <c r="P6763" s="867" t="s">
        <v>1725</v>
      </c>
    </row>
    <row r="6764" spans="1:16" ht="19.5" hidden="1" thickBot="1" x14ac:dyDescent="0.3">
      <c r="A6764" s="961"/>
      <c r="B6764" s="769" t="s">
        <v>1700</v>
      </c>
      <c r="C6764" s="764" t="s">
        <v>764</v>
      </c>
      <c r="D6764" s="765">
        <v>11.1</v>
      </c>
      <c r="E6764" s="766">
        <v>8.1760000000000002</v>
      </c>
      <c r="F6764" s="763" t="s">
        <v>16</v>
      </c>
      <c r="G6764" s="767"/>
      <c r="H6764" s="763" t="s">
        <v>1703</v>
      </c>
      <c r="I6764" s="768" t="s">
        <v>1703</v>
      </c>
      <c r="J6764" s="779"/>
      <c r="K6764" s="763" t="str">
        <f t="shared" si="203"/>
        <v>07,26</v>
      </c>
      <c r="L6764" s="763" t="s">
        <v>28</v>
      </c>
      <c r="M6764" s="763">
        <v>11147.4</v>
      </c>
      <c r="N6764" s="770">
        <v>0.5</v>
      </c>
      <c r="O6764" s="2"/>
      <c r="P6764" s="867" t="s">
        <v>1726</v>
      </c>
    </row>
    <row r="6765" spans="1:16" ht="19.5" hidden="1" thickBot="1" x14ac:dyDescent="0.3">
      <c r="A6765" s="961"/>
      <c r="B6765" s="792" t="s">
        <v>1700</v>
      </c>
      <c r="C6765" s="793" t="s">
        <v>764</v>
      </c>
      <c r="D6765" s="794">
        <v>6.19</v>
      </c>
      <c r="E6765" s="794">
        <v>6.2320000000000002</v>
      </c>
      <c r="F6765" s="795" t="s">
        <v>16</v>
      </c>
      <c r="G6765" s="796" t="s">
        <v>76</v>
      </c>
      <c r="H6765" s="795" t="s">
        <v>1703</v>
      </c>
      <c r="I6765" s="795" t="s">
        <v>1703</v>
      </c>
      <c r="J6765" s="797"/>
      <c r="K6765" s="795" t="str">
        <f t="shared" si="203"/>
        <v>07,26</v>
      </c>
      <c r="L6765" s="795" t="s">
        <v>28</v>
      </c>
      <c r="M6765" s="795">
        <v>6207.6</v>
      </c>
      <c r="N6765" s="502">
        <v>0.5</v>
      </c>
      <c r="O6765" s="2"/>
      <c r="P6765" s="867" t="s">
        <v>1727</v>
      </c>
    </row>
    <row r="6766" spans="1:16" ht="19.5" hidden="1" thickBot="1" x14ac:dyDescent="0.3">
      <c r="A6766" s="966">
        <f>MAX(A6735:A6765)+1</f>
        <v>4239</v>
      </c>
      <c r="B6766" s="531" t="s">
        <v>1700</v>
      </c>
      <c r="C6766" s="532" t="s">
        <v>47</v>
      </c>
      <c r="D6766" s="533">
        <v>17.521999999999998</v>
      </c>
      <c r="E6766" s="534">
        <v>14.234</v>
      </c>
      <c r="F6766" s="535" t="s">
        <v>16</v>
      </c>
      <c r="G6766" s="536"/>
      <c r="H6766" s="535" t="s">
        <v>1703</v>
      </c>
      <c r="I6766" s="537" t="s">
        <v>1703</v>
      </c>
      <c r="J6766" s="538"/>
      <c r="K6766" s="535" t="str">
        <f t="shared" si="203"/>
        <v>07,26</v>
      </c>
      <c r="L6766" s="535" t="s">
        <v>28</v>
      </c>
      <c r="M6766" s="535">
        <v>17691.16</v>
      </c>
      <c r="N6766" s="539">
        <v>0.54166666666666663</v>
      </c>
      <c r="O6766" s="2"/>
      <c r="P6766" s="867" t="s">
        <v>1741</v>
      </c>
    </row>
    <row r="6767" spans="1:16" ht="19.5" hidden="1" thickBot="1" x14ac:dyDescent="0.3">
      <c r="A6767" s="967"/>
      <c r="B6767" s="836" t="s">
        <v>1684</v>
      </c>
      <c r="C6767" s="837" t="s">
        <v>47</v>
      </c>
      <c r="D6767" s="838">
        <v>4.3</v>
      </c>
      <c r="E6767" s="838">
        <v>2.915</v>
      </c>
      <c r="F6767" s="839" t="s">
        <v>16</v>
      </c>
      <c r="G6767" s="850" t="s">
        <v>76</v>
      </c>
      <c r="H6767" s="839" t="s">
        <v>1703</v>
      </c>
      <c r="I6767" s="839" t="s">
        <v>1703</v>
      </c>
      <c r="J6767" s="840"/>
      <c r="K6767" s="839" t="str">
        <f t="shared" si="203"/>
        <v>07,26</v>
      </c>
      <c r="L6767" s="839" t="s">
        <v>28</v>
      </c>
      <c r="M6767" s="839">
        <v>4320</v>
      </c>
      <c r="N6767" s="804">
        <v>0.54166666666666663</v>
      </c>
      <c r="O6767" s="2"/>
      <c r="P6767" s="867" t="s">
        <v>1742</v>
      </c>
    </row>
    <row r="6768" spans="1:16" ht="19.5" hidden="1" thickBot="1" x14ac:dyDescent="0.3">
      <c r="A6768" s="513">
        <f>MAX(A6737:A6767)+1</f>
        <v>4240</v>
      </c>
      <c r="B6768" s="514" t="s">
        <v>1684</v>
      </c>
      <c r="C6768" s="515" t="s">
        <v>32</v>
      </c>
      <c r="D6768" s="516">
        <v>17.63</v>
      </c>
      <c r="E6768" s="517">
        <v>1.496</v>
      </c>
      <c r="F6768" s="518" t="s">
        <v>16</v>
      </c>
      <c r="G6768" s="519" t="s">
        <v>1750</v>
      </c>
      <c r="H6768" s="518" t="s">
        <v>1703</v>
      </c>
      <c r="I6768" s="520" t="s">
        <v>1704</v>
      </c>
      <c r="J6768" s="868" t="s">
        <v>1750</v>
      </c>
      <c r="K6768" s="514" t="str">
        <f t="shared" si="203"/>
        <v>07,26</v>
      </c>
      <c r="L6768" s="518" t="s">
        <v>266</v>
      </c>
      <c r="M6768" s="518">
        <v>17635.8</v>
      </c>
      <c r="N6768" s="522">
        <v>0.58333333333333337</v>
      </c>
      <c r="O6768" s="2"/>
      <c r="P6768" s="867" t="s">
        <v>1749</v>
      </c>
    </row>
    <row r="6769" spans="1:16" ht="19.5" hidden="1" thickBot="1" x14ac:dyDescent="0.3">
      <c r="A6769" s="966">
        <f>MAX(A6738:A6768)+1</f>
        <v>4241</v>
      </c>
      <c r="B6769" s="531" t="s">
        <v>1684</v>
      </c>
      <c r="C6769" s="532" t="s">
        <v>15</v>
      </c>
      <c r="D6769" s="533">
        <v>8.2880000000000003</v>
      </c>
      <c r="E6769" s="534">
        <v>8.1159999999999997</v>
      </c>
      <c r="F6769" s="535" t="s">
        <v>30</v>
      </c>
      <c r="G6769" s="536"/>
      <c r="H6769" s="535" t="s">
        <v>1703</v>
      </c>
      <c r="I6769" s="537" t="s">
        <v>1721</v>
      </c>
      <c r="J6769" s="538"/>
      <c r="K6769" s="535" t="str">
        <f t="shared" si="203"/>
        <v>07,26</v>
      </c>
      <c r="L6769" s="535" t="s">
        <v>28</v>
      </c>
      <c r="M6769" s="535">
        <v>8288.880000000001</v>
      </c>
      <c r="N6769" s="539">
        <v>0.41666666666666669</v>
      </c>
      <c r="O6769" s="2"/>
      <c r="P6769" s="867" t="s">
        <v>1753</v>
      </c>
    </row>
    <row r="6770" spans="1:16" ht="19.5" hidden="1" thickBot="1" x14ac:dyDescent="0.3">
      <c r="A6770" s="968"/>
      <c r="B6770" s="636" t="s">
        <v>1684</v>
      </c>
      <c r="C6770" s="637" t="s">
        <v>24</v>
      </c>
      <c r="D6770" s="638">
        <v>5.3079999999999998</v>
      </c>
      <c r="E6770" s="639">
        <v>5.0199999999999996</v>
      </c>
      <c r="F6770" s="640" t="s">
        <v>30</v>
      </c>
      <c r="G6770" s="641"/>
      <c r="H6770" s="640" t="s">
        <v>1703</v>
      </c>
      <c r="I6770" s="642" t="s">
        <v>1721</v>
      </c>
      <c r="J6770" s="643"/>
      <c r="K6770" s="640" t="str">
        <f t="shared" si="203"/>
        <v>07,26</v>
      </c>
      <c r="L6770" s="640" t="s">
        <v>28</v>
      </c>
      <c r="M6770" s="640">
        <v>5308.32</v>
      </c>
      <c r="N6770" s="644">
        <v>0.41666666666666669</v>
      </c>
      <c r="O6770" s="2"/>
      <c r="P6770" s="867" t="s">
        <v>1752</v>
      </c>
    </row>
    <row r="6771" spans="1:16" ht="19.5" hidden="1" thickBot="1" x14ac:dyDescent="0.3">
      <c r="A6771" s="960">
        <f>MAX(A6741:A6770)+1</f>
        <v>4242</v>
      </c>
      <c r="B6771" s="610" t="s">
        <v>1684</v>
      </c>
      <c r="C6771" s="480" t="s">
        <v>26</v>
      </c>
      <c r="D6771" s="481">
        <v>14.929</v>
      </c>
      <c r="E6771" s="482">
        <v>12.041</v>
      </c>
      <c r="F6771" s="483" t="s">
        <v>16</v>
      </c>
      <c r="G6771" s="549"/>
      <c r="H6771" s="483" t="s">
        <v>1704</v>
      </c>
      <c r="I6771" s="484" t="s">
        <v>1704</v>
      </c>
      <c r="J6771" s="485"/>
      <c r="K6771" s="483" t="str">
        <f t="shared" si="203"/>
        <v>07,26</v>
      </c>
      <c r="L6771" s="483" t="s">
        <v>265</v>
      </c>
      <c r="M6771" s="483">
        <v>15056.58</v>
      </c>
      <c r="N6771" s="486">
        <v>0.375</v>
      </c>
      <c r="O6771" s="2"/>
      <c r="P6771" s="867" t="s">
        <v>1743</v>
      </c>
    </row>
    <row r="6772" spans="1:16" ht="19.5" hidden="1" thickBot="1" x14ac:dyDescent="0.3">
      <c r="A6772" s="961"/>
      <c r="B6772" s="866" t="s">
        <v>1684</v>
      </c>
      <c r="C6772" s="524" t="s">
        <v>1705</v>
      </c>
      <c r="D6772" s="525">
        <v>0.83399999999999996</v>
      </c>
      <c r="E6772" s="526">
        <v>0.80400000000000005</v>
      </c>
      <c r="F6772" s="527" t="s">
        <v>16</v>
      </c>
      <c r="G6772" s="561"/>
      <c r="H6772" s="527" t="s">
        <v>1704</v>
      </c>
      <c r="I6772" s="528" t="s">
        <v>1704</v>
      </c>
      <c r="J6772" s="529"/>
      <c r="K6772" s="527" t="str">
        <f t="shared" si="203"/>
        <v>07,26</v>
      </c>
      <c r="L6772" s="527" t="s">
        <v>265</v>
      </c>
      <c r="M6772" s="527">
        <v>834.54000000000008</v>
      </c>
      <c r="N6772" s="530">
        <v>0.375</v>
      </c>
      <c r="O6772" s="2"/>
      <c r="P6772" s="867" t="s">
        <v>1745</v>
      </c>
    </row>
    <row r="6773" spans="1:16" ht="19.5" hidden="1" thickBot="1" x14ac:dyDescent="0.3">
      <c r="A6773" s="961"/>
      <c r="B6773" s="769" t="s">
        <v>1684</v>
      </c>
      <c r="C6773" s="764" t="s">
        <v>952</v>
      </c>
      <c r="D6773" s="765">
        <v>1.619</v>
      </c>
      <c r="E6773" s="766">
        <v>1.617</v>
      </c>
      <c r="F6773" s="763" t="s">
        <v>16</v>
      </c>
      <c r="G6773" s="767"/>
      <c r="H6773" s="763" t="s">
        <v>1704</v>
      </c>
      <c r="I6773" s="768" t="s">
        <v>1704</v>
      </c>
      <c r="J6773" s="779"/>
      <c r="K6773" s="763" t="str">
        <f t="shared" si="203"/>
        <v>07,26</v>
      </c>
      <c r="L6773" s="763" t="s">
        <v>265</v>
      </c>
      <c r="M6773" s="763">
        <v>1693.38</v>
      </c>
      <c r="N6773" s="770">
        <v>0.375</v>
      </c>
      <c r="O6773" s="2"/>
      <c r="P6773" s="867" t="s">
        <v>1744</v>
      </c>
    </row>
    <row r="6774" spans="1:16" ht="19.5" hidden="1" thickBot="1" x14ac:dyDescent="0.3">
      <c r="A6774" s="962"/>
      <c r="B6774" s="853" t="s">
        <v>1703</v>
      </c>
      <c r="C6774" s="854" t="s">
        <v>26</v>
      </c>
      <c r="D6774" s="855">
        <v>2.9</v>
      </c>
      <c r="E6774" s="855">
        <v>2.9129999999999998</v>
      </c>
      <c r="F6774" s="856" t="s">
        <v>16</v>
      </c>
      <c r="G6774" s="857" t="s">
        <v>76</v>
      </c>
      <c r="H6774" s="856" t="s">
        <v>1704</v>
      </c>
      <c r="I6774" s="856" t="s">
        <v>1704</v>
      </c>
      <c r="J6774" s="858"/>
      <c r="K6774" s="856" t="str">
        <f t="shared" si="203"/>
        <v>07,26</v>
      </c>
      <c r="L6774" s="856" t="s">
        <v>265</v>
      </c>
      <c r="M6774" s="856">
        <v>2910</v>
      </c>
      <c r="N6774" s="653">
        <v>0.375</v>
      </c>
      <c r="O6774" s="2"/>
      <c r="P6774" s="867" t="s">
        <v>1746</v>
      </c>
    </row>
    <row r="6775" spans="1:16" ht="19.5" hidden="1" thickBot="1" x14ac:dyDescent="0.3">
      <c r="A6775" s="957">
        <f>MAX(A6750:A6774)+1</f>
        <v>4243</v>
      </c>
      <c r="B6775" s="759" t="s">
        <v>1684</v>
      </c>
      <c r="C6775" s="532" t="s">
        <v>913</v>
      </c>
      <c r="D6775" s="533">
        <v>2.5939999999999999</v>
      </c>
      <c r="E6775" s="534">
        <v>2.0609999999999999</v>
      </c>
      <c r="F6775" s="535" t="s">
        <v>16</v>
      </c>
      <c r="G6775" s="536"/>
      <c r="H6775" s="535" t="s">
        <v>1704</v>
      </c>
      <c r="I6775" s="537" t="s">
        <v>1704</v>
      </c>
      <c r="J6775" s="538"/>
      <c r="K6775" s="535" t="str">
        <f t="shared" si="203"/>
        <v>07,26</v>
      </c>
      <c r="L6775" s="535" t="s">
        <v>266</v>
      </c>
      <c r="M6775" s="535">
        <v>2616.8999999999996</v>
      </c>
      <c r="N6775" s="539">
        <v>0.41666666666666669</v>
      </c>
      <c r="O6775" s="2"/>
      <c r="P6775" s="867" t="s">
        <v>1754</v>
      </c>
    </row>
    <row r="6776" spans="1:16" ht="19.5" hidden="1" thickBot="1" x14ac:dyDescent="0.3">
      <c r="A6776" s="958"/>
      <c r="B6776" s="824" t="s">
        <v>1684</v>
      </c>
      <c r="C6776" s="820" t="s">
        <v>23</v>
      </c>
      <c r="D6776" s="821">
        <v>14.505000000000001</v>
      </c>
      <c r="E6776" s="822">
        <v>9.5500000000000007</v>
      </c>
      <c r="F6776" s="819" t="s">
        <v>16</v>
      </c>
      <c r="G6776" s="823"/>
      <c r="H6776" s="819" t="s">
        <v>1704</v>
      </c>
      <c r="I6776" s="782" t="s">
        <v>1704</v>
      </c>
      <c r="J6776" s="825"/>
      <c r="K6776" s="819" t="str">
        <f t="shared" si="203"/>
        <v>07,26</v>
      </c>
      <c r="L6776" s="819" t="s">
        <v>28</v>
      </c>
      <c r="M6776" s="819">
        <v>14596.900000000001</v>
      </c>
      <c r="N6776" s="811">
        <v>0.41666666666666669</v>
      </c>
      <c r="O6776" s="2"/>
      <c r="P6776" s="867" t="s">
        <v>1755</v>
      </c>
    </row>
    <row r="6777" spans="1:16" ht="19.5" hidden="1" thickBot="1" x14ac:dyDescent="0.3">
      <c r="A6777" s="958"/>
      <c r="B6777" s="826" t="s">
        <v>1703</v>
      </c>
      <c r="C6777" s="827" t="s">
        <v>23</v>
      </c>
      <c r="D6777" s="828">
        <v>4.7</v>
      </c>
      <c r="E6777" s="828">
        <v>4.7089999999999996</v>
      </c>
      <c r="F6777" s="829" t="s">
        <v>16</v>
      </c>
      <c r="G6777" s="830" t="s">
        <v>76</v>
      </c>
      <c r="H6777" s="829" t="s">
        <v>1704</v>
      </c>
      <c r="I6777" s="829" t="s">
        <v>1704</v>
      </c>
      <c r="J6777" s="831"/>
      <c r="K6777" s="829" t="str">
        <f t="shared" si="203"/>
        <v>07,26</v>
      </c>
      <c r="L6777" s="829" t="s">
        <v>28</v>
      </c>
      <c r="M6777" s="829">
        <v>4710</v>
      </c>
      <c r="N6777" s="644">
        <v>0.41666666666666669</v>
      </c>
      <c r="O6777" s="2"/>
      <c r="P6777" s="867" t="s">
        <v>1756</v>
      </c>
    </row>
    <row r="6778" spans="1:16" ht="19.5" hidden="1" thickBot="1" x14ac:dyDescent="0.3">
      <c r="A6778" s="513">
        <f>MAX(A6752:A6777)+1</f>
        <v>4244</v>
      </c>
      <c r="B6778" s="514" t="s">
        <v>1701</v>
      </c>
      <c r="C6778" s="515" t="s">
        <v>1341</v>
      </c>
      <c r="D6778" s="516">
        <v>9.3330000000000002</v>
      </c>
      <c r="E6778" s="517">
        <v>9.3759999999999994</v>
      </c>
      <c r="F6778" s="518" t="s">
        <v>16</v>
      </c>
      <c r="G6778" s="519"/>
      <c r="H6778" s="518" t="s">
        <v>1704</v>
      </c>
      <c r="I6778" s="520" t="s">
        <v>1704</v>
      </c>
      <c r="J6778" s="521"/>
      <c r="K6778" s="518" t="str">
        <f t="shared" si="203"/>
        <v>07,26</v>
      </c>
      <c r="L6778" s="518" t="s">
        <v>266</v>
      </c>
      <c r="M6778" s="518">
        <v>9332.9999999999982</v>
      </c>
      <c r="N6778" s="522">
        <v>0.45833333333333331</v>
      </c>
      <c r="O6778" s="2"/>
      <c r="P6778" s="867" t="s">
        <v>1757</v>
      </c>
    </row>
    <row r="6779" spans="1:16" ht="19.5" hidden="1" thickBot="1" x14ac:dyDescent="0.3">
      <c r="A6779" s="503">
        <f>MAX(A6753:A6778)+1</f>
        <v>4245</v>
      </c>
      <c r="B6779" s="504" t="s">
        <v>1701</v>
      </c>
      <c r="C6779" s="505" t="s">
        <v>26</v>
      </c>
      <c r="D6779" s="506">
        <v>12.856</v>
      </c>
      <c r="E6779" s="507">
        <v>12.856</v>
      </c>
      <c r="F6779" s="508" t="s">
        <v>30</v>
      </c>
      <c r="G6779" s="509"/>
      <c r="H6779" s="508" t="s">
        <v>1704</v>
      </c>
      <c r="I6779" s="510" t="s">
        <v>1704</v>
      </c>
      <c r="J6779" s="511"/>
      <c r="K6779" s="508" t="str">
        <f t="shared" si="203"/>
        <v>07,26</v>
      </c>
      <c r="L6779" s="508" t="s">
        <v>265</v>
      </c>
      <c r="M6779" s="508">
        <v>12856.319999999998</v>
      </c>
      <c r="N6779" s="512">
        <v>0.375</v>
      </c>
      <c r="O6779" s="2"/>
      <c r="P6779" s="867" t="s">
        <v>1751</v>
      </c>
    </row>
    <row r="6780" spans="1:16" ht="19.5" hidden="1" thickBot="1" x14ac:dyDescent="0.3">
      <c r="A6780" s="960">
        <f>MAX(A6754:A6779)+1</f>
        <v>4246</v>
      </c>
      <c r="B6780" s="610" t="s">
        <v>1701</v>
      </c>
      <c r="C6780" s="480" t="s">
        <v>26</v>
      </c>
      <c r="D6780" s="481">
        <v>17.457999999999998</v>
      </c>
      <c r="E6780" s="482">
        <v>15.742000000000001</v>
      </c>
      <c r="F6780" s="483" t="s">
        <v>16</v>
      </c>
      <c r="G6780" s="549"/>
      <c r="H6780" s="483" t="s">
        <v>1721</v>
      </c>
      <c r="I6780" s="484" t="s">
        <v>1721</v>
      </c>
      <c r="J6780" s="485"/>
      <c r="K6780" s="483" t="str">
        <f t="shared" si="203"/>
        <v>07,26</v>
      </c>
      <c r="L6780" s="483" t="s">
        <v>265</v>
      </c>
      <c r="M6780" s="483">
        <v>17646</v>
      </c>
      <c r="N6780" s="486">
        <v>0.375</v>
      </c>
      <c r="O6780" s="2"/>
      <c r="P6780" s="867" t="s">
        <v>1760</v>
      </c>
    </row>
    <row r="6781" spans="1:16" ht="19.5" hidden="1" thickBot="1" x14ac:dyDescent="0.3">
      <c r="A6781" s="962"/>
      <c r="B6781" s="805" t="s">
        <v>1704</v>
      </c>
      <c r="C6781" s="806" t="s">
        <v>26</v>
      </c>
      <c r="D6781" s="807">
        <v>1.8</v>
      </c>
      <c r="E6781" s="807">
        <v>1.843</v>
      </c>
      <c r="F6781" s="808" t="s">
        <v>16</v>
      </c>
      <c r="G6781" s="809"/>
      <c r="H6781" s="808" t="s">
        <v>1721</v>
      </c>
      <c r="I6781" s="808" t="s">
        <v>1721</v>
      </c>
      <c r="J6781" s="810"/>
      <c r="K6781" s="808" t="str">
        <f t="shared" si="203"/>
        <v>07,26</v>
      </c>
      <c r="L6781" s="808" t="s">
        <v>265</v>
      </c>
      <c r="M6781" s="808">
        <v>1830</v>
      </c>
      <c r="N6781" s="778">
        <v>0.375</v>
      </c>
      <c r="O6781" s="2"/>
      <c r="P6781" s="867" t="s">
        <v>1761</v>
      </c>
    </row>
    <row r="6782" spans="1:16" ht="19.5" hidden="1" thickBot="1" x14ac:dyDescent="0.3">
      <c r="A6782" s="957">
        <f>MAX(A6756:A6781)+1</f>
        <v>4247</v>
      </c>
      <c r="B6782" s="759" t="s">
        <v>1701</v>
      </c>
      <c r="C6782" s="532" t="s">
        <v>480</v>
      </c>
      <c r="D6782" s="533">
        <v>9.57</v>
      </c>
      <c r="E6782" s="534">
        <v>8.7940000000000005</v>
      </c>
      <c r="F6782" s="535" t="s">
        <v>16</v>
      </c>
      <c r="G6782" s="536"/>
      <c r="H6782" s="535" t="s">
        <v>1721</v>
      </c>
      <c r="I6782" s="537" t="s">
        <v>1721</v>
      </c>
      <c r="J6782" s="538"/>
      <c r="K6782" s="535" t="str">
        <f t="shared" si="203"/>
        <v>07,26</v>
      </c>
      <c r="L6782" s="535" t="s">
        <v>266</v>
      </c>
      <c r="M6782" s="535">
        <v>9687.74</v>
      </c>
      <c r="N6782" s="539">
        <v>0.41666666666666669</v>
      </c>
      <c r="O6782" s="2"/>
      <c r="P6782" s="867" t="s">
        <v>1762</v>
      </c>
    </row>
    <row r="6783" spans="1:16" ht="19.5" hidden="1" thickBot="1" x14ac:dyDescent="0.3">
      <c r="A6783" s="958"/>
      <c r="B6783" s="824" t="s">
        <v>1701</v>
      </c>
      <c r="C6783" s="820" t="s">
        <v>23</v>
      </c>
      <c r="D6783" s="821">
        <v>7.9219999999999997</v>
      </c>
      <c r="E6783" s="822">
        <v>5.52</v>
      </c>
      <c r="F6783" s="819" t="s">
        <v>16</v>
      </c>
      <c r="G6783" s="823"/>
      <c r="H6783" s="819" t="s">
        <v>1721</v>
      </c>
      <c r="I6783" s="782" t="s">
        <v>1721</v>
      </c>
      <c r="J6783" s="825"/>
      <c r="K6783" s="819" t="str">
        <f t="shared" si="203"/>
        <v>07,26</v>
      </c>
      <c r="L6783" s="819" t="s">
        <v>28</v>
      </c>
      <c r="M6783" s="819">
        <v>8010.5199999999995</v>
      </c>
      <c r="N6783" s="811">
        <v>0.41666666666666669</v>
      </c>
      <c r="O6783" s="2"/>
      <c r="P6783" s="867" t="s">
        <v>1763</v>
      </c>
    </row>
    <row r="6784" spans="1:16" ht="19.5" hidden="1" thickBot="1" x14ac:dyDescent="0.3">
      <c r="A6784" s="958"/>
      <c r="B6784" s="852" t="s">
        <v>1721</v>
      </c>
      <c r="C6784" s="837" t="s">
        <v>23</v>
      </c>
      <c r="D6784" s="838">
        <v>2.4</v>
      </c>
      <c r="E6784" s="838">
        <v>2.4249999999999998</v>
      </c>
      <c r="F6784" s="839" t="s">
        <v>16</v>
      </c>
      <c r="G6784" s="850"/>
      <c r="H6784" s="839" t="s">
        <v>1721</v>
      </c>
      <c r="I6784" s="839" t="s">
        <v>1721</v>
      </c>
      <c r="J6784" s="840"/>
      <c r="K6784" s="839" t="str">
        <f t="shared" si="203"/>
        <v>07,26</v>
      </c>
      <c r="L6784" s="839" t="s">
        <v>28</v>
      </c>
      <c r="M6784" s="839">
        <v>2415</v>
      </c>
      <c r="N6784" s="598">
        <v>0.41666666666666669</v>
      </c>
      <c r="O6784" s="2"/>
      <c r="P6784" s="867" t="s">
        <v>1764</v>
      </c>
    </row>
    <row r="6785" spans="1:16" ht="18.75" hidden="1" customHeight="1" x14ac:dyDescent="0.25">
      <c r="A6785" s="960">
        <f>MAX(A6760:A6784)+1</f>
        <v>4248</v>
      </c>
      <c r="B6785" s="610" t="s">
        <v>1701</v>
      </c>
      <c r="C6785" s="480" t="s">
        <v>47</v>
      </c>
      <c r="D6785" s="481">
        <v>15.505000000000001</v>
      </c>
      <c r="E6785" s="482">
        <v>13.308999999999999</v>
      </c>
      <c r="F6785" s="483" t="s">
        <v>16</v>
      </c>
      <c r="G6785" s="963" t="s">
        <v>1634</v>
      </c>
      <c r="H6785" s="483" t="s">
        <v>1721</v>
      </c>
      <c r="I6785" s="484" t="s">
        <v>1721</v>
      </c>
      <c r="J6785" s="485"/>
      <c r="K6785" s="483" t="str">
        <f t="shared" si="203"/>
        <v>07,26</v>
      </c>
      <c r="L6785" s="483" t="s">
        <v>28</v>
      </c>
      <c r="M6785" s="483">
        <v>15695.96</v>
      </c>
      <c r="N6785" s="486">
        <v>0.45833333333333331</v>
      </c>
      <c r="O6785" s="2"/>
      <c r="P6785" s="867" t="s">
        <v>1767</v>
      </c>
    </row>
    <row r="6786" spans="1:16" ht="19.5" hidden="1" thickBot="1" x14ac:dyDescent="0.3">
      <c r="A6786" s="962"/>
      <c r="B6786" s="805" t="s">
        <v>1721</v>
      </c>
      <c r="C6786" s="806" t="s">
        <v>47</v>
      </c>
      <c r="D6786" s="807">
        <v>2.5</v>
      </c>
      <c r="E6786" s="807">
        <v>2.5379999999999998</v>
      </c>
      <c r="F6786" s="808" t="s">
        <v>16</v>
      </c>
      <c r="G6786" s="965"/>
      <c r="H6786" s="808" t="s">
        <v>1721</v>
      </c>
      <c r="I6786" s="808" t="s">
        <v>1721</v>
      </c>
      <c r="J6786" s="810"/>
      <c r="K6786" s="808" t="str">
        <f t="shared" si="203"/>
        <v>07,26</v>
      </c>
      <c r="L6786" s="808" t="s">
        <v>28</v>
      </c>
      <c r="M6786" s="808">
        <v>2520</v>
      </c>
      <c r="N6786" s="778">
        <v>0.45833333333333331</v>
      </c>
      <c r="O6786" s="2"/>
      <c r="P6786" s="867" t="s">
        <v>1768</v>
      </c>
    </row>
    <row r="6787" spans="1:16" ht="49.5" hidden="1" customHeight="1" x14ac:dyDescent="0.25">
      <c r="A6787" s="966">
        <f>MAX(A6761:A6786)+1</f>
        <v>4249</v>
      </c>
      <c r="B6787" s="531" t="s">
        <v>1701</v>
      </c>
      <c r="C6787" s="532" t="s">
        <v>24</v>
      </c>
      <c r="D6787" s="533">
        <v>13.52</v>
      </c>
      <c r="E6787" s="534">
        <v>11.621</v>
      </c>
      <c r="F6787" s="535" t="s">
        <v>16</v>
      </c>
      <c r="G6787" s="976" t="s">
        <v>1722</v>
      </c>
      <c r="H6787" s="535" t="s">
        <v>1721</v>
      </c>
      <c r="I6787" s="537" t="s">
        <v>1759</v>
      </c>
      <c r="J6787" s="538"/>
      <c r="K6787" s="535" t="str">
        <f t="shared" si="203"/>
        <v>07,26</v>
      </c>
      <c r="L6787" s="535" t="s">
        <v>28</v>
      </c>
      <c r="M6787" s="535">
        <v>13721.14</v>
      </c>
      <c r="N6787" s="539">
        <v>0.5</v>
      </c>
      <c r="O6787" s="2"/>
      <c r="P6787" s="867" t="s">
        <v>1780</v>
      </c>
    </row>
    <row r="6788" spans="1:16" ht="49.5" hidden="1" customHeight="1" thickBot="1" x14ac:dyDescent="0.3">
      <c r="A6788" s="967"/>
      <c r="B6788" s="836" t="s">
        <v>1721</v>
      </c>
      <c r="C6788" s="837" t="s">
        <v>24</v>
      </c>
      <c r="D6788" s="838">
        <v>2.1</v>
      </c>
      <c r="E6788" s="838">
        <v>2.1120000000000001</v>
      </c>
      <c r="F6788" s="839" t="s">
        <v>16</v>
      </c>
      <c r="G6788" s="975"/>
      <c r="H6788" s="839" t="s">
        <v>1721</v>
      </c>
      <c r="I6788" s="839" t="s">
        <v>1759</v>
      </c>
      <c r="J6788" s="840"/>
      <c r="K6788" s="839" t="str">
        <f t="shared" si="203"/>
        <v>07,26</v>
      </c>
      <c r="L6788" s="839" t="s">
        <v>28</v>
      </c>
      <c r="M6788" s="839">
        <v>2115</v>
      </c>
      <c r="N6788" s="804">
        <v>0.5</v>
      </c>
      <c r="O6788" s="2"/>
      <c r="P6788" s="867" t="s">
        <v>1781</v>
      </c>
    </row>
    <row r="6789" spans="1:16" ht="19.5" hidden="1" thickBot="1" x14ac:dyDescent="0.3">
      <c r="A6789" s="954">
        <f>MAX(A6762:A6788)+1</f>
        <v>4250</v>
      </c>
      <c r="B6789" s="479" t="s">
        <v>1701</v>
      </c>
      <c r="C6789" s="480" t="s">
        <v>587</v>
      </c>
      <c r="D6789" s="481">
        <v>5.9189999999999996</v>
      </c>
      <c r="E6789" s="482">
        <v>5.9189999999999996</v>
      </c>
      <c r="F6789" s="483" t="s">
        <v>30</v>
      </c>
      <c r="G6789" s="549" t="s">
        <v>23</v>
      </c>
      <c r="H6789" s="483" t="s">
        <v>1721</v>
      </c>
      <c r="I6789" s="484" t="s">
        <v>1721</v>
      </c>
      <c r="J6789" s="485"/>
      <c r="K6789" s="483" t="str">
        <f t="shared" si="203"/>
        <v>07,26</v>
      </c>
      <c r="L6789" s="483" t="s">
        <v>28</v>
      </c>
      <c r="M6789" s="483">
        <v>5919.48</v>
      </c>
      <c r="N6789" s="486">
        <v>0.41666666666666669</v>
      </c>
      <c r="O6789" s="2"/>
      <c r="P6789" s="867" t="s">
        <v>1765</v>
      </c>
    </row>
    <row r="6790" spans="1:16" ht="19.5" hidden="1" thickBot="1" x14ac:dyDescent="0.3">
      <c r="A6790" s="956"/>
      <c r="B6790" s="645" t="s">
        <v>1701</v>
      </c>
      <c r="C6790" s="646" t="s">
        <v>47</v>
      </c>
      <c r="D6790" s="647">
        <v>5.8710000000000004</v>
      </c>
      <c r="E6790" s="648">
        <v>5.8710000000000004</v>
      </c>
      <c r="F6790" s="649" t="s">
        <v>30</v>
      </c>
      <c r="G6790" s="650"/>
      <c r="H6790" s="649" t="s">
        <v>1721</v>
      </c>
      <c r="I6790" s="651" t="s">
        <v>1721</v>
      </c>
      <c r="J6790" s="652"/>
      <c r="K6790" s="649" t="str">
        <f t="shared" si="203"/>
        <v>07,26</v>
      </c>
      <c r="L6790" s="649" t="s">
        <v>28</v>
      </c>
      <c r="M6790" s="649">
        <v>5871.7199999999993</v>
      </c>
      <c r="N6790" s="653">
        <v>0.41666666666666669</v>
      </c>
      <c r="O6790" s="2"/>
      <c r="P6790" s="867" t="s">
        <v>1766</v>
      </c>
    </row>
    <row r="6791" spans="1:16" ht="19.5" hidden="1" thickBot="1" x14ac:dyDescent="0.3">
      <c r="A6791" s="966">
        <f t="shared" ref="A6791" si="204">MAX(A6764:A6790)+1</f>
        <v>4251</v>
      </c>
      <c r="B6791" s="531" t="s">
        <v>1701</v>
      </c>
      <c r="C6791" s="532" t="s">
        <v>26</v>
      </c>
      <c r="D6791" s="533">
        <v>17.286000000000001</v>
      </c>
      <c r="E6791" s="534">
        <v>16.215</v>
      </c>
      <c r="F6791" s="535" t="s">
        <v>16</v>
      </c>
      <c r="G6791" s="536"/>
      <c r="H6791" s="535" t="s">
        <v>1723</v>
      </c>
      <c r="I6791" s="537" t="s">
        <v>1723</v>
      </c>
      <c r="J6791" s="538"/>
      <c r="K6791" s="535" t="str">
        <f t="shared" si="203"/>
        <v>07,26</v>
      </c>
      <c r="L6791" s="535" t="s">
        <v>265</v>
      </c>
      <c r="M6791" s="535">
        <v>17478.29</v>
      </c>
      <c r="N6791" s="539">
        <v>0.375</v>
      </c>
      <c r="O6791" s="2"/>
      <c r="P6791" s="867" t="s">
        <v>1772</v>
      </c>
    </row>
    <row r="6792" spans="1:16" ht="19.5" hidden="1" thickBot="1" x14ac:dyDescent="0.3">
      <c r="A6792" s="967"/>
      <c r="B6792" s="813" t="s">
        <v>1723</v>
      </c>
      <c r="C6792" s="814" t="s">
        <v>26</v>
      </c>
      <c r="D6792" s="815">
        <v>0.15</v>
      </c>
      <c r="E6792" s="815" t="s">
        <v>1496</v>
      </c>
      <c r="F6792" s="816" t="s">
        <v>16</v>
      </c>
      <c r="G6792" s="817" t="s">
        <v>1024</v>
      </c>
      <c r="H6792" s="816" t="s">
        <v>1723</v>
      </c>
      <c r="I6792" s="816" t="s">
        <v>1496</v>
      </c>
      <c r="J6792" s="818"/>
      <c r="K6792" s="816" t="str">
        <f t="shared" si="203"/>
        <v>тмена</v>
      </c>
      <c r="L6792" s="816" t="s">
        <v>265</v>
      </c>
      <c r="M6792" s="816">
        <v>150</v>
      </c>
      <c r="N6792" s="811">
        <v>0.375</v>
      </c>
      <c r="O6792" s="2"/>
      <c r="P6792" s="867" t="s">
        <v>1024</v>
      </c>
    </row>
    <row r="6793" spans="1:16" ht="19.5" hidden="1" thickBot="1" x14ac:dyDescent="0.3">
      <c r="A6793" s="967"/>
      <c r="B6793" s="836" t="s">
        <v>1721</v>
      </c>
      <c r="C6793" s="837" t="s">
        <v>26</v>
      </c>
      <c r="D6793" s="838">
        <v>1.1000000000000001</v>
      </c>
      <c r="E6793" s="838">
        <v>1.119</v>
      </c>
      <c r="F6793" s="839" t="s">
        <v>16</v>
      </c>
      <c r="G6793" s="850"/>
      <c r="H6793" s="839" t="s">
        <v>1723</v>
      </c>
      <c r="I6793" s="839" t="s">
        <v>1723</v>
      </c>
      <c r="J6793" s="840"/>
      <c r="K6793" s="839" t="str">
        <f t="shared" si="203"/>
        <v>07,26</v>
      </c>
      <c r="L6793" s="839" t="s">
        <v>265</v>
      </c>
      <c r="M6793" s="839">
        <v>1110</v>
      </c>
      <c r="N6793" s="804">
        <v>0.375</v>
      </c>
      <c r="O6793" s="2"/>
      <c r="P6793" s="867" t="s">
        <v>1773</v>
      </c>
    </row>
    <row r="6794" spans="1:16" ht="38.25" hidden="1" thickBot="1" x14ac:dyDescent="0.3">
      <c r="A6794" s="513">
        <f>MAX(A6765:A6791)+1</f>
        <v>4252</v>
      </c>
      <c r="B6794" s="514" t="s">
        <v>1701</v>
      </c>
      <c r="C6794" s="515" t="s">
        <v>15</v>
      </c>
      <c r="D6794" s="516">
        <v>14.497999999999999</v>
      </c>
      <c r="E6794" s="517">
        <v>13.256</v>
      </c>
      <c r="F6794" s="518" t="s">
        <v>16</v>
      </c>
      <c r="G6794" s="519" t="s">
        <v>1724</v>
      </c>
      <c r="H6794" s="518" t="s">
        <v>1723</v>
      </c>
      <c r="I6794" s="520" t="s">
        <v>1759</v>
      </c>
      <c r="J6794" s="521"/>
      <c r="K6794" s="518" t="str">
        <f t="shared" si="203"/>
        <v>07,26</v>
      </c>
      <c r="L6794" s="518" t="s">
        <v>28</v>
      </c>
      <c r="M6794" s="518">
        <v>14641.119999999999</v>
      </c>
      <c r="N6794" s="522">
        <v>0.41666666666666669</v>
      </c>
      <c r="O6794" s="2"/>
      <c r="P6794" s="867" t="s">
        <v>1782</v>
      </c>
    </row>
    <row r="6795" spans="1:16" ht="19.5" hidden="1" thickBot="1" x14ac:dyDescent="0.3">
      <c r="A6795" s="503">
        <f>MAX(A6766:A6794)+1</f>
        <v>4253</v>
      </c>
      <c r="B6795" s="504" t="s">
        <v>1701</v>
      </c>
      <c r="C6795" s="505" t="s">
        <v>47</v>
      </c>
      <c r="D6795" s="506">
        <v>17.498999999999999</v>
      </c>
      <c r="E6795" s="507">
        <v>17.135999999999999</v>
      </c>
      <c r="F6795" s="508" t="s">
        <v>16</v>
      </c>
      <c r="G6795" s="509"/>
      <c r="H6795" s="508" t="s">
        <v>1723</v>
      </c>
      <c r="I6795" s="510" t="s">
        <v>1723</v>
      </c>
      <c r="J6795" s="511"/>
      <c r="K6795" s="508" t="str">
        <f t="shared" si="203"/>
        <v>07,26</v>
      </c>
      <c r="L6795" s="508" t="s">
        <v>28</v>
      </c>
      <c r="M6795" s="508">
        <v>17585.059999999998</v>
      </c>
      <c r="N6795" s="512">
        <v>0.45833333333333331</v>
      </c>
      <c r="O6795" s="2"/>
      <c r="P6795" s="867" t="s">
        <v>1771</v>
      </c>
    </row>
    <row r="6796" spans="1:16" ht="19.5" hidden="1" thickBot="1" x14ac:dyDescent="0.3">
      <c r="A6796" s="572">
        <f>MAX(A6767:A6795)+1</f>
        <v>4254</v>
      </c>
      <c r="B6796" s="573" t="s">
        <v>1701</v>
      </c>
      <c r="C6796" s="574" t="s">
        <v>1382</v>
      </c>
      <c r="D6796" s="575">
        <v>17.901</v>
      </c>
      <c r="E6796" s="576">
        <v>17.997</v>
      </c>
      <c r="F6796" s="577" t="s">
        <v>16</v>
      </c>
      <c r="G6796" s="578"/>
      <c r="H6796" s="577" t="s">
        <v>1723</v>
      </c>
      <c r="I6796" s="579" t="s">
        <v>1769</v>
      </c>
      <c r="J6796" s="580"/>
      <c r="K6796" s="577" t="str">
        <f t="shared" si="203"/>
        <v>07,26</v>
      </c>
      <c r="L6796" s="577" t="s">
        <v>266</v>
      </c>
      <c r="M6796" s="577">
        <v>18026.280000000002</v>
      </c>
      <c r="N6796" s="581">
        <v>0.5</v>
      </c>
      <c r="O6796" s="2"/>
      <c r="P6796" s="867" t="s">
        <v>1788</v>
      </c>
    </row>
    <row r="6797" spans="1:16" ht="19.5" hidden="1" thickBot="1" x14ac:dyDescent="0.3">
      <c r="A6797" s="957">
        <f>MAX(A6768:A6796)+1</f>
        <v>4255</v>
      </c>
      <c r="B6797" s="759" t="s">
        <v>1701</v>
      </c>
      <c r="C6797" s="532" t="s">
        <v>26</v>
      </c>
      <c r="D6797" s="533">
        <v>17.433</v>
      </c>
      <c r="E6797" s="534">
        <v>14.465999999999999</v>
      </c>
      <c r="F6797" s="535" t="s">
        <v>16</v>
      </c>
      <c r="G6797" s="536"/>
      <c r="H6797" s="535" t="s">
        <v>1723</v>
      </c>
      <c r="I6797" s="537" t="s">
        <v>1759</v>
      </c>
      <c r="J6797" s="538"/>
      <c r="K6797" s="535" t="str">
        <f t="shared" ref="K6797:K6860" si="205">RIGHT(I6797,5)</f>
        <v>07,26</v>
      </c>
      <c r="L6797" s="535" t="s">
        <v>265</v>
      </c>
      <c r="M6797" s="535">
        <v>17476.72</v>
      </c>
      <c r="N6797" s="539">
        <v>0.58333333333333337</v>
      </c>
      <c r="O6797" s="2"/>
      <c r="P6797" s="867" t="s">
        <v>1776</v>
      </c>
    </row>
    <row r="6798" spans="1:16" ht="19.5" hidden="1" thickBot="1" x14ac:dyDescent="0.3">
      <c r="A6798" s="958"/>
      <c r="B6798" s="813" t="s">
        <v>1721</v>
      </c>
      <c r="C6798" s="814" t="s">
        <v>26</v>
      </c>
      <c r="D6798" s="815">
        <v>1.6</v>
      </c>
      <c r="E6798" s="815">
        <v>1.6359999999999999</v>
      </c>
      <c r="F6798" s="816" t="s">
        <v>16</v>
      </c>
      <c r="G6798" s="817"/>
      <c r="H6798" s="816" t="s">
        <v>1723</v>
      </c>
      <c r="I6798" s="816" t="s">
        <v>1759</v>
      </c>
      <c r="J6798" s="818"/>
      <c r="K6798" s="816" t="str">
        <f t="shared" si="205"/>
        <v>07,26</v>
      </c>
      <c r="L6798" s="816" t="s">
        <v>265</v>
      </c>
      <c r="M6798" s="816">
        <v>1620</v>
      </c>
      <c r="N6798" s="811">
        <v>0.58333333333333337</v>
      </c>
      <c r="O6798" s="2"/>
      <c r="P6798" s="867" t="s">
        <v>1778</v>
      </c>
    </row>
    <row r="6799" spans="1:16" ht="19.5" hidden="1" thickBot="1" x14ac:dyDescent="0.3">
      <c r="A6799" s="958"/>
      <c r="B6799" s="813" t="s">
        <v>1759</v>
      </c>
      <c r="C6799" s="814" t="s">
        <v>26</v>
      </c>
      <c r="D6799" s="815">
        <v>0.2</v>
      </c>
      <c r="E6799" s="815">
        <v>0.20699999999999999</v>
      </c>
      <c r="F6799" s="816" t="s">
        <v>16</v>
      </c>
      <c r="G6799" s="817"/>
      <c r="H6799" s="816" t="s">
        <v>1723</v>
      </c>
      <c r="I6799" s="816" t="s">
        <v>1759</v>
      </c>
      <c r="J6799" s="818"/>
      <c r="K6799" s="816" t="str">
        <f t="shared" si="205"/>
        <v>07,26</v>
      </c>
      <c r="L6799" s="816" t="s">
        <v>265</v>
      </c>
      <c r="M6799" s="816">
        <v>210</v>
      </c>
      <c r="N6799" s="811">
        <v>0.58333333333333337</v>
      </c>
      <c r="O6799" s="2"/>
      <c r="P6799" s="867" t="s">
        <v>1779</v>
      </c>
    </row>
    <row r="6800" spans="1:16" ht="19.5" hidden="1" thickBot="1" x14ac:dyDescent="0.3">
      <c r="A6800" s="958"/>
      <c r="B6800" s="826" t="s">
        <v>1721</v>
      </c>
      <c r="C6800" s="827" t="s">
        <v>26</v>
      </c>
      <c r="D6800" s="828">
        <v>1.2</v>
      </c>
      <c r="E6800" s="828">
        <v>1.1970000000000001</v>
      </c>
      <c r="F6800" s="829" t="s">
        <v>16</v>
      </c>
      <c r="G6800" s="830"/>
      <c r="H6800" s="829" t="s">
        <v>1723</v>
      </c>
      <c r="I6800" s="829" t="s">
        <v>1759</v>
      </c>
      <c r="J6800" s="831"/>
      <c r="K6800" s="829" t="str">
        <f t="shared" si="205"/>
        <v>07,26</v>
      </c>
      <c r="L6800" s="829" t="s">
        <v>265</v>
      </c>
      <c r="M6800" s="829">
        <v>1205.2</v>
      </c>
      <c r="N6800" s="644">
        <v>0.58333333333333337</v>
      </c>
      <c r="O6800" s="2"/>
      <c r="P6800" s="867" t="s">
        <v>1777</v>
      </c>
    </row>
    <row r="6801" spans="1:16" ht="19.5" hidden="1" thickBot="1" x14ac:dyDescent="0.3">
      <c r="A6801" s="954">
        <f>MAX(A6770:A6800)+1</f>
        <v>4256</v>
      </c>
      <c r="B6801" s="479" t="s">
        <v>1721</v>
      </c>
      <c r="C6801" s="480" t="s">
        <v>55</v>
      </c>
      <c r="D6801" s="481">
        <v>2.5329999999999999</v>
      </c>
      <c r="E6801" s="482">
        <v>2.0129999999999999</v>
      </c>
      <c r="F6801" s="483" t="s">
        <v>16</v>
      </c>
      <c r="G6801" s="549" t="s">
        <v>844</v>
      </c>
      <c r="H6801" s="483" t="s">
        <v>1759</v>
      </c>
      <c r="I6801" s="484" t="s">
        <v>1769</v>
      </c>
      <c r="J6801" s="485"/>
      <c r="K6801" s="483" t="str">
        <f t="shared" si="205"/>
        <v>07,26</v>
      </c>
      <c r="L6801" s="483" t="s">
        <v>266</v>
      </c>
      <c r="M6801" s="483">
        <v>2601.0499999999997</v>
      </c>
      <c r="N6801" s="486">
        <v>0.5</v>
      </c>
      <c r="O6801" s="2"/>
      <c r="P6801" s="867" t="s">
        <v>1790</v>
      </c>
    </row>
    <row r="6802" spans="1:16" ht="19.5" hidden="1" thickBot="1" x14ac:dyDescent="0.3">
      <c r="A6802" s="955"/>
      <c r="B6802" s="495" t="s">
        <v>1721</v>
      </c>
      <c r="C6802" s="496" t="s">
        <v>55</v>
      </c>
      <c r="D6802" s="497">
        <v>11.616</v>
      </c>
      <c r="E6802" s="498">
        <v>5.819</v>
      </c>
      <c r="F6802" s="499" t="s">
        <v>16</v>
      </c>
      <c r="G6802" s="562" t="s">
        <v>845</v>
      </c>
      <c r="H6802" s="499" t="s">
        <v>1759</v>
      </c>
      <c r="I6802" s="500" t="s">
        <v>1769</v>
      </c>
      <c r="J6802" s="501"/>
      <c r="K6802" s="499" t="str">
        <f t="shared" si="205"/>
        <v>07,26</v>
      </c>
      <c r="L6802" s="499" t="s">
        <v>266</v>
      </c>
      <c r="M6802" s="499">
        <v>11756.989999999996</v>
      </c>
      <c r="N6802" s="502">
        <v>0.5</v>
      </c>
      <c r="O6802" s="2"/>
      <c r="P6802" s="867" t="s">
        <v>1789</v>
      </c>
    </row>
    <row r="6803" spans="1:16" ht="19.5" hidden="1" thickBot="1" x14ac:dyDescent="0.3">
      <c r="A6803" s="503">
        <f>MAX(A6772:A6802)+1</f>
        <v>4257</v>
      </c>
      <c r="B6803" s="504" t="s">
        <v>1723</v>
      </c>
      <c r="C6803" s="505" t="s">
        <v>32</v>
      </c>
      <c r="D6803" s="506">
        <v>17.984999999999999</v>
      </c>
      <c r="E6803" s="507">
        <v>16.587</v>
      </c>
      <c r="F6803" s="508" t="s">
        <v>16</v>
      </c>
      <c r="G6803" s="509"/>
      <c r="H6803" s="508" t="s">
        <v>1769</v>
      </c>
      <c r="I6803" s="510" t="s">
        <v>1769</v>
      </c>
      <c r="J6803" s="511"/>
      <c r="K6803" s="510" t="str">
        <f t="shared" si="205"/>
        <v>07,26</v>
      </c>
      <c r="L6803" s="508" t="s">
        <v>266</v>
      </c>
      <c r="M6803" s="508">
        <v>18126.759999999998</v>
      </c>
      <c r="N6803" s="512">
        <v>0.41666666666666669</v>
      </c>
      <c r="O6803" s="2"/>
      <c r="P6803" s="867" t="s">
        <v>1834</v>
      </c>
    </row>
    <row r="6804" spans="1:16" ht="19.5" hidden="1" thickBot="1" x14ac:dyDescent="0.3">
      <c r="A6804" s="513">
        <f>MAX(A6774:A6803)+1</f>
        <v>4258</v>
      </c>
      <c r="B6804" s="514" t="s">
        <v>1723</v>
      </c>
      <c r="C6804" s="515" t="s">
        <v>32</v>
      </c>
      <c r="D6804" s="516">
        <v>18.113</v>
      </c>
      <c r="E6804" s="517">
        <v>17.864999999999998</v>
      </c>
      <c r="F6804" s="518" t="s">
        <v>16</v>
      </c>
      <c r="G6804" s="519"/>
      <c r="H6804" s="518" t="s">
        <v>1769</v>
      </c>
      <c r="I6804" s="520" t="s">
        <v>1769</v>
      </c>
      <c r="J6804" s="521"/>
      <c r="K6804" s="520" t="str">
        <f t="shared" si="205"/>
        <v>07,26</v>
      </c>
      <c r="L6804" s="518" t="s">
        <v>266</v>
      </c>
      <c r="M6804" s="518">
        <v>18171.45</v>
      </c>
      <c r="N6804" s="522">
        <v>0.45833333333333331</v>
      </c>
      <c r="O6804" s="2"/>
      <c r="P6804" s="867" t="s">
        <v>1791</v>
      </c>
    </row>
    <row r="6805" spans="1:16" ht="19.5" hidden="1" thickBot="1" x14ac:dyDescent="0.3">
      <c r="A6805" s="503">
        <f>MAX(A6775:A6804)+1</f>
        <v>4259</v>
      </c>
      <c r="B6805" s="504" t="s">
        <v>1723</v>
      </c>
      <c r="C6805" s="505" t="s">
        <v>32</v>
      </c>
      <c r="D6805" s="506">
        <v>17.89</v>
      </c>
      <c r="E6805" s="507">
        <v>2.9849999999999999</v>
      </c>
      <c r="F6805" s="508" t="s">
        <v>16</v>
      </c>
      <c r="G6805" s="509"/>
      <c r="H6805" s="508" t="s">
        <v>1769</v>
      </c>
      <c r="I6805" s="510" t="s">
        <v>1795</v>
      </c>
      <c r="J6805" s="511"/>
      <c r="K6805" s="510" t="str">
        <f t="shared" si="205"/>
        <v>08,26</v>
      </c>
      <c r="L6805" s="508" t="s">
        <v>266</v>
      </c>
      <c r="M6805" s="508">
        <v>17890.199999999997</v>
      </c>
      <c r="N6805" s="512">
        <v>0.5</v>
      </c>
      <c r="O6805" s="2"/>
      <c r="P6805" s="867" t="s">
        <v>1856</v>
      </c>
    </row>
    <row r="6806" spans="1:16" ht="19.5" hidden="1" thickBot="1" x14ac:dyDescent="0.3">
      <c r="A6806" s="513">
        <f>MAX(A6777:A6805)+1</f>
        <v>4260</v>
      </c>
      <c r="B6806" s="514" t="s">
        <v>1723</v>
      </c>
      <c r="C6806" s="515" t="s">
        <v>848</v>
      </c>
      <c r="D6806" s="516">
        <v>18.067</v>
      </c>
      <c r="E6806" s="517">
        <v>15.542</v>
      </c>
      <c r="F6806" s="518" t="s">
        <v>16</v>
      </c>
      <c r="G6806" s="519"/>
      <c r="H6806" s="518" t="s">
        <v>1769</v>
      </c>
      <c r="I6806" s="520" t="s">
        <v>1774</v>
      </c>
      <c r="J6806" s="521"/>
      <c r="K6806" s="520" t="str">
        <f t="shared" si="205"/>
        <v>07,26</v>
      </c>
      <c r="L6806" s="518" t="s">
        <v>266</v>
      </c>
      <c r="M6806" s="518">
        <v>18182.159999999996</v>
      </c>
      <c r="N6806" s="522">
        <v>0.54166666666666663</v>
      </c>
      <c r="O6806" s="2"/>
      <c r="P6806" s="867" t="s">
        <v>1801</v>
      </c>
    </row>
    <row r="6807" spans="1:16" ht="19.5" hidden="1" thickBot="1" x14ac:dyDescent="0.3">
      <c r="A6807" s="551">
        <f>MAX(A6778:A6806)+1</f>
        <v>4261</v>
      </c>
      <c r="B6807" s="552" t="s">
        <v>1723</v>
      </c>
      <c r="C6807" s="553" t="s">
        <v>848</v>
      </c>
      <c r="D6807" s="554">
        <v>18.009</v>
      </c>
      <c r="E6807" s="555">
        <v>16.603999999999999</v>
      </c>
      <c r="F6807" s="556" t="s">
        <v>16</v>
      </c>
      <c r="G6807" s="557"/>
      <c r="H6807" s="556" t="s">
        <v>1769</v>
      </c>
      <c r="I6807" s="558" t="s">
        <v>1774</v>
      </c>
      <c r="J6807" s="559"/>
      <c r="K6807" s="558" t="str">
        <f t="shared" si="205"/>
        <v>07,26</v>
      </c>
      <c r="L6807" s="556" t="s">
        <v>266</v>
      </c>
      <c r="M6807" s="556">
        <v>18167.34</v>
      </c>
      <c r="N6807" s="560">
        <v>0.58333333333333337</v>
      </c>
      <c r="O6807" s="2"/>
      <c r="P6807" s="867" t="s">
        <v>1802</v>
      </c>
    </row>
    <row r="6808" spans="1:16" ht="57" hidden="1" thickBot="1" x14ac:dyDescent="0.3">
      <c r="A6808" s="954">
        <f>MAX(A6779:A6807)+1</f>
        <v>4262</v>
      </c>
      <c r="B6808" s="479" t="s">
        <v>1723</v>
      </c>
      <c r="C6808" s="480" t="s">
        <v>587</v>
      </c>
      <c r="D6808" s="481">
        <v>1.1040000000000001</v>
      </c>
      <c r="E6808" s="482">
        <v>0.77600000000000002</v>
      </c>
      <c r="F6808" s="483" t="s">
        <v>16</v>
      </c>
      <c r="G6808" s="549" t="s">
        <v>794</v>
      </c>
      <c r="H6808" s="483" t="s">
        <v>1769</v>
      </c>
      <c r="I6808" s="484" t="s">
        <v>1769</v>
      </c>
      <c r="J6808" s="485"/>
      <c r="K6808" s="484" t="str">
        <f t="shared" si="205"/>
        <v>07,26</v>
      </c>
      <c r="L6808" s="483" t="s">
        <v>28</v>
      </c>
      <c r="M6808" s="483">
        <v>1104.48</v>
      </c>
      <c r="N6808" s="486">
        <v>0.625</v>
      </c>
      <c r="O6808" s="2"/>
      <c r="P6808" s="867" t="s">
        <v>1784</v>
      </c>
    </row>
    <row r="6809" spans="1:16" ht="19.5" hidden="1" thickBot="1" x14ac:dyDescent="0.3">
      <c r="A6809" s="955"/>
      <c r="B6809" s="791" t="s">
        <v>1723</v>
      </c>
      <c r="C6809" s="764" t="s">
        <v>587</v>
      </c>
      <c r="D6809" s="765">
        <v>8.8089999999999993</v>
      </c>
      <c r="E6809" s="766">
        <v>6.1760000000000002</v>
      </c>
      <c r="F6809" s="763" t="s">
        <v>16</v>
      </c>
      <c r="G6809" s="767" t="s">
        <v>47</v>
      </c>
      <c r="H6809" s="763" t="s">
        <v>1769</v>
      </c>
      <c r="I6809" s="768" t="s">
        <v>1769</v>
      </c>
      <c r="J6809" s="779"/>
      <c r="K6809" s="768" t="str">
        <f t="shared" si="205"/>
        <v>07,26</v>
      </c>
      <c r="L6809" s="763" t="s">
        <v>28</v>
      </c>
      <c r="M6809" s="763">
        <v>8809.7200000000012</v>
      </c>
      <c r="N6809" s="770">
        <v>0.625</v>
      </c>
      <c r="O6809" s="2"/>
      <c r="P6809" s="867" t="s">
        <v>1785</v>
      </c>
    </row>
    <row r="6810" spans="1:16" ht="19.5" hidden="1" thickBot="1" x14ac:dyDescent="0.3">
      <c r="A6810" s="955"/>
      <c r="B6810" s="791" t="s">
        <v>1723</v>
      </c>
      <c r="C6810" s="764" t="s">
        <v>47</v>
      </c>
      <c r="D6810" s="765">
        <v>8.032</v>
      </c>
      <c r="E6810" s="766">
        <v>5.4749999999999996</v>
      </c>
      <c r="F6810" s="763" t="s">
        <v>16</v>
      </c>
      <c r="G6810" s="767"/>
      <c r="H6810" s="763" t="s">
        <v>1769</v>
      </c>
      <c r="I6810" s="768" t="s">
        <v>1769</v>
      </c>
      <c r="J6810" s="779"/>
      <c r="K6810" s="768" t="str">
        <f t="shared" si="205"/>
        <v>07,26</v>
      </c>
      <c r="L6810" s="763" t="s">
        <v>28</v>
      </c>
      <c r="M6810" s="763">
        <v>8130.0599999999995</v>
      </c>
      <c r="N6810" s="770">
        <v>0.625</v>
      </c>
      <c r="O6810" s="2"/>
      <c r="P6810" s="867" t="s">
        <v>1786</v>
      </c>
    </row>
    <row r="6811" spans="1:16" ht="19.5" hidden="1" thickBot="1" x14ac:dyDescent="0.3">
      <c r="A6811" s="956"/>
      <c r="B6811" s="859" t="s">
        <v>1759</v>
      </c>
      <c r="C6811" s="806" t="s">
        <v>47</v>
      </c>
      <c r="D6811" s="855">
        <v>5.7</v>
      </c>
      <c r="E6811" s="855">
        <v>5.7220000000000004</v>
      </c>
      <c r="F6811" s="808" t="s">
        <v>16</v>
      </c>
      <c r="G6811" s="857" t="s">
        <v>76</v>
      </c>
      <c r="H6811" s="808" t="s">
        <v>1769</v>
      </c>
      <c r="I6811" s="856" t="s">
        <v>1769</v>
      </c>
      <c r="J6811" s="858"/>
      <c r="K6811" s="856" t="str">
        <f t="shared" si="205"/>
        <v>07,26</v>
      </c>
      <c r="L6811" s="808" t="s">
        <v>28</v>
      </c>
      <c r="M6811" s="856">
        <v>5715</v>
      </c>
      <c r="N6811" s="778">
        <v>0.625</v>
      </c>
      <c r="O6811" s="2"/>
      <c r="P6811" s="867" t="s">
        <v>1787</v>
      </c>
    </row>
    <row r="6812" spans="1:16" ht="19.5" hidden="1" thickBot="1" x14ac:dyDescent="0.3">
      <c r="A6812" s="966">
        <f>MAX(A6782:A6811)+1</f>
        <v>4263</v>
      </c>
      <c r="B6812" s="531" t="s">
        <v>1759</v>
      </c>
      <c r="C6812" s="532" t="s">
        <v>26</v>
      </c>
      <c r="D6812" s="533">
        <v>13.771000000000001</v>
      </c>
      <c r="E6812" s="534">
        <v>12.02</v>
      </c>
      <c r="F6812" s="535" t="s">
        <v>16</v>
      </c>
      <c r="G6812" s="536"/>
      <c r="H6812" s="535" t="s">
        <v>1774</v>
      </c>
      <c r="I6812" s="537" t="s">
        <v>1774</v>
      </c>
      <c r="J6812" s="538"/>
      <c r="K6812" s="537" t="str">
        <f t="shared" si="205"/>
        <v>07,26</v>
      </c>
      <c r="L6812" s="535" t="s">
        <v>265</v>
      </c>
      <c r="M6812" s="535">
        <v>13866.84</v>
      </c>
      <c r="N6812" s="539">
        <v>0.375</v>
      </c>
      <c r="O6812" s="2"/>
      <c r="P6812" s="867" t="s">
        <v>1797</v>
      </c>
    </row>
    <row r="6813" spans="1:16" ht="19.5" hidden="1" thickBot="1" x14ac:dyDescent="0.3">
      <c r="A6813" s="967"/>
      <c r="B6813" s="563" t="s">
        <v>1759</v>
      </c>
      <c r="C6813" s="564" t="s">
        <v>1358</v>
      </c>
      <c r="D6813" s="565">
        <v>2.4279999999999999</v>
      </c>
      <c r="E6813" s="566">
        <v>2.5230000000000001</v>
      </c>
      <c r="F6813" s="567" t="s">
        <v>16</v>
      </c>
      <c r="G6813" s="568" t="s">
        <v>844</v>
      </c>
      <c r="H6813" s="567" t="s">
        <v>1774</v>
      </c>
      <c r="I6813" s="569" t="s">
        <v>1774</v>
      </c>
      <c r="J6813" s="570"/>
      <c r="K6813" s="569" t="str">
        <f t="shared" si="205"/>
        <v>07,26</v>
      </c>
      <c r="L6813" s="567" t="s">
        <v>265</v>
      </c>
      <c r="M6813" s="567">
        <v>2539.8399999999997</v>
      </c>
      <c r="N6813" s="571">
        <v>0.375</v>
      </c>
      <c r="O6813" s="2"/>
      <c r="P6813" s="867" t="s">
        <v>1798</v>
      </c>
    </row>
    <row r="6814" spans="1:16" ht="19.5" hidden="1" thickBot="1" x14ac:dyDescent="0.3">
      <c r="A6814" s="967"/>
      <c r="B6814" s="849" t="s">
        <v>1759</v>
      </c>
      <c r="C6814" s="820" t="s">
        <v>1358</v>
      </c>
      <c r="D6814" s="821">
        <v>1.173</v>
      </c>
      <c r="E6814" s="822">
        <v>1.175</v>
      </c>
      <c r="F6814" s="819" t="s">
        <v>16</v>
      </c>
      <c r="G6814" s="823" t="s">
        <v>845</v>
      </c>
      <c r="H6814" s="819" t="s">
        <v>1774</v>
      </c>
      <c r="I6814" s="782" t="s">
        <v>1774</v>
      </c>
      <c r="J6814" s="825"/>
      <c r="K6814" s="782" t="str">
        <f t="shared" si="205"/>
        <v>07,26</v>
      </c>
      <c r="L6814" s="819" t="s">
        <v>265</v>
      </c>
      <c r="M6814" s="819">
        <v>1265.2599999999995</v>
      </c>
      <c r="N6814" s="811">
        <v>0.375</v>
      </c>
      <c r="O6814" s="2"/>
      <c r="P6814" s="867" t="s">
        <v>1799</v>
      </c>
    </row>
    <row r="6815" spans="1:16" ht="19.5" hidden="1" thickBot="1" x14ac:dyDescent="0.3">
      <c r="A6815" s="968"/>
      <c r="B6815" s="877" t="s">
        <v>1769</v>
      </c>
      <c r="C6815" s="786" t="s">
        <v>26</v>
      </c>
      <c r="D6815" s="787">
        <v>1.8</v>
      </c>
      <c r="E6815" s="787">
        <v>1.827</v>
      </c>
      <c r="F6815" s="788" t="s">
        <v>16</v>
      </c>
      <c r="G6815" s="789"/>
      <c r="H6815" s="788" t="s">
        <v>1774</v>
      </c>
      <c r="I6815" s="788" t="s">
        <v>1774</v>
      </c>
      <c r="J6815" s="790"/>
      <c r="K6815" s="788" t="str">
        <f t="shared" si="205"/>
        <v>07,26</v>
      </c>
      <c r="L6815" s="788" t="s">
        <v>265</v>
      </c>
      <c r="M6815" s="788">
        <v>1815</v>
      </c>
      <c r="N6815" s="784">
        <v>0.375</v>
      </c>
      <c r="O6815" s="2"/>
      <c r="P6815" s="867" t="s">
        <v>1800</v>
      </c>
    </row>
    <row r="6816" spans="1:16" ht="19.5" hidden="1" thickBot="1" x14ac:dyDescent="0.3">
      <c r="A6816" s="513">
        <f>MAX(A6785:A6815)+1</f>
        <v>4264</v>
      </c>
      <c r="B6816" s="514" t="s">
        <v>1759</v>
      </c>
      <c r="C6816" s="515" t="s">
        <v>764</v>
      </c>
      <c r="D6816" s="516">
        <v>11.131</v>
      </c>
      <c r="E6816" s="517">
        <v>11.135999999999999</v>
      </c>
      <c r="F6816" s="518" t="s">
        <v>30</v>
      </c>
      <c r="G6816" s="519"/>
      <c r="H6816" s="518" t="s">
        <v>1774</v>
      </c>
      <c r="I6816" s="520" t="s">
        <v>1774</v>
      </c>
      <c r="J6816" s="521"/>
      <c r="K6816" s="518" t="str">
        <f t="shared" si="205"/>
        <v>07,26</v>
      </c>
      <c r="L6816" s="518" t="s">
        <v>28</v>
      </c>
      <c r="M6816" s="518">
        <v>11131.199999999999</v>
      </c>
      <c r="N6816" s="522">
        <v>0.41666666666666669</v>
      </c>
      <c r="O6816" s="2"/>
      <c r="P6816" s="867" t="s">
        <v>1804</v>
      </c>
    </row>
    <row r="6817" spans="1:16" ht="19.5" hidden="1" thickBot="1" x14ac:dyDescent="0.3">
      <c r="A6817" s="966">
        <f>MAX(A6786:A6816)+1</f>
        <v>4265</v>
      </c>
      <c r="B6817" s="531" t="s">
        <v>1759</v>
      </c>
      <c r="C6817" s="532" t="s">
        <v>41</v>
      </c>
      <c r="D6817" s="533">
        <v>10.404</v>
      </c>
      <c r="E6817" s="534">
        <v>7.5910000000000002</v>
      </c>
      <c r="F6817" s="535" t="s">
        <v>16</v>
      </c>
      <c r="G6817" s="536"/>
      <c r="H6817" s="535" t="s">
        <v>1774</v>
      </c>
      <c r="I6817" s="537" t="s">
        <v>1795</v>
      </c>
      <c r="J6817" s="538"/>
      <c r="K6817" s="535" t="str">
        <f t="shared" si="205"/>
        <v>08,26</v>
      </c>
      <c r="L6817" s="535" t="s">
        <v>266</v>
      </c>
      <c r="M6817" s="535">
        <v>10512.859999999997</v>
      </c>
      <c r="N6817" s="539">
        <v>0.41666666666666669</v>
      </c>
      <c r="O6817" s="2"/>
      <c r="P6817" s="867" t="s">
        <v>1858</v>
      </c>
    </row>
    <row r="6818" spans="1:16" ht="19.5" hidden="1" thickBot="1" x14ac:dyDescent="0.3">
      <c r="A6818" s="967"/>
      <c r="B6818" s="849" t="s">
        <v>1759</v>
      </c>
      <c r="C6818" s="820" t="s">
        <v>32</v>
      </c>
      <c r="D6818" s="821">
        <v>1.7490000000000001</v>
      </c>
      <c r="E6818" s="822">
        <v>0.71299999999999997</v>
      </c>
      <c r="F6818" s="819" t="s">
        <v>16</v>
      </c>
      <c r="G6818" s="823" t="s">
        <v>1702</v>
      </c>
      <c r="H6818" s="819" t="s">
        <v>1774</v>
      </c>
      <c r="I6818" s="782" t="s">
        <v>1795</v>
      </c>
      <c r="J6818" s="825"/>
      <c r="K6818" s="819" t="str">
        <f t="shared" si="205"/>
        <v>08,26</v>
      </c>
      <c r="L6818" s="819" t="s">
        <v>266</v>
      </c>
      <c r="M6818" s="819">
        <v>1752.3000000000002</v>
      </c>
      <c r="N6818" s="811">
        <v>0.41666666666666669</v>
      </c>
      <c r="O6818" s="2"/>
      <c r="P6818" s="867" t="s">
        <v>1857</v>
      </c>
    </row>
    <row r="6819" spans="1:16" ht="19.5" hidden="1" thickBot="1" x14ac:dyDescent="0.3">
      <c r="A6819" s="967"/>
      <c r="B6819" s="848" t="s">
        <v>1774</v>
      </c>
      <c r="C6819" s="799" t="s">
        <v>41</v>
      </c>
      <c r="D6819" s="800">
        <v>1.98</v>
      </c>
      <c r="E6819" s="800">
        <v>1.9770000000000001</v>
      </c>
      <c r="F6819" s="801" t="s">
        <v>16</v>
      </c>
      <c r="G6819" s="802" t="s">
        <v>76</v>
      </c>
      <c r="H6819" s="816" t="s">
        <v>1783</v>
      </c>
      <c r="I6819" s="801" t="s">
        <v>1795</v>
      </c>
      <c r="J6819" s="803"/>
      <c r="K6819" s="816" t="str">
        <f t="shared" si="205"/>
        <v>08,26</v>
      </c>
      <c r="L6819" s="816" t="s">
        <v>266</v>
      </c>
      <c r="M6819" s="801">
        <v>1981.2</v>
      </c>
      <c r="N6819" s="811">
        <v>0.41666666666666669</v>
      </c>
      <c r="O6819" s="2"/>
      <c r="P6819" s="867" t="s">
        <v>1859</v>
      </c>
    </row>
    <row r="6820" spans="1:16" ht="19.5" hidden="1" thickBot="1" x14ac:dyDescent="0.3">
      <c r="A6820" s="967"/>
      <c r="B6820" s="848" t="s">
        <v>1774</v>
      </c>
      <c r="C6820" s="799" t="s">
        <v>32</v>
      </c>
      <c r="D6820" s="800">
        <v>6.32</v>
      </c>
      <c r="E6820" s="800">
        <v>6.3220000000000001</v>
      </c>
      <c r="F6820" s="801" t="s">
        <v>16</v>
      </c>
      <c r="G6820" s="802" t="s">
        <v>1792</v>
      </c>
      <c r="H6820" s="816" t="s">
        <v>1783</v>
      </c>
      <c r="I6820" s="801" t="s">
        <v>1783</v>
      </c>
      <c r="J6820" s="803"/>
      <c r="K6820" s="816" t="str">
        <f t="shared" si="205"/>
        <v>08,26</v>
      </c>
      <c r="L6820" s="816" t="s">
        <v>266</v>
      </c>
      <c r="M6820" s="801">
        <v>6325.8</v>
      </c>
      <c r="N6820" s="811">
        <v>0.41666666666666669</v>
      </c>
      <c r="O6820" s="2"/>
      <c r="P6820" s="867" t="s">
        <v>1809</v>
      </c>
    </row>
    <row r="6821" spans="1:16" ht="19.5" hidden="1" thickBot="1" x14ac:dyDescent="0.3">
      <c r="A6821" s="968"/>
      <c r="B6821" s="869" t="s">
        <v>1759</v>
      </c>
      <c r="C6821" s="870" t="s">
        <v>32</v>
      </c>
      <c r="D6821" s="871">
        <v>5.7</v>
      </c>
      <c r="E6821" s="872" t="s">
        <v>1496</v>
      </c>
      <c r="F6821" s="873" t="s">
        <v>16</v>
      </c>
      <c r="G6821" s="874" t="s">
        <v>1024</v>
      </c>
      <c r="H6821" s="873" t="s">
        <v>1774</v>
      </c>
      <c r="I6821" s="875" t="s">
        <v>1496</v>
      </c>
      <c r="J6821" s="876"/>
      <c r="K6821" s="873" t="str">
        <f t="shared" si="205"/>
        <v>тмена</v>
      </c>
      <c r="L6821" s="873" t="s">
        <v>266</v>
      </c>
      <c r="M6821" s="873">
        <v>5701.8</v>
      </c>
      <c r="N6821" s="784">
        <v>0.41666666666666669</v>
      </c>
      <c r="O6821" s="2"/>
      <c r="P6821" s="867" t="s">
        <v>1024</v>
      </c>
    </row>
    <row r="6822" spans="1:16" ht="19.5" hidden="1" thickBot="1" x14ac:dyDescent="0.3">
      <c r="A6822" s="954">
        <f>MAX(A6787:A6821)+1</f>
        <v>4266</v>
      </c>
      <c r="B6822" s="479" t="s">
        <v>1723</v>
      </c>
      <c r="C6822" s="480" t="s">
        <v>15</v>
      </c>
      <c r="D6822" s="481">
        <v>5.3819999999999997</v>
      </c>
      <c r="E6822" s="482">
        <v>3.1019999999999999</v>
      </c>
      <c r="F6822" s="483" t="s">
        <v>16</v>
      </c>
      <c r="G6822" s="549" t="s">
        <v>1775</v>
      </c>
      <c r="H6822" s="483" t="s">
        <v>1770</v>
      </c>
      <c r="I6822" s="484" t="s">
        <v>1770</v>
      </c>
      <c r="J6822" s="485"/>
      <c r="K6822" s="483" t="str">
        <f t="shared" si="205"/>
        <v>08,26</v>
      </c>
      <c r="L6822" s="483" t="s">
        <v>28</v>
      </c>
      <c r="M6822" s="483">
        <v>5401.7999999999993</v>
      </c>
      <c r="N6822" s="486">
        <v>0.5</v>
      </c>
      <c r="O6822" s="2"/>
      <c r="P6822" s="867" t="s">
        <v>1811</v>
      </c>
    </row>
    <row r="6823" spans="1:16" ht="19.5" hidden="1" thickBot="1" x14ac:dyDescent="0.3">
      <c r="A6823" s="955"/>
      <c r="B6823" s="791" t="s">
        <v>1759</v>
      </c>
      <c r="C6823" s="764" t="s">
        <v>15</v>
      </c>
      <c r="D6823" s="765">
        <v>2.6219999999999999</v>
      </c>
      <c r="E6823" s="766">
        <v>2.1760000000000002</v>
      </c>
      <c r="F6823" s="763" t="s">
        <v>16</v>
      </c>
      <c r="G6823" s="767"/>
      <c r="H6823" s="763" t="s">
        <v>1770</v>
      </c>
      <c r="I6823" s="768" t="s">
        <v>1770</v>
      </c>
      <c r="J6823" s="779"/>
      <c r="K6823" s="763" t="str">
        <f t="shared" si="205"/>
        <v>08,26</v>
      </c>
      <c r="L6823" s="763" t="s">
        <v>28</v>
      </c>
      <c r="M6823" s="763">
        <v>2720.36</v>
      </c>
      <c r="N6823" s="770">
        <v>0.5</v>
      </c>
      <c r="O6823" s="2"/>
      <c r="P6823" s="867" t="s">
        <v>1812</v>
      </c>
    </row>
    <row r="6824" spans="1:16" ht="19.5" hidden="1" thickBot="1" x14ac:dyDescent="0.3">
      <c r="A6824" s="955"/>
      <c r="B6824" s="791" t="s">
        <v>1723</v>
      </c>
      <c r="C6824" s="764" t="s">
        <v>24</v>
      </c>
      <c r="D6824" s="765">
        <v>5.4240000000000004</v>
      </c>
      <c r="E6824" s="766">
        <v>3.8239999999999998</v>
      </c>
      <c r="F6824" s="763" t="s">
        <v>16</v>
      </c>
      <c r="G6824" s="767" t="s">
        <v>1775</v>
      </c>
      <c r="H6824" s="763" t="s">
        <v>1770</v>
      </c>
      <c r="I6824" s="768" t="s">
        <v>1770</v>
      </c>
      <c r="J6824" s="779"/>
      <c r="K6824" s="763" t="str">
        <f t="shared" si="205"/>
        <v>08,26</v>
      </c>
      <c r="L6824" s="763" t="s">
        <v>28</v>
      </c>
      <c r="M6824" s="763">
        <v>5454.6</v>
      </c>
      <c r="N6824" s="770">
        <v>0.54166666666666663</v>
      </c>
      <c r="O6824" s="2"/>
      <c r="P6824" s="867" t="s">
        <v>1813</v>
      </c>
    </row>
    <row r="6825" spans="1:16" ht="19.5" hidden="1" thickBot="1" x14ac:dyDescent="0.3">
      <c r="A6825" s="955"/>
      <c r="B6825" s="878" t="s">
        <v>1759</v>
      </c>
      <c r="C6825" s="879" t="s">
        <v>24</v>
      </c>
      <c r="D6825" s="880">
        <v>4.1840000000000002</v>
      </c>
      <c r="E6825" s="881">
        <v>2.7839999999999998</v>
      </c>
      <c r="F6825" s="882" t="s">
        <v>16</v>
      </c>
      <c r="G6825" s="883"/>
      <c r="H6825" s="882" t="s">
        <v>1770</v>
      </c>
      <c r="I6825" s="884" t="s">
        <v>1770</v>
      </c>
      <c r="J6825" s="885"/>
      <c r="K6825" s="882" t="str">
        <f t="shared" si="205"/>
        <v>08,26</v>
      </c>
      <c r="L6825" s="882" t="s">
        <v>28</v>
      </c>
      <c r="M6825" s="882">
        <v>4295.45</v>
      </c>
      <c r="N6825" s="846">
        <v>0.54166666666666663</v>
      </c>
      <c r="O6825" s="2"/>
      <c r="P6825" s="867" t="s">
        <v>1814</v>
      </c>
    </row>
    <row r="6826" spans="1:16" ht="19.5" hidden="1" thickBot="1" x14ac:dyDescent="0.3">
      <c r="A6826" s="955"/>
      <c r="B6826" s="886" t="s">
        <v>1774</v>
      </c>
      <c r="C6826" s="842" t="s">
        <v>15</v>
      </c>
      <c r="D6826" s="843">
        <v>1.357</v>
      </c>
      <c r="E6826" s="843">
        <v>1.3819999999999999</v>
      </c>
      <c r="F6826" s="844" t="s">
        <v>16</v>
      </c>
      <c r="G6826" s="851" t="s">
        <v>76</v>
      </c>
      <c r="H6826" s="844" t="s">
        <v>1770</v>
      </c>
      <c r="I6826" s="844" t="s">
        <v>1770</v>
      </c>
      <c r="J6826" s="845"/>
      <c r="K6826" s="844" t="str">
        <f t="shared" si="205"/>
        <v>08,26</v>
      </c>
      <c r="L6826" s="844" t="s">
        <v>28</v>
      </c>
      <c r="M6826" s="844">
        <v>1377.6</v>
      </c>
      <c r="N6826" s="846">
        <v>0.54166666666666663</v>
      </c>
      <c r="O6826" s="2"/>
      <c r="P6826" s="867" t="s">
        <v>1817</v>
      </c>
    </row>
    <row r="6827" spans="1:16" ht="19.5" hidden="1" thickBot="1" x14ac:dyDescent="0.3">
      <c r="A6827" s="955"/>
      <c r="B6827" s="886" t="s">
        <v>1770</v>
      </c>
      <c r="C6827" s="842" t="s">
        <v>15</v>
      </c>
      <c r="D6827" s="843">
        <v>2</v>
      </c>
      <c r="E6827" s="843">
        <v>2</v>
      </c>
      <c r="F6827" s="844" t="s">
        <v>16</v>
      </c>
      <c r="G6827" s="851" t="s">
        <v>76</v>
      </c>
      <c r="H6827" s="844" t="s">
        <v>1770</v>
      </c>
      <c r="I6827" s="844" t="s">
        <v>1770</v>
      </c>
      <c r="J6827" s="845"/>
      <c r="K6827" s="844" t="str">
        <f t="shared" si="205"/>
        <v>08,26</v>
      </c>
      <c r="L6827" s="844" t="s">
        <v>28</v>
      </c>
      <c r="M6827" s="844">
        <v>2010</v>
      </c>
      <c r="N6827" s="846">
        <v>0.54166666666666663</v>
      </c>
      <c r="O6827" s="2"/>
      <c r="P6827" s="867" t="s">
        <v>1816</v>
      </c>
    </row>
    <row r="6828" spans="1:16" ht="19.5" hidden="1" thickBot="1" x14ac:dyDescent="0.3">
      <c r="A6828" s="956"/>
      <c r="B6828" s="886" t="s">
        <v>1774</v>
      </c>
      <c r="C6828" s="842" t="s">
        <v>24</v>
      </c>
      <c r="D6828" s="843">
        <v>2.1360000000000001</v>
      </c>
      <c r="E6828" s="843">
        <v>2.173</v>
      </c>
      <c r="F6828" s="844" t="s">
        <v>16</v>
      </c>
      <c r="G6828" s="851" t="s">
        <v>76</v>
      </c>
      <c r="H6828" s="844" t="s">
        <v>1770</v>
      </c>
      <c r="I6828" s="844" t="s">
        <v>1770</v>
      </c>
      <c r="J6828" s="845"/>
      <c r="K6828" s="844" t="str">
        <f t="shared" si="205"/>
        <v>08,26</v>
      </c>
      <c r="L6828" s="844" t="s">
        <v>28</v>
      </c>
      <c r="M6828" s="844">
        <v>2160</v>
      </c>
      <c r="N6828" s="846">
        <v>0.54166666666666663</v>
      </c>
      <c r="O6828" s="2"/>
      <c r="P6828" s="867" t="s">
        <v>1815</v>
      </c>
    </row>
    <row r="6829" spans="1:16" ht="38.25" hidden="1" thickBot="1" x14ac:dyDescent="0.3">
      <c r="A6829" s="957">
        <f>MAX(A6789:A6828)+1</f>
        <v>4267</v>
      </c>
      <c r="B6829" s="759" t="s">
        <v>1723</v>
      </c>
      <c r="C6829" s="532" t="s">
        <v>47</v>
      </c>
      <c r="D6829" s="533">
        <v>15.48</v>
      </c>
      <c r="E6829" s="534">
        <v>8.3140000000000001</v>
      </c>
      <c r="F6829" s="535" t="s">
        <v>16</v>
      </c>
      <c r="G6829" s="536" t="s">
        <v>1793</v>
      </c>
      <c r="H6829" s="535" t="s">
        <v>1770</v>
      </c>
      <c r="I6829" s="537" t="s">
        <v>1783</v>
      </c>
      <c r="J6829" s="538"/>
      <c r="K6829" s="535" t="str">
        <f t="shared" si="205"/>
        <v>08,26</v>
      </c>
      <c r="L6829" s="535" t="s">
        <v>28</v>
      </c>
      <c r="M6829" s="535">
        <v>15500.699999999999</v>
      </c>
      <c r="N6829" s="539">
        <v>0.58333333333333337</v>
      </c>
      <c r="O6829" s="2"/>
      <c r="P6829" s="867" t="s">
        <v>1827</v>
      </c>
    </row>
    <row r="6830" spans="1:16" ht="19.5" hidden="1" thickBot="1" x14ac:dyDescent="0.3">
      <c r="A6830" s="958"/>
      <c r="B6830" s="824" t="s">
        <v>1723</v>
      </c>
      <c r="C6830" s="820" t="s">
        <v>23</v>
      </c>
      <c r="D6830" s="821">
        <v>12.407999999999999</v>
      </c>
      <c r="E6830" s="822">
        <v>4.819</v>
      </c>
      <c r="F6830" s="819" t="s">
        <v>16</v>
      </c>
      <c r="G6830" s="823" t="s">
        <v>1775</v>
      </c>
      <c r="H6830" s="819" t="s">
        <v>1770</v>
      </c>
      <c r="I6830" s="782" t="s">
        <v>1783</v>
      </c>
      <c r="J6830" s="825"/>
      <c r="K6830" s="819" t="str">
        <f t="shared" si="205"/>
        <v>08,26</v>
      </c>
      <c r="L6830" s="819" t="s">
        <v>28</v>
      </c>
      <c r="M6830" s="819">
        <v>12426.6</v>
      </c>
      <c r="N6830" s="811">
        <v>0.45833333333333331</v>
      </c>
      <c r="O6830" s="2"/>
      <c r="P6830" s="867" t="s">
        <v>1828</v>
      </c>
    </row>
    <row r="6831" spans="1:16" ht="38.25" hidden="1" thickBot="1" x14ac:dyDescent="0.3">
      <c r="A6831" s="958"/>
      <c r="B6831" s="888" t="s">
        <v>1759</v>
      </c>
      <c r="C6831" s="889" t="s">
        <v>47</v>
      </c>
      <c r="D6831" s="890">
        <v>2.2669999999999999</v>
      </c>
      <c r="E6831" s="891">
        <v>1.7769999999999999</v>
      </c>
      <c r="F6831" s="892" t="s">
        <v>16</v>
      </c>
      <c r="G6831" s="802" t="s">
        <v>1794</v>
      </c>
      <c r="H6831" s="892" t="s">
        <v>1770</v>
      </c>
      <c r="I6831" s="893" t="s">
        <v>1783</v>
      </c>
      <c r="J6831" s="894"/>
      <c r="K6831" s="892" t="str">
        <f t="shared" si="205"/>
        <v>08,26</v>
      </c>
      <c r="L6831" s="892" t="s">
        <v>28</v>
      </c>
      <c r="M6831" s="892">
        <v>2371.2200000000003</v>
      </c>
      <c r="N6831" s="804">
        <v>0.58333333333333337</v>
      </c>
      <c r="O6831" s="2"/>
      <c r="P6831" s="867" t="s">
        <v>1825</v>
      </c>
    </row>
    <row r="6832" spans="1:16" ht="19.5" hidden="1" thickBot="1" x14ac:dyDescent="0.3">
      <c r="A6832" s="959"/>
      <c r="B6832" s="785" t="s">
        <v>1770</v>
      </c>
      <c r="C6832" s="786" t="s">
        <v>47</v>
      </c>
      <c r="D6832" s="787">
        <v>2.5</v>
      </c>
      <c r="E6832" s="787">
        <v>2.5299999999999998</v>
      </c>
      <c r="F6832" s="788" t="s">
        <v>16</v>
      </c>
      <c r="G6832" s="789" t="s">
        <v>76</v>
      </c>
      <c r="H6832" s="788" t="s">
        <v>1770</v>
      </c>
      <c r="I6832" s="788" t="s">
        <v>1783</v>
      </c>
      <c r="J6832" s="790"/>
      <c r="K6832" s="788" t="str">
        <f t="shared" si="205"/>
        <v>08,26</v>
      </c>
      <c r="L6832" s="788" t="s">
        <v>28</v>
      </c>
      <c r="M6832" s="788">
        <v>2520</v>
      </c>
      <c r="N6832" s="784">
        <v>0.58333333333333337</v>
      </c>
      <c r="O6832" s="2"/>
      <c r="P6832" s="867" t="s">
        <v>1826</v>
      </c>
    </row>
    <row r="6833" spans="1:16" ht="19.5" hidden="1" thickBot="1" x14ac:dyDescent="0.3">
      <c r="A6833" s="954">
        <f>MAX(A6790:A6832)+1</f>
        <v>4268</v>
      </c>
      <c r="B6833" s="479" t="s">
        <v>1759</v>
      </c>
      <c r="C6833" s="480" t="s">
        <v>26</v>
      </c>
      <c r="D6833" s="481">
        <v>17.286999999999999</v>
      </c>
      <c r="E6833" s="482">
        <v>15.56</v>
      </c>
      <c r="F6833" s="483" t="s">
        <v>16</v>
      </c>
      <c r="G6833" s="549"/>
      <c r="H6833" s="483" t="s">
        <v>1770</v>
      </c>
      <c r="I6833" s="484" t="s">
        <v>1770</v>
      </c>
      <c r="J6833" s="485"/>
      <c r="K6833" s="483" t="str">
        <f t="shared" si="205"/>
        <v>08,26</v>
      </c>
      <c r="L6833" s="483" t="s">
        <v>265</v>
      </c>
      <c r="M6833" s="483">
        <v>17441.560000000001</v>
      </c>
      <c r="N6833" s="486">
        <v>0.375</v>
      </c>
      <c r="O6833" s="2"/>
      <c r="P6833" s="867" t="s">
        <v>1822</v>
      </c>
    </row>
    <row r="6834" spans="1:16" ht="19.5" hidden="1" thickBot="1" x14ac:dyDescent="0.3">
      <c r="A6834" s="955"/>
      <c r="B6834" s="886" t="s">
        <v>1774</v>
      </c>
      <c r="C6834" s="842" t="s">
        <v>26</v>
      </c>
      <c r="D6834" s="843">
        <v>1.47</v>
      </c>
      <c r="E6834" s="843">
        <v>1.4730000000000001</v>
      </c>
      <c r="F6834" s="844" t="s">
        <v>16</v>
      </c>
      <c r="G6834" s="851"/>
      <c r="H6834" s="844" t="s">
        <v>1770</v>
      </c>
      <c r="I6834" s="844" t="s">
        <v>1770</v>
      </c>
      <c r="J6834" s="845"/>
      <c r="K6834" s="844" t="str">
        <f t="shared" si="205"/>
        <v>08,26</v>
      </c>
      <c r="L6834" s="844" t="s">
        <v>265</v>
      </c>
      <c r="M6834" s="844">
        <v>1470</v>
      </c>
      <c r="N6834" s="846">
        <v>0.375</v>
      </c>
      <c r="O6834" s="2"/>
      <c r="P6834" s="867" t="s">
        <v>1823</v>
      </c>
    </row>
    <row r="6835" spans="1:16" ht="19.5" hidden="1" thickBot="1" x14ac:dyDescent="0.3">
      <c r="A6835" s="956"/>
      <c r="B6835" s="886" t="s">
        <v>1774</v>
      </c>
      <c r="C6835" s="842" t="s">
        <v>26</v>
      </c>
      <c r="D6835" s="843">
        <v>0.5</v>
      </c>
      <c r="E6835" s="843">
        <v>0.51400000000000001</v>
      </c>
      <c r="F6835" s="844" t="s">
        <v>16</v>
      </c>
      <c r="G6835" s="851" t="s">
        <v>76</v>
      </c>
      <c r="H6835" s="844" t="s">
        <v>1770</v>
      </c>
      <c r="I6835" s="844" t="s">
        <v>1770</v>
      </c>
      <c r="J6835" s="845"/>
      <c r="K6835" s="844" t="str">
        <f t="shared" si="205"/>
        <v>08,26</v>
      </c>
      <c r="L6835" s="844" t="s">
        <v>265</v>
      </c>
      <c r="M6835" s="844">
        <v>510</v>
      </c>
      <c r="N6835" s="846">
        <v>0.375</v>
      </c>
      <c r="O6835" s="2"/>
      <c r="P6835" s="867" t="s">
        <v>1824</v>
      </c>
    </row>
    <row r="6836" spans="1:16" ht="19.5" hidden="1" thickBot="1" x14ac:dyDescent="0.3">
      <c r="A6836" s="957">
        <f>MAX(A6791:A6835)+1</f>
        <v>4269</v>
      </c>
      <c r="B6836" s="759" t="s">
        <v>1759</v>
      </c>
      <c r="C6836" s="532" t="s">
        <v>23</v>
      </c>
      <c r="D6836" s="533">
        <v>17.472000000000001</v>
      </c>
      <c r="E6836" s="534">
        <v>15.394</v>
      </c>
      <c r="F6836" s="535" t="s">
        <v>16</v>
      </c>
      <c r="G6836" s="536"/>
      <c r="H6836" s="535" t="s">
        <v>1770</v>
      </c>
      <c r="I6836" s="537" t="s">
        <v>1783</v>
      </c>
      <c r="J6836" s="538"/>
      <c r="K6836" s="535" t="str">
        <f t="shared" si="205"/>
        <v>08,26</v>
      </c>
      <c r="L6836" s="535" t="s">
        <v>28</v>
      </c>
      <c r="M6836" s="535">
        <v>17649.77</v>
      </c>
      <c r="N6836" s="539">
        <v>0.625</v>
      </c>
      <c r="O6836" s="2"/>
      <c r="P6836" s="867" t="s">
        <v>1819</v>
      </c>
    </row>
    <row r="6837" spans="1:16" ht="19.5" hidden="1" thickBot="1" x14ac:dyDescent="0.3">
      <c r="A6837" s="958"/>
      <c r="B6837" s="824" t="s">
        <v>1723</v>
      </c>
      <c r="C6837" s="820" t="s">
        <v>1382</v>
      </c>
      <c r="D6837" s="821">
        <v>1.4139999999999999</v>
      </c>
      <c r="E6837" s="822">
        <v>1.3180000000000001</v>
      </c>
      <c r="F6837" s="819" t="s">
        <v>16</v>
      </c>
      <c r="G6837" s="823"/>
      <c r="H6837" s="819" t="s">
        <v>1770</v>
      </c>
      <c r="I6837" s="782" t="s">
        <v>1783</v>
      </c>
      <c r="J6837" s="825"/>
      <c r="K6837" s="819" t="str">
        <f t="shared" si="205"/>
        <v>08,26</v>
      </c>
      <c r="L6837" s="819" t="s">
        <v>28</v>
      </c>
      <c r="M6837" s="819">
        <v>1472.01</v>
      </c>
      <c r="N6837" s="811">
        <v>0.45833333333333331</v>
      </c>
      <c r="O6837" s="2"/>
      <c r="P6837" s="867" t="s">
        <v>1818</v>
      </c>
    </row>
    <row r="6838" spans="1:16" ht="19.5" hidden="1" thickBot="1" x14ac:dyDescent="0.3">
      <c r="A6838" s="959"/>
      <c r="B6838" s="785" t="s">
        <v>1770</v>
      </c>
      <c r="C6838" s="786" t="s">
        <v>23</v>
      </c>
      <c r="D6838" s="787">
        <v>1.8</v>
      </c>
      <c r="E6838" s="787">
        <v>0.93100000000000005</v>
      </c>
      <c r="F6838" s="788" t="s">
        <v>16</v>
      </c>
      <c r="G6838" s="789"/>
      <c r="H6838" s="788" t="s">
        <v>1770</v>
      </c>
      <c r="I6838" s="788" t="s">
        <v>1783</v>
      </c>
      <c r="J6838" s="790"/>
      <c r="K6838" s="788" t="str">
        <f t="shared" si="205"/>
        <v>08,26</v>
      </c>
      <c r="L6838" s="788" t="s">
        <v>28</v>
      </c>
      <c r="M6838" s="788">
        <v>1830</v>
      </c>
      <c r="N6838" s="784">
        <v>0.625</v>
      </c>
      <c r="O6838" s="2"/>
      <c r="P6838" s="867" t="s">
        <v>1833</v>
      </c>
    </row>
    <row r="6839" spans="1:16" ht="19.5" hidden="1" thickBot="1" x14ac:dyDescent="0.3">
      <c r="A6839" s="513">
        <f>MAX(A6792:A6836)+1</f>
        <v>4270</v>
      </c>
      <c r="B6839" s="495" t="s">
        <v>1769</v>
      </c>
      <c r="C6839" s="496" t="s">
        <v>26</v>
      </c>
      <c r="D6839" s="497">
        <v>15.28</v>
      </c>
      <c r="E6839" s="498">
        <v>15.58</v>
      </c>
      <c r="F6839" s="499" t="s">
        <v>30</v>
      </c>
      <c r="G6839" s="562"/>
      <c r="H6839" s="499" t="s">
        <v>1770</v>
      </c>
      <c r="I6839" s="500" t="s">
        <v>1770</v>
      </c>
      <c r="J6839" s="501"/>
      <c r="K6839" s="499" t="str">
        <f t="shared" si="205"/>
        <v>08,26</v>
      </c>
      <c r="L6839" s="499" t="s">
        <v>265</v>
      </c>
      <c r="M6839" s="499">
        <v>15280.68</v>
      </c>
      <c r="N6839" s="502">
        <v>0.375</v>
      </c>
      <c r="O6839" s="2"/>
      <c r="P6839" s="867" t="s">
        <v>1810</v>
      </c>
    </row>
    <row r="6840" spans="1:16" ht="19.5" hidden="1" thickBot="1" x14ac:dyDescent="0.3">
      <c r="A6840" s="957">
        <f>MAX(A6793:A6839)+1</f>
        <v>4271</v>
      </c>
      <c r="B6840" s="759" t="s">
        <v>1769</v>
      </c>
      <c r="C6840" s="532" t="s">
        <v>26</v>
      </c>
      <c r="D6840" s="533">
        <v>15.718</v>
      </c>
      <c r="E6840" s="534">
        <v>9.9719999999999995</v>
      </c>
      <c r="F6840" s="535" t="s">
        <v>16</v>
      </c>
      <c r="G6840" s="536"/>
      <c r="H6840" s="535" t="s">
        <v>1783</v>
      </c>
      <c r="I6840" s="537" t="s">
        <v>1783</v>
      </c>
      <c r="J6840" s="538"/>
      <c r="K6840" s="535" t="str">
        <f t="shared" si="205"/>
        <v>08,26</v>
      </c>
      <c r="L6840" s="535" t="s">
        <v>265</v>
      </c>
      <c r="M6840" s="535">
        <v>15820.990000000002</v>
      </c>
      <c r="N6840" s="539">
        <v>0.375</v>
      </c>
      <c r="O6840" s="2"/>
      <c r="P6840" s="867" t="s">
        <v>1832</v>
      </c>
    </row>
    <row r="6841" spans="1:16" ht="19.5" hidden="1" thickBot="1" x14ac:dyDescent="0.3">
      <c r="A6841" s="958"/>
      <c r="B6841" s="824" t="s">
        <v>1769</v>
      </c>
      <c r="C6841" s="820" t="s">
        <v>952</v>
      </c>
      <c r="D6841" s="821">
        <v>1.66</v>
      </c>
      <c r="E6841" s="822">
        <v>1.5620000000000001</v>
      </c>
      <c r="F6841" s="819" t="s">
        <v>16</v>
      </c>
      <c r="G6841" s="823"/>
      <c r="H6841" s="819" t="s">
        <v>1783</v>
      </c>
      <c r="I6841" s="782" t="s">
        <v>1783</v>
      </c>
      <c r="J6841" s="825"/>
      <c r="K6841" s="819" t="str">
        <f t="shared" si="205"/>
        <v>08,26</v>
      </c>
      <c r="L6841" s="819" t="s">
        <v>265</v>
      </c>
      <c r="M6841" s="819">
        <v>1743.48</v>
      </c>
      <c r="N6841" s="811">
        <v>0.375</v>
      </c>
      <c r="O6841" s="2"/>
      <c r="P6841" s="867" t="s">
        <v>1831</v>
      </c>
    </row>
    <row r="6842" spans="1:16" ht="19.5" hidden="1" thickBot="1" x14ac:dyDescent="0.3">
      <c r="A6842" s="958"/>
      <c r="B6842" s="798" t="s">
        <v>1770</v>
      </c>
      <c r="C6842" s="799" t="s">
        <v>26</v>
      </c>
      <c r="D6842" s="800">
        <v>1.1000000000000001</v>
      </c>
      <c r="E6842" s="800">
        <v>1.1180000000000001</v>
      </c>
      <c r="F6842" s="801" t="s">
        <v>16</v>
      </c>
      <c r="G6842" s="802"/>
      <c r="H6842" s="801" t="s">
        <v>1783</v>
      </c>
      <c r="I6842" s="801" t="s">
        <v>1783</v>
      </c>
      <c r="J6842" s="803"/>
      <c r="K6842" s="801" t="str">
        <f t="shared" si="205"/>
        <v>08,26</v>
      </c>
      <c r="L6842" s="801" t="s">
        <v>265</v>
      </c>
      <c r="M6842" s="801">
        <v>1110</v>
      </c>
      <c r="N6842" s="804">
        <v>0.375</v>
      </c>
      <c r="O6842" s="2"/>
      <c r="P6842" s="867" t="s">
        <v>1829</v>
      </c>
    </row>
    <row r="6843" spans="1:16" ht="19.5" hidden="1" thickBot="1" x14ac:dyDescent="0.3">
      <c r="A6843" s="958"/>
      <c r="B6843" s="785" t="s">
        <v>1770</v>
      </c>
      <c r="C6843" s="786" t="s">
        <v>26</v>
      </c>
      <c r="D6843" s="787">
        <v>4.9000000000000004</v>
      </c>
      <c r="E6843" s="787">
        <v>4.9249999999999998</v>
      </c>
      <c r="F6843" s="788" t="s">
        <v>16</v>
      </c>
      <c r="G6843" s="789"/>
      <c r="H6843" s="788" t="s">
        <v>1783</v>
      </c>
      <c r="I6843" s="788" t="s">
        <v>1783</v>
      </c>
      <c r="J6843" s="790"/>
      <c r="K6843" s="788" t="str">
        <f t="shared" si="205"/>
        <v>08,26</v>
      </c>
      <c r="L6843" s="788" t="s">
        <v>265</v>
      </c>
      <c r="M6843" s="788">
        <v>4905</v>
      </c>
      <c r="N6843" s="784">
        <v>0.375</v>
      </c>
      <c r="O6843" s="2"/>
      <c r="P6843" s="867" t="s">
        <v>1830</v>
      </c>
    </row>
    <row r="6844" spans="1:16" ht="19.5" hidden="1" thickBot="1" x14ac:dyDescent="0.3">
      <c r="A6844" s="954">
        <f>MAX(A6795:A6843)+1</f>
        <v>4272</v>
      </c>
      <c r="B6844" s="523" t="s">
        <v>1769</v>
      </c>
      <c r="C6844" s="524" t="s">
        <v>587</v>
      </c>
      <c r="D6844" s="525">
        <v>9.4969999999999999</v>
      </c>
      <c r="E6844" s="526">
        <v>7.5720000000000001</v>
      </c>
      <c r="F6844" s="527" t="s">
        <v>16</v>
      </c>
      <c r="G6844" s="561" t="s">
        <v>47</v>
      </c>
      <c r="H6844" s="527" t="s">
        <v>1783</v>
      </c>
      <c r="I6844" s="528" t="s">
        <v>1783</v>
      </c>
      <c r="J6844" s="529"/>
      <c r="K6844" s="527" t="str">
        <f t="shared" si="205"/>
        <v>08,26</v>
      </c>
      <c r="L6844" s="527" t="s">
        <v>28</v>
      </c>
      <c r="M6844" s="527">
        <v>9497.5999999999985</v>
      </c>
      <c r="N6844" s="530">
        <v>0.41666666666666669</v>
      </c>
      <c r="O6844" s="2"/>
      <c r="P6844" s="867" t="s">
        <v>1805</v>
      </c>
    </row>
    <row r="6845" spans="1:16" ht="19.5" hidden="1" thickBot="1" x14ac:dyDescent="0.3">
      <c r="A6845" s="955"/>
      <c r="B6845" s="791" t="s">
        <v>1769</v>
      </c>
      <c r="C6845" s="764" t="s">
        <v>47</v>
      </c>
      <c r="D6845" s="765">
        <v>8.5619999999999994</v>
      </c>
      <c r="E6845" s="766">
        <v>8.3770000000000007</v>
      </c>
      <c r="F6845" s="763" t="s">
        <v>16</v>
      </c>
      <c r="G6845" s="767"/>
      <c r="H6845" s="763" t="s">
        <v>1783</v>
      </c>
      <c r="I6845" s="768" t="s">
        <v>1783</v>
      </c>
      <c r="J6845" s="779"/>
      <c r="K6845" s="763" t="str">
        <f t="shared" si="205"/>
        <v>08,26</v>
      </c>
      <c r="L6845" s="763" t="s">
        <v>28</v>
      </c>
      <c r="M6845" s="763">
        <v>8634.7800000000007</v>
      </c>
      <c r="N6845" s="770">
        <v>0.41666666666666669</v>
      </c>
      <c r="O6845" s="2"/>
      <c r="P6845" s="867" t="s">
        <v>1803</v>
      </c>
    </row>
    <row r="6846" spans="1:16" ht="19.5" hidden="1" thickBot="1" x14ac:dyDescent="0.3">
      <c r="A6846" s="956"/>
      <c r="B6846" s="886" t="s">
        <v>1770</v>
      </c>
      <c r="C6846" s="842" t="s">
        <v>47</v>
      </c>
      <c r="D6846" s="843">
        <v>1.17</v>
      </c>
      <c r="E6846" s="843">
        <v>1.1719999999999999</v>
      </c>
      <c r="F6846" s="844" t="s">
        <v>16</v>
      </c>
      <c r="G6846" s="851" t="s">
        <v>76</v>
      </c>
      <c r="H6846" s="844" t="s">
        <v>1783</v>
      </c>
      <c r="I6846" s="844" t="s">
        <v>1783</v>
      </c>
      <c r="J6846" s="845"/>
      <c r="K6846" s="844" t="str">
        <f t="shared" si="205"/>
        <v>08,26</v>
      </c>
      <c r="L6846" s="844" t="s">
        <v>28</v>
      </c>
      <c r="M6846" s="844">
        <v>1170</v>
      </c>
      <c r="N6846" s="846">
        <v>0.41666666666666669</v>
      </c>
      <c r="O6846" s="2"/>
      <c r="P6846" s="867" t="s">
        <v>1806</v>
      </c>
    </row>
    <row r="6847" spans="1:16" ht="19.5" hidden="1" thickBot="1" x14ac:dyDescent="0.3">
      <c r="A6847" s="958">
        <f>MAX(A6797:A6846)+1</f>
        <v>4273</v>
      </c>
      <c r="B6847" s="759" t="s">
        <v>1769</v>
      </c>
      <c r="C6847" s="532" t="s">
        <v>840</v>
      </c>
      <c r="D6847" s="533">
        <v>13.709</v>
      </c>
      <c r="E6847" s="534">
        <v>9.6539999999999999</v>
      </c>
      <c r="F6847" s="535" t="s">
        <v>16</v>
      </c>
      <c r="G6847" s="536"/>
      <c r="H6847" s="535" t="s">
        <v>1783</v>
      </c>
      <c r="I6847" s="537" t="s">
        <v>1783</v>
      </c>
      <c r="J6847" s="538"/>
      <c r="K6847" s="535" t="str">
        <f t="shared" si="205"/>
        <v>08,26</v>
      </c>
      <c r="L6847" s="535" t="s">
        <v>266</v>
      </c>
      <c r="M6847" s="535">
        <v>13800.840000000002</v>
      </c>
      <c r="N6847" s="539">
        <v>0.45833333333333331</v>
      </c>
      <c r="O6847" s="2"/>
      <c r="P6847" s="867" t="s">
        <v>1807</v>
      </c>
    </row>
    <row r="6848" spans="1:16" ht="19.5" hidden="1" thickBot="1" x14ac:dyDescent="0.3">
      <c r="A6848" s="958"/>
      <c r="B6848" s="824" t="s">
        <v>1769</v>
      </c>
      <c r="C6848" s="820" t="s">
        <v>913</v>
      </c>
      <c r="D6848" s="821">
        <v>2.3730000000000002</v>
      </c>
      <c r="E6848" s="822">
        <v>1.5209999999999999</v>
      </c>
      <c r="F6848" s="819" t="s">
        <v>16</v>
      </c>
      <c r="G6848" s="823"/>
      <c r="H6848" s="819" t="s">
        <v>1783</v>
      </c>
      <c r="I6848" s="782" t="s">
        <v>1783</v>
      </c>
      <c r="J6848" s="825"/>
      <c r="K6848" s="819" t="str">
        <f t="shared" si="205"/>
        <v>08,26</v>
      </c>
      <c r="L6848" s="819" t="s">
        <v>266</v>
      </c>
      <c r="M6848" s="819">
        <v>2417.71</v>
      </c>
      <c r="N6848" s="811">
        <v>0.45833333333333331</v>
      </c>
      <c r="O6848" s="2"/>
      <c r="P6848" s="867" t="s">
        <v>1808</v>
      </c>
    </row>
    <row r="6849" spans="1:18" ht="19.5" hidden="1" thickBot="1" x14ac:dyDescent="0.3">
      <c r="A6849" s="958"/>
      <c r="B6849" s="824" t="s">
        <v>1769</v>
      </c>
      <c r="C6849" s="820" t="s">
        <v>23</v>
      </c>
      <c r="D6849" s="821">
        <v>1.6</v>
      </c>
      <c r="E6849" s="822">
        <v>1.6140000000000001</v>
      </c>
      <c r="F6849" s="819" t="s">
        <v>16</v>
      </c>
      <c r="G6849" s="823"/>
      <c r="H6849" s="819" t="s">
        <v>1783</v>
      </c>
      <c r="I6849" s="782" t="s">
        <v>1796</v>
      </c>
      <c r="J6849" s="825"/>
      <c r="K6849" s="819" t="str">
        <f t="shared" si="205"/>
        <v>08,26</v>
      </c>
      <c r="L6849" s="819" t="s">
        <v>28</v>
      </c>
      <c r="M6849" s="819">
        <v>1612.56</v>
      </c>
      <c r="N6849" s="811">
        <v>0.45833333333333331</v>
      </c>
      <c r="O6849" s="2"/>
      <c r="P6849" s="867" t="s">
        <v>1848</v>
      </c>
    </row>
    <row r="6850" spans="1:18" ht="19.5" hidden="1" thickBot="1" x14ac:dyDescent="0.3">
      <c r="A6850" s="958"/>
      <c r="B6850" s="798" t="s">
        <v>1473</v>
      </c>
      <c r="C6850" s="799" t="s">
        <v>23</v>
      </c>
      <c r="D6850" s="800">
        <v>3.5</v>
      </c>
      <c r="E6850" s="800">
        <v>3.516</v>
      </c>
      <c r="F6850" s="801" t="s">
        <v>16</v>
      </c>
      <c r="G6850" s="802"/>
      <c r="H6850" s="801" t="s">
        <v>1783</v>
      </c>
      <c r="I6850" s="801" t="s">
        <v>1796</v>
      </c>
      <c r="J6850" s="803"/>
      <c r="K6850" s="801" t="str">
        <f t="shared" si="205"/>
        <v>08,26</v>
      </c>
      <c r="L6850" s="801" t="s">
        <v>28</v>
      </c>
      <c r="M6850" s="801">
        <v>3510</v>
      </c>
      <c r="N6850" s="804">
        <v>0.45833333333333331</v>
      </c>
      <c r="O6850" s="2"/>
      <c r="P6850" s="867" t="s">
        <v>1850</v>
      </c>
    </row>
    <row r="6851" spans="1:18" ht="19.5" hidden="1" thickBot="1" x14ac:dyDescent="0.3">
      <c r="A6851" s="959"/>
      <c r="B6851" s="798" t="s">
        <v>1770</v>
      </c>
      <c r="C6851" s="799" t="s">
        <v>23</v>
      </c>
      <c r="D6851" s="800">
        <v>4.0999999999999996</v>
      </c>
      <c r="E6851" s="800">
        <v>4.1239999999999997</v>
      </c>
      <c r="F6851" s="801" t="s">
        <v>16</v>
      </c>
      <c r="G6851" s="802" t="s">
        <v>76</v>
      </c>
      <c r="H6851" s="801" t="s">
        <v>1783</v>
      </c>
      <c r="I6851" s="801" t="s">
        <v>1795</v>
      </c>
      <c r="J6851" s="803"/>
      <c r="K6851" s="801" t="str">
        <f t="shared" si="205"/>
        <v>08,26</v>
      </c>
      <c r="L6851" s="801" t="s">
        <v>28</v>
      </c>
      <c r="M6851" s="801">
        <v>4110</v>
      </c>
      <c r="N6851" s="804">
        <v>0.45833333333333331</v>
      </c>
      <c r="O6851" s="2"/>
      <c r="P6851" s="867" t="s">
        <v>1855</v>
      </c>
    </row>
    <row r="6852" spans="1:18" ht="19.5" hidden="1" thickBot="1" x14ac:dyDescent="0.3">
      <c r="A6852" s="960">
        <f>MAX(A6800:A6851)+1</f>
        <v>4274</v>
      </c>
      <c r="B6852" s="610" t="s">
        <v>1769</v>
      </c>
      <c r="C6852" s="480" t="s">
        <v>23</v>
      </c>
      <c r="D6852" s="481">
        <v>17.567</v>
      </c>
      <c r="E6852" s="482">
        <v>15.648999999999999</v>
      </c>
      <c r="F6852" s="483" t="s">
        <v>16</v>
      </c>
      <c r="G6852" s="549"/>
      <c r="H6852" s="483" t="s">
        <v>1783</v>
      </c>
      <c r="I6852" s="484" t="s">
        <v>1783</v>
      </c>
      <c r="J6852" s="485"/>
      <c r="K6852" s="483" t="str">
        <f t="shared" si="205"/>
        <v>08,26</v>
      </c>
      <c r="L6852" s="483" t="s">
        <v>28</v>
      </c>
      <c r="M6852" s="483">
        <v>17606.16</v>
      </c>
      <c r="N6852" s="486">
        <v>0.5</v>
      </c>
      <c r="O6852" s="2"/>
      <c r="P6852" s="833" t="s">
        <v>1820</v>
      </c>
      <c r="Q6852" s="833">
        <f>E6852*1000</f>
        <v>15649</v>
      </c>
    </row>
    <row r="6853" spans="1:18" ht="19.5" hidden="1" thickBot="1" x14ac:dyDescent="0.3">
      <c r="A6853" s="962"/>
      <c r="B6853" s="841" t="s">
        <v>1770</v>
      </c>
      <c r="C6853" s="842" t="s">
        <v>23</v>
      </c>
      <c r="D6853" s="843">
        <v>1.54</v>
      </c>
      <c r="E6853" s="843">
        <v>1.5529999999999999</v>
      </c>
      <c r="F6853" s="844" t="s">
        <v>16</v>
      </c>
      <c r="G6853" s="851" t="s">
        <v>76</v>
      </c>
      <c r="H6853" s="844" t="s">
        <v>1783</v>
      </c>
      <c r="I6853" s="844" t="s">
        <v>1783</v>
      </c>
      <c r="J6853" s="845"/>
      <c r="K6853" s="844" t="str">
        <f t="shared" si="205"/>
        <v>08,26</v>
      </c>
      <c r="L6853" s="844" t="s">
        <v>28</v>
      </c>
      <c r="M6853" s="844">
        <v>1545</v>
      </c>
      <c r="N6853" s="846">
        <v>0.5</v>
      </c>
      <c r="O6853" s="2"/>
      <c r="P6853" s="833" t="s">
        <v>1821</v>
      </c>
      <c r="Q6853" s="833">
        <f>E6853*1000</f>
        <v>1553</v>
      </c>
    </row>
    <row r="6854" spans="1:18" ht="19.5" hidden="1" thickBot="1" x14ac:dyDescent="0.3">
      <c r="A6854" s="957">
        <f>MAX(A6801:A6852)+1</f>
        <v>4275</v>
      </c>
      <c r="B6854" s="759" t="s">
        <v>1774</v>
      </c>
      <c r="C6854" s="532" t="s">
        <v>26</v>
      </c>
      <c r="D6854" s="533">
        <v>17.376999999999999</v>
      </c>
      <c r="E6854" s="534">
        <f>11.956+0.513</f>
        <v>12.468999999999999</v>
      </c>
      <c r="F6854" s="535" t="s">
        <v>16</v>
      </c>
      <c r="G6854" s="536"/>
      <c r="H6854" s="535" t="s">
        <v>1795</v>
      </c>
      <c r="I6854" s="537" t="s">
        <v>1795</v>
      </c>
      <c r="J6854" s="538"/>
      <c r="K6854" s="535" t="str">
        <f t="shared" si="205"/>
        <v>08,26</v>
      </c>
      <c r="L6854" s="535" t="s">
        <v>265</v>
      </c>
      <c r="M6854" s="535">
        <v>17561.68</v>
      </c>
      <c r="N6854" s="539">
        <v>0.375</v>
      </c>
      <c r="O6854" s="2"/>
      <c r="P6854" s="867" t="s">
        <v>1844</v>
      </c>
      <c r="Q6854" s="847" t="s">
        <v>1846</v>
      </c>
    </row>
    <row r="6855" spans="1:18" ht="19.5" hidden="1" thickBot="1" x14ac:dyDescent="0.3">
      <c r="A6855" s="959"/>
      <c r="B6855" s="798" t="s">
        <v>1783</v>
      </c>
      <c r="C6855" s="799" t="s">
        <v>26</v>
      </c>
      <c r="D6855" s="800">
        <v>5.3</v>
      </c>
      <c r="E6855" s="800">
        <v>5.1210000000000004</v>
      </c>
      <c r="F6855" s="801" t="s">
        <v>16</v>
      </c>
      <c r="G6855" s="802"/>
      <c r="H6855" s="801" t="s">
        <v>1795</v>
      </c>
      <c r="I6855" s="801" t="s">
        <v>1795</v>
      </c>
      <c r="J6855" s="803"/>
      <c r="K6855" s="801" t="str">
        <f t="shared" si="205"/>
        <v>08,26</v>
      </c>
      <c r="L6855" s="801" t="s">
        <v>265</v>
      </c>
      <c r="M6855" s="801">
        <v>5335.8</v>
      </c>
      <c r="N6855" s="804">
        <v>0.375</v>
      </c>
      <c r="O6855" s="2"/>
      <c r="P6855" s="867" t="s">
        <v>1845</v>
      </c>
    </row>
    <row r="6856" spans="1:18" ht="19.5" hidden="1" thickBot="1" x14ac:dyDescent="0.3">
      <c r="A6856" s="960">
        <f>MAX(A6802:A6855)+1</f>
        <v>4276</v>
      </c>
      <c r="B6856" s="610" t="s">
        <v>1774</v>
      </c>
      <c r="C6856" s="480" t="s">
        <v>26</v>
      </c>
      <c r="D6856" s="481">
        <v>13.737</v>
      </c>
      <c r="E6856" s="482">
        <f>8.513+0.3</f>
        <v>8.8130000000000006</v>
      </c>
      <c r="F6856" s="483" t="s">
        <v>16</v>
      </c>
      <c r="G6856" s="549"/>
      <c r="H6856" s="483" t="s">
        <v>1795</v>
      </c>
      <c r="I6856" s="484" t="s">
        <v>1795</v>
      </c>
      <c r="J6856" s="485"/>
      <c r="K6856" s="483" t="str">
        <f t="shared" si="205"/>
        <v>08,26</v>
      </c>
      <c r="L6856" s="483" t="s">
        <v>265</v>
      </c>
      <c r="M6856" s="483">
        <v>13866.14</v>
      </c>
      <c r="N6856" s="486">
        <v>0.41666666666666669</v>
      </c>
      <c r="O6856" s="2"/>
      <c r="P6856" s="867" t="s">
        <v>1836</v>
      </c>
      <c r="Q6856" s="847" t="s">
        <v>1837</v>
      </c>
    </row>
    <row r="6857" spans="1:18" ht="19.5" hidden="1" thickBot="1" x14ac:dyDescent="0.3">
      <c r="A6857" s="961"/>
      <c r="B6857" s="769" t="s">
        <v>1774</v>
      </c>
      <c r="C6857" s="764" t="s">
        <v>1358</v>
      </c>
      <c r="D6857" s="765">
        <v>1.8759999999999999</v>
      </c>
      <c r="E6857" s="766">
        <v>1.518</v>
      </c>
      <c r="F6857" s="763" t="s">
        <v>16</v>
      </c>
      <c r="G6857" s="767" t="s">
        <v>844</v>
      </c>
      <c r="H6857" s="763" t="s">
        <v>1795</v>
      </c>
      <c r="I6857" s="768" t="s">
        <v>1795</v>
      </c>
      <c r="J6857" s="779"/>
      <c r="K6857" s="763" t="str">
        <f t="shared" si="205"/>
        <v>08,26</v>
      </c>
      <c r="L6857" s="763" t="s">
        <v>265</v>
      </c>
      <c r="M6857" s="763">
        <v>1966.3799999999997</v>
      </c>
      <c r="N6857" s="770">
        <v>0.41666666666666669</v>
      </c>
      <c r="O6857" s="2"/>
      <c r="P6857" s="867" t="s">
        <v>1838</v>
      </c>
    </row>
    <row r="6858" spans="1:18" ht="19.5" hidden="1" thickBot="1" x14ac:dyDescent="0.3">
      <c r="A6858" s="961"/>
      <c r="B6858" s="769" t="s">
        <v>1774</v>
      </c>
      <c r="C6858" s="764" t="s">
        <v>1358</v>
      </c>
      <c r="D6858" s="765">
        <v>1.6930000000000001</v>
      </c>
      <c r="E6858" s="766">
        <v>1.284</v>
      </c>
      <c r="F6858" s="763" t="s">
        <v>16</v>
      </c>
      <c r="G6858" s="767" t="s">
        <v>845</v>
      </c>
      <c r="H6858" s="763" t="s">
        <v>1795</v>
      </c>
      <c r="I6858" s="768" t="s">
        <v>1795</v>
      </c>
      <c r="J6858" s="779"/>
      <c r="K6858" s="763" t="str">
        <f t="shared" si="205"/>
        <v>08,26</v>
      </c>
      <c r="L6858" s="763" t="s">
        <v>265</v>
      </c>
      <c r="M6858" s="763">
        <v>1759.38</v>
      </c>
      <c r="N6858" s="770">
        <v>0.41666666666666669</v>
      </c>
      <c r="O6858" s="2"/>
      <c r="P6858" s="867" t="s">
        <v>1839</v>
      </c>
    </row>
    <row r="6859" spans="1:18" ht="19.5" hidden="1" thickBot="1" x14ac:dyDescent="0.3">
      <c r="A6859" s="962"/>
      <c r="B6859" s="805" t="s">
        <v>1783</v>
      </c>
      <c r="C6859" s="806" t="s">
        <v>26</v>
      </c>
      <c r="D6859" s="807">
        <v>5.9</v>
      </c>
      <c r="E6859" s="807">
        <v>5.8819999999999997</v>
      </c>
      <c r="F6859" s="808" t="s">
        <v>16</v>
      </c>
      <c r="G6859" s="809"/>
      <c r="H6859" s="808" t="s">
        <v>1795</v>
      </c>
      <c r="I6859" s="808" t="s">
        <v>1795</v>
      </c>
      <c r="J6859" s="810"/>
      <c r="K6859" s="808" t="str">
        <f t="shared" si="205"/>
        <v>08,26</v>
      </c>
      <c r="L6859" s="808" t="s">
        <v>265</v>
      </c>
      <c r="M6859" s="808">
        <v>5935.8</v>
      </c>
      <c r="N6859" s="778">
        <v>0.41666666666666669</v>
      </c>
      <c r="O6859" s="2"/>
      <c r="P6859" s="867" t="s">
        <v>1840</v>
      </c>
    </row>
    <row r="6860" spans="1:18" ht="19.5" hidden="1" thickBot="1" x14ac:dyDescent="0.3">
      <c r="A6860" s="503">
        <f>MAX(A6805:A6859)+1</f>
        <v>4277</v>
      </c>
      <c r="B6860" s="590" t="s">
        <v>1774</v>
      </c>
      <c r="C6860" s="591" t="s">
        <v>26</v>
      </c>
      <c r="D6860" s="592">
        <v>14.86</v>
      </c>
      <c r="E6860" s="593">
        <v>14.86</v>
      </c>
      <c r="F6860" s="594" t="s">
        <v>30</v>
      </c>
      <c r="G6860" s="595"/>
      <c r="H6860" s="594" t="s">
        <v>1795</v>
      </c>
      <c r="I6860" s="596" t="s">
        <v>1795</v>
      </c>
      <c r="J6860" s="597"/>
      <c r="K6860" s="594" t="str">
        <f t="shared" si="205"/>
        <v>08,26</v>
      </c>
      <c r="L6860" s="594" t="s">
        <v>265</v>
      </c>
      <c r="M6860" s="594">
        <v>14860.759999999997</v>
      </c>
      <c r="N6860" s="598">
        <v>0.375</v>
      </c>
      <c r="O6860" s="2"/>
      <c r="P6860" s="867" t="s">
        <v>1842</v>
      </c>
    </row>
    <row r="6861" spans="1:18" ht="19.5" hidden="1" thickBot="1" x14ac:dyDescent="0.3">
      <c r="A6861" s="960">
        <f>MAX(A6806:A6860)+1</f>
        <v>4278</v>
      </c>
      <c r="B6861" s="610" t="s">
        <v>1774</v>
      </c>
      <c r="C6861" s="480" t="s">
        <v>15</v>
      </c>
      <c r="D6861" s="481">
        <v>5.1420000000000003</v>
      </c>
      <c r="E6861" s="482">
        <v>3.6859999999999999</v>
      </c>
      <c r="F6861" s="483" t="s">
        <v>16</v>
      </c>
      <c r="G6861" s="970" t="s">
        <v>1633</v>
      </c>
      <c r="H6861" s="483" t="s">
        <v>1795</v>
      </c>
      <c r="I6861" s="484" t="s">
        <v>1795</v>
      </c>
      <c r="J6861" s="485"/>
      <c r="K6861" s="483" t="str">
        <f t="shared" ref="K6861:K6924" si="206">RIGHT(I6861,5)</f>
        <v>08,26</v>
      </c>
      <c r="L6861" s="483" t="s">
        <v>28</v>
      </c>
      <c r="M6861" s="483">
        <v>5256.92</v>
      </c>
      <c r="N6861" s="486">
        <v>0.45833333333333331</v>
      </c>
      <c r="O6861" s="2"/>
      <c r="P6861" s="867" t="s">
        <v>1851</v>
      </c>
      <c r="R6861" s="895"/>
    </row>
    <row r="6862" spans="1:18" ht="19.5" hidden="1" thickBot="1" x14ac:dyDescent="0.3">
      <c r="A6862" s="961"/>
      <c r="B6862" s="769" t="s">
        <v>1774</v>
      </c>
      <c r="C6862" s="764" t="s">
        <v>24</v>
      </c>
      <c r="D6862" s="765">
        <v>11.551</v>
      </c>
      <c r="E6862" s="766">
        <f>9.613+0.134</f>
        <v>9.7469999999999999</v>
      </c>
      <c r="F6862" s="763" t="s">
        <v>16</v>
      </c>
      <c r="G6862" s="971"/>
      <c r="H6862" s="763" t="s">
        <v>1795</v>
      </c>
      <c r="I6862" s="768" t="s">
        <v>1795</v>
      </c>
      <c r="J6862" s="779"/>
      <c r="K6862" s="763" t="str">
        <f t="shared" si="206"/>
        <v>08,26</v>
      </c>
      <c r="L6862" s="763" t="s">
        <v>28</v>
      </c>
      <c r="M6862" s="763">
        <v>11740.74</v>
      </c>
      <c r="N6862" s="770">
        <v>0.45833333333333331</v>
      </c>
      <c r="O6862" s="2"/>
      <c r="P6862" s="867" t="s">
        <v>1852</v>
      </c>
      <c r="Q6862" s="847" t="s">
        <v>1854</v>
      </c>
      <c r="R6862" s="895"/>
    </row>
    <row r="6863" spans="1:18" ht="19.5" hidden="1" thickBot="1" x14ac:dyDescent="0.3">
      <c r="A6863" s="962"/>
      <c r="B6863" s="805" t="s">
        <v>1795</v>
      </c>
      <c r="C6863" s="806" t="s">
        <v>24</v>
      </c>
      <c r="D6863" s="807">
        <v>3.6</v>
      </c>
      <c r="E6863" s="807">
        <v>3.621</v>
      </c>
      <c r="F6863" s="808" t="s">
        <v>16</v>
      </c>
      <c r="G6863" s="972"/>
      <c r="H6863" s="808" t="s">
        <v>1795</v>
      </c>
      <c r="I6863" s="808" t="s">
        <v>1795</v>
      </c>
      <c r="J6863" s="810"/>
      <c r="K6863" s="808" t="str">
        <f t="shared" si="206"/>
        <v>08,26</v>
      </c>
      <c r="L6863" s="808" t="s">
        <v>28</v>
      </c>
      <c r="M6863" s="808">
        <v>3615</v>
      </c>
      <c r="N6863" s="778">
        <v>0.45833333333333331</v>
      </c>
      <c r="O6863" s="2"/>
      <c r="P6863" s="867" t="s">
        <v>1853</v>
      </c>
      <c r="R6863" s="895"/>
    </row>
    <row r="6864" spans="1:18" ht="19.5" hidden="1" thickBot="1" x14ac:dyDescent="0.3">
      <c r="A6864" s="966">
        <f>MAX(A6808:A6863)+1</f>
        <v>4279</v>
      </c>
      <c r="B6864" s="563" t="s">
        <v>1774</v>
      </c>
      <c r="C6864" s="564" t="s">
        <v>23</v>
      </c>
      <c r="D6864" s="565">
        <v>12.664</v>
      </c>
      <c r="E6864" s="566">
        <v>10.241</v>
      </c>
      <c r="F6864" s="567" t="s">
        <v>16</v>
      </c>
      <c r="G6864" s="568"/>
      <c r="H6864" s="567" t="s">
        <v>1795</v>
      </c>
      <c r="I6864" s="569" t="s">
        <v>1796</v>
      </c>
      <c r="J6864" s="570"/>
      <c r="K6864" s="567" t="str">
        <f t="shared" si="206"/>
        <v>08,26</v>
      </c>
      <c r="L6864" s="567" t="s">
        <v>28</v>
      </c>
      <c r="M6864" s="567">
        <v>12834.22</v>
      </c>
      <c r="N6864" s="571">
        <v>0.5</v>
      </c>
      <c r="O6864" s="2"/>
      <c r="P6864" s="867" t="s">
        <v>1849</v>
      </c>
      <c r="R6864" s="895"/>
    </row>
    <row r="6865" spans="1:18" ht="19.5" hidden="1" thickBot="1" x14ac:dyDescent="0.3">
      <c r="A6865" s="968"/>
      <c r="B6865" s="636" t="s">
        <v>1774</v>
      </c>
      <c r="C6865" s="637" t="s">
        <v>480</v>
      </c>
      <c r="D6865" s="638">
        <v>4.7300000000000004</v>
      </c>
      <c r="E6865" s="639">
        <v>2.8839999999999999</v>
      </c>
      <c r="F6865" s="640" t="s">
        <v>16</v>
      </c>
      <c r="G6865" s="641"/>
      <c r="H6865" s="640" t="s">
        <v>1795</v>
      </c>
      <c r="I6865" s="642" t="s">
        <v>1796</v>
      </c>
      <c r="J6865" s="643"/>
      <c r="K6865" s="640" t="str">
        <f t="shared" si="206"/>
        <v>08,26</v>
      </c>
      <c r="L6865" s="640" t="s">
        <v>266</v>
      </c>
      <c r="M6865" s="640">
        <v>4831</v>
      </c>
      <c r="N6865" s="644">
        <v>0.5</v>
      </c>
      <c r="O6865" s="2"/>
      <c r="P6865" s="867" t="s">
        <v>1847</v>
      </c>
    </row>
    <row r="6866" spans="1:18" ht="19.5" hidden="1" thickBot="1" x14ac:dyDescent="0.3">
      <c r="A6866" s="954">
        <f>MAX(A6810:A6865)+1</f>
        <v>4280</v>
      </c>
      <c r="B6866" s="479" t="s">
        <v>1774</v>
      </c>
      <c r="C6866" s="480" t="s">
        <v>587</v>
      </c>
      <c r="D6866" s="481">
        <v>7.1289999999999996</v>
      </c>
      <c r="E6866" s="482">
        <v>7.1289999999999996</v>
      </c>
      <c r="F6866" s="483" t="s">
        <v>30</v>
      </c>
      <c r="G6866" s="549" t="s">
        <v>23</v>
      </c>
      <c r="H6866" s="483" t="s">
        <v>1795</v>
      </c>
      <c r="I6866" s="484" t="s">
        <v>1795</v>
      </c>
      <c r="J6866" s="485"/>
      <c r="K6866" s="483" t="str">
        <f t="shared" si="206"/>
        <v>08,26</v>
      </c>
      <c r="L6866" s="483" t="s">
        <v>28</v>
      </c>
      <c r="M6866" s="483">
        <v>7129.7199999999993</v>
      </c>
      <c r="N6866" s="486">
        <v>0.41666666666666669</v>
      </c>
      <c r="P6866" s="867" t="s">
        <v>1860</v>
      </c>
    </row>
    <row r="6867" spans="1:18" ht="19.5" hidden="1" thickBot="1" x14ac:dyDescent="0.3">
      <c r="A6867" s="956"/>
      <c r="B6867" s="645" t="s">
        <v>1774</v>
      </c>
      <c r="C6867" s="646" t="s">
        <v>23</v>
      </c>
      <c r="D6867" s="647">
        <v>6.4139999999999997</v>
      </c>
      <c r="E6867" s="648">
        <v>6.4139999999999997</v>
      </c>
      <c r="F6867" s="649" t="s">
        <v>30</v>
      </c>
      <c r="G6867" s="650"/>
      <c r="H6867" s="649" t="s">
        <v>1795</v>
      </c>
      <c r="I6867" s="651" t="s">
        <v>1795</v>
      </c>
      <c r="J6867" s="652"/>
      <c r="K6867" s="649" t="str">
        <f t="shared" si="206"/>
        <v>08,26</v>
      </c>
      <c r="L6867" s="649" t="s">
        <v>28</v>
      </c>
      <c r="M6867" s="649">
        <v>6414</v>
      </c>
      <c r="N6867" s="653">
        <v>0.41666666666666669</v>
      </c>
      <c r="P6867" s="867" t="s">
        <v>1861</v>
      </c>
    </row>
    <row r="6868" spans="1:18" ht="19.5" hidden="1" thickBot="1" x14ac:dyDescent="0.3">
      <c r="A6868" s="503">
        <f>MAX(A6812:A6867)+1</f>
        <v>4281</v>
      </c>
      <c r="B6868" s="504" t="s">
        <v>1774</v>
      </c>
      <c r="C6868" s="505" t="s">
        <v>587</v>
      </c>
      <c r="D6868" s="506">
        <v>10.672000000000001</v>
      </c>
      <c r="E6868" s="507">
        <v>10.672000000000001</v>
      </c>
      <c r="F6868" s="508" t="s">
        <v>30</v>
      </c>
      <c r="G6868" s="509" t="s">
        <v>47</v>
      </c>
      <c r="H6868" s="508" t="s">
        <v>1795</v>
      </c>
      <c r="I6868" s="510" t="s">
        <v>1795</v>
      </c>
      <c r="J6868" s="511"/>
      <c r="K6868" s="508" t="str">
        <f t="shared" si="206"/>
        <v>08,26</v>
      </c>
      <c r="L6868" s="508" t="s">
        <v>28</v>
      </c>
      <c r="M6868" s="508">
        <v>10672.2</v>
      </c>
      <c r="N6868" s="512">
        <v>0.45833333333333331</v>
      </c>
      <c r="P6868" s="867" t="s">
        <v>1843</v>
      </c>
    </row>
    <row r="6869" spans="1:18" ht="19.5" hidden="1" thickBot="1" x14ac:dyDescent="0.3">
      <c r="A6869" s="513">
        <f>MAX(A6813:A6868)+1</f>
        <v>4282</v>
      </c>
      <c r="B6869" s="573" t="s">
        <v>1774</v>
      </c>
      <c r="C6869" s="574" t="s">
        <v>47</v>
      </c>
      <c r="D6869" s="575">
        <v>12.324999999999999</v>
      </c>
      <c r="E6869" s="576">
        <v>12.324999999999999</v>
      </c>
      <c r="F6869" s="577" t="s">
        <v>30</v>
      </c>
      <c r="G6869" s="578"/>
      <c r="H6869" s="577" t="s">
        <v>1795</v>
      </c>
      <c r="I6869" s="579" t="s">
        <v>1795</v>
      </c>
      <c r="J6869" s="580"/>
      <c r="K6869" s="577" t="str">
        <f t="shared" si="206"/>
        <v>08,26</v>
      </c>
      <c r="L6869" s="577" t="s">
        <v>28</v>
      </c>
      <c r="M6869" s="577">
        <v>12325.52</v>
      </c>
      <c r="N6869" s="581">
        <v>0.5</v>
      </c>
      <c r="P6869" s="867" t="s">
        <v>1841</v>
      </c>
    </row>
    <row r="6870" spans="1:18" ht="19.5" hidden="1" thickBot="1" x14ac:dyDescent="0.3">
      <c r="A6870" s="957">
        <f>MAX(A6814:A6869)+1</f>
        <v>4283</v>
      </c>
      <c r="B6870" s="759" t="s">
        <v>1774</v>
      </c>
      <c r="C6870" s="532" t="s">
        <v>26</v>
      </c>
      <c r="D6870" s="533">
        <v>17.390999999999998</v>
      </c>
      <c r="E6870" s="534">
        <f>13.709+0.225+0.135</f>
        <v>14.068999999999999</v>
      </c>
      <c r="F6870" s="535" t="s">
        <v>16</v>
      </c>
      <c r="G6870" s="536"/>
      <c r="H6870" s="535" t="s">
        <v>1796</v>
      </c>
      <c r="I6870" s="537" t="s">
        <v>1796</v>
      </c>
      <c r="J6870" s="538"/>
      <c r="K6870" s="535" t="str">
        <f t="shared" si="206"/>
        <v>08,26</v>
      </c>
      <c r="L6870" s="535" t="s">
        <v>265</v>
      </c>
      <c r="M6870" s="535">
        <v>17583.84</v>
      </c>
      <c r="N6870" s="539">
        <v>0.375</v>
      </c>
      <c r="P6870" s="867" t="s">
        <v>1868</v>
      </c>
      <c r="Q6870" s="847" t="s">
        <v>1871</v>
      </c>
      <c r="R6870" s="833" t="s">
        <v>1890</v>
      </c>
    </row>
    <row r="6871" spans="1:18" ht="18.75" hidden="1" customHeight="1" x14ac:dyDescent="0.25">
      <c r="A6871" s="958"/>
      <c r="B6871" s="852" t="s">
        <v>1796</v>
      </c>
      <c r="C6871" s="837" t="s">
        <v>26</v>
      </c>
      <c r="D6871" s="838">
        <v>0.74199999999999999</v>
      </c>
      <c r="E6871" s="838">
        <v>0.753</v>
      </c>
      <c r="F6871" s="839" t="s">
        <v>16</v>
      </c>
      <c r="G6871" s="850"/>
      <c r="H6871" s="839" t="s">
        <v>1796</v>
      </c>
      <c r="I6871" s="839" t="s">
        <v>1796</v>
      </c>
      <c r="J6871" s="840"/>
      <c r="K6871" s="839" t="str">
        <f t="shared" si="206"/>
        <v>08,26</v>
      </c>
      <c r="L6871" s="839" t="s">
        <v>265</v>
      </c>
      <c r="M6871" s="839">
        <v>750</v>
      </c>
      <c r="N6871" s="598">
        <v>0.375</v>
      </c>
      <c r="P6871" s="867" t="s">
        <v>1869</v>
      </c>
    </row>
    <row r="6872" spans="1:18" ht="19.5" hidden="1" thickBot="1" x14ac:dyDescent="0.3">
      <c r="A6872" s="959"/>
      <c r="B6872" s="798" t="s">
        <v>1795</v>
      </c>
      <c r="C6872" s="799" t="s">
        <v>26</v>
      </c>
      <c r="D6872" s="800">
        <v>2.7</v>
      </c>
      <c r="E6872" s="800">
        <v>2.718</v>
      </c>
      <c r="F6872" s="801" t="s">
        <v>16</v>
      </c>
      <c r="G6872" s="802" t="s">
        <v>76</v>
      </c>
      <c r="H6872" s="801" t="s">
        <v>1796</v>
      </c>
      <c r="I6872" s="801" t="s">
        <v>1796</v>
      </c>
      <c r="J6872" s="803"/>
      <c r="K6872" s="801" t="str">
        <f t="shared" si="206"/>
        <v>08,26</v>
      </c>
      <c r="L6872" s="801" t="s">
        <v>265</v>
      </c>
      <c r="M6872" s="801">
        <v>2715</v>
      </c>
      <c r="N6872" s="804">
        <v>0.375</v>
      </c>
      <c r="P6872" s="867" t="s">
        <v>1870</v>
      </c>
    </row>
    <row r="6873" spans="1:18" ht="19.5" hidden="1" thickBot="1" x14ac:dyDescent="0.3">
      <c r="A6873" s="960">
        <f>MAX(A6815:A6872)+1</f>
        <v>4284</v>
      </c>
      <c r="B6873" s="610" t="s">
        <v>1774</v>
      </c>
      <c r="C6873" s="480" t="s">
        <v>26</v>
      </c>
      <c r="D6873" s="481">
        <v>17.475000000000001</v>
      </c>
      <c r="E6873" s="482">
        <f>13.231+0.685</f>
        <v>13.916</v>
      </c>
      <c r="F6873" s="483" t="s">
        <v>16</v>
      </c>
      <c r="G6873" s="549"/>
      <c r="H6873" s="483" t="s">
        <v>1796</v>
      </c>
      <c r="I6873" s="484" t="s">
        <v>1796</v>
      </c>
      <c r="J6873" s="485"/>
      <c r="K6873" s="483" t="str">
        <f t="shared" si="206"/>
        <v>08,26</v>
      </c>
      <c r="L6873" s="483" t="s">
        <v>265</v>
      </c>
      <c r="M6873" s="483">
        <v>17665.38</v>
      </c>
      <c r="N6873" s="486">
        <v>0.41666666666666669</v>
      </c>
      <c r="P6873" s="867" t="s">
        <v>1879</v>
      </c>
      <c r="Q6873" s="847" t="s">
        <v>1882</v>
      </c>
    </row>
    <row r="6874" spans="1:18" ht="18.75" hidden="1" customHeight="1" x14ac:dyDescent="0.25">
      <c r="A6874" s="961"/>
      <c r="B6874" s="792" t="s">
        <v>1796</v>
      </c>
      <c r="C6874" s="793" t="s">
        <v>26</v>
      </c>
      <c r="D6874" s="794">
        <v>0.54</v>
      </c>
      <c r="E6874" s="794">
        <v>0.53900000000000003</v>
      </c>
      <c r="F6874" s="795" t="s">
        <v>16</v>
      </c>
      <c r="G6874" s="796"/>
      <c r="H6874" s="795" t="s">
        <v>1796</v>
      </c>
      <c r="I6874" s="795" t="s">
        <v>1796</v>
      </c>
      <c r="J6874" s="797"/>
      <c r="K6874" s="795" t="str">
        <f t="shared" si="206"/>
        <v>08,26</v>
      </c>
      <c r="L6874" s="795" t="s">
        <v>265</v>
      </c>
      <c r="M6874" s="795">
        <v>540</v>
      </c>
      <c r="N6874" s="502">
        <v>0.41666666666666669</v>
      </c>
      <c r="P6874" s="867" t="s">
        <v>1880</v>
      </c>
    </row>
    <row r="6875" spans="1:18" ht="19.5" hidden="1" thickBot="1" x14ac:dyDescent="0.3">
      <c r="A6875" s="962"/>
      <c r="B6875" s="805" t="s">
        <v>1795</v>
      </c>
      <c r="C6875" s="806" t="s">
        <v>26</v>
      </c>
      <c r="D6875" s="807">
        <v>3.1</v>
      </c>
      <c r="E6875" s="807">
        <v>3.1070000000000002</v>
      </c>
      <c r="F6875" s="808" t="s">
        <v>16</v>
      </c>
      <c r="G6875" s="809" t="s">
        <v>76</v>
      </c>
      <c r="H6875" s="808" t="s">
        <v>1796</v>
      </c>
      <c r="I6875" s="808" t="s">
        <v>1796</v>
      </c>
      <c r="J6875" s="810"/>
      <c r="K6875" s="808" t="str">
        <f t="shared" si="206"/>
        <v>08,26</v>
      </c>
      <c r="L6875" s="808" t="s">
        <v>265</v>
      </c>
      <c r="M6875" s="808">
        <v>3105</v>
      </c>
      <c r="N6875" s="778">
        <v>0.41666666666666669</v>
      </c>
      <c r="P6875" s="867" t="s">
        <v>1881</v>
      </c>
    </row>
    <row r="6876" spans="1:18" ht="19.5" hidden="1" thickBot="1" x14ac:dyDescent="0.3">
      <c r="A6876" s="957">
        <f>MAX(A6816:A6875)+1</f>
        <v>4285</v>
      </c>
      <c r="B6876" s="760" t="s">
        <v>1774</v>
      </c>
      <c r="C6876" s="564" t="s">
        <v>23</v>
      </c>
      <c r="D6876" s="565">
        <v>16.715</v>
      </c>
      <c r="E6876" s="566">
        <f>16.503+0.139</f>
        <v>16.641999999999999</v>
      </c>
      <c r="F6876" s="567" t="s">
        <v>16</v>
      </c>
      <c r="G6876" s="969" t="s">
        <v>1633</v>
      </c>
      <c r="H6876" s="567" t="s">
        <v>1796</v>
      </c>
      <c r="I6876" s="569" t="s">
        <v>1796</v>
      </c>
      <c r="J6876" s="570"/>
      <c r="K6876" s="567" t="str">
        <f t="shared" si="206"/>
        <v>08,26</v>
      </c>
      <c r="L6876" s="567" t="s">
        <v>28</v>
      </c>
      <c r="M6876" s="567">
        <v>16782.48</v>
      </c>
      <c r="N6876" s="571">
        <v>0.45833333333333331</v>
      </c>
      <c r="P6876" s="867" t="s">
        <v>1886</v>
      </c>
      <c r="Q6876" s="847" t="s">
        <v>1888</v>
      </c>
      <c r="R6876" s="895"/>
    </row>
    <row r="6877" spans="1:18" ht="19.5" hidden="1" thickBot="1" x14ac:dyDescent="0.3">
      <c r="A6877" s="959"/>
      <c r="B6877" s="798" t="s">
        <v>1795</v>
      </c>
      <c r="C6877" s="799" t="s">
        <v>23</v>
      </c>
      <c r="D6877" s="800">
        <v>1</v>
      </c>
      <c r="E6877" s="800">
        <v>1.012</v>
      </c>
      <c r="F6877" s="801" t="s">
        <v>16</v>
      </c>
      <c r="G6877" s="969"/>
      <c r="H6877" s="801" t="s">
        <v>1796</v>
      </c>
      <c r="I6877" s="801" t="s">
        <v>1796</v>
      </c>
      <c r="J6877" s="803"/>
      <c r="K6877" s="801" t="str">
        <f t="shared" si="206"/>
        <v>08,26</v>
      </c>
      <c r="L6877" s="801" t="s">
        <v>28</v>
      </c>
      <c r="M6877" s="801">
        <v>1005</v>
      </c>
      <c r="N6877" s="804">
        <v>0.45833333333333331</v>
      </c>
      <c r="P6877" s="867" t="s">
        <v>1887</v>
      </c>
      <c r="R6877" s="895"/>
    </row>
    <row r="6878" spans="1:18" ht="19.5" hidden="1" thickBot="1" x14ac:dyDescent="0.3">
      <c r="A6878" s="954">
        <f>MAX(A6817:A6877)+1</f>
        <v>4286</v>
      </c>
      <c r="B6878" s="610" t="s">
        <v>1774</v>
      </c>
      <c r="C6878" s="480" t="s">
        <v>47</v>
      </c>
      <c r="D6878" s="481">
        <v>16.702999999999999</v>
      </c>
      <c r="E6878" s="482">
        <f>14.218+0.235</f>
        <v>14.452999999999999</v>
      </c>
      <c r="F6878" s="483" t="s">
        <v>16</v>
      </c>
      <c r="G6878" s="963" t="s">
        <v>1633</v>
      </c>
      <c r="H6878" s="483" t="s">
        <v>1796</v>
      </c>
      <c r="I6878" s="484" t="s">
        <v>1796</v>
      </c>
      <c r="J6878" s="485"/>
      <c r="K6878" s="483" t="str">
        <f t="shared" si="206"/>
        <v>08,26</v>
      </c>
      <c r="L6878" s="483" t="s">
        <v>28</v>
      </c>
      <c r="M6878" s="483">
        <v>16885.699999999997</v>
      </c>
      <c r="N6878" s="486">
        <v>0.5</v>
      </c>
      <c r="P6878" s="867" t="s">
        <v>1883</v>
      </c>
      <c r="Q6878" s="847" t="s">
        <v>1885</v>
      </c>
      <c r="R6878" s="895"/>
    </row>
    <row r="6879" spans="1:18" ht="19.5" hidden="1" thickBot="1" x14ac:dyDescent="0.3">
      <c r="A6879" s="956"/>
      <c r="B6879" s="805" t="s">
        <v>1795</v>
      </c>
      <c r="C6879" s="806" t="s">
        <v>47</v>
      </c>
      <c r="D6879" s="807">
        <v>2.6</v>
      </c>
      <c r="E6879" s="807">
        <v>2.621</v>
      </c>
      <c r="F6879" s="808" t="s">
        <v>16</v>
      </c>
      <c r="G6879" s="965"/>
      <c r="H6879" s="808" t="s">
        <v>1796</v>
      </c>
      <c r="I6879" s="808" t="s">
        <v>1796</v>
      </c>
      <c r="J6879" s="810"/>
      <c r="K6879" s="808" t="str">
        <f t="shared" si="206"/>
        <v>08,26</v>
      </c>
      <c r="L6879" s="808" t="s">
        <v>28</v>
      </c>
      <c r="M6879" s="808">
        <v>2610</v>
      </c>
      <c r="N6879" s="778">
        <v>0.5</v>
      </c>
      <c r="P6879" s="867" t="s">
        <v>1884</v>
      </c>
      <c r="R6879" s="895"/>
    </row>
    <row r="6880" spans="1:18" ht="19.5" hidden="1" thickBot="1" x14ac:dyDescent="0.3">
      <c r="A6880" s="503">
        <f>MAX(A6818:A6879)+1</f>
        <v>4287</v>
      </c>
      <c r="B6880" s="636" t="s">
        <v>1774</v>
      </c>
      <c r="C6880" s="637" t="s">
        <v>23</v>
      </c>
      <c r="D6880" s="638">
        <v>12.749000000000001</v>
      </c>
      <c r="E6880" s="639">
        <f>12.555+0.015</f>
        <v>12.57</v>
      </c>
      <c r="F6880" s="640" t="s">
        <v>30</v>
      </c>
      <c r="G6880" s="641"/>
      <c r="H6880" s="640" t="s">
        <v>1796</v>
      </c>
      <c r="I6880" s="642" t="s">
        <v>1796</v>
      </c>
      <c r="J6880" s="643"/>
      <c r="K6880" s="640" t="str">
        <f t="shared" si="206"/>
        <v>08,26</v>
      </c>
      <c r="L6880" s="640" t="s">
        <v>28</v>
      </c>
      <c r="M6880" s="640">
        <v>12749.48</v>
      </c>
      <c r="N6880" s="644">
        <v>0.375</v>
      </c>
      <c r="P6880" s="867" t="s">
        <v>1872</v>
      </c>
      <c r="Q6880" s="847" t="s">
        <v>1873</v>
      </c>
    </row>
    <row r="6881" spans="1:18" ht="19.5" hidden="1" thickBot="1" x14ac:dyDescent="0.3">
      <c r="A6881" s="954">
        <f>MAX(A6819:A6880)+1</f>
        <v>4288</v>
      </c>
      <c r="B6881" s="479" t="s">
        <v>1774</v>
      </c>
      <c r="C6881" s="480" t="s">
        <v>15</v>
      </c>
      <c r="D6881" s="481">
        <v>9.3079999999999998</v>
      </c>
      <c r="E6881" s="482">
        <f>9.226+0.015</f>
        <v>9.2410000000000014</v>
      </c>
      <c r="F6881" s="483" t="s">
        <v>30</v>
      </c>
      <c r="G6881" s="549"/>
      <c r="H6881" s="483" t="s">
        <v>1796</v>
      </c>
      <c r="I6881" s="484" t="s">
        <v>1796</v>
      </c>
      <c r="J6881" s="485"/>
      <c r="K6881" s="483" t="str">
        <f t="shared" si="206"/>
        <v>08,26</v>
      </c>
      <c r="L6881" s="483" t="s">
        <v>28</v>
      </c>
      <c r="M6881" s="483">
        <v>9308.8799999999992</v>
      </c>
      <c r="N6881" s="486">
        <v>0.41666666666666669</v>
      </c>
      <c r="P6881" s="867" t="s">
        <v>1865</v>
      </c>
      <c r="Q6881" s="847" t="s">
        <v>1867</v>
      </c>
    </row>
    <row r="6882" spans="1:18" ht="19.5" hidden="1" thickBot="1" x14ac:dyDescent="0.3">
      <c r="A6882" s="956"/>
      <c r="B6882" s="645" t="s">
        <v>1774</v>
      </c>
      <c r="C6882" s="646" t="s">
        <v>24</v>
      </c>
      <c r="D6882" s="647">
        <v>5.5679999999999996</v>
      </c>
      <c r="E6882" s="648">
        <v>5.5679999999999996</v>
      </c>
      <c r="F6882" s="649" t="s">
        <v>30</v>
      </c>
      <c r="G6882" s="650"/>
      <c r="H6882" s="649" t="s">
        <v>1796</v>
      </c>
      <c r="I6882" s="651" t="s">
        <v>1796</v>
      </c>
      <c r="J6882" s="652"/>
      <c r="K6882" s="649" t="str">
        <f t="shared" si="206"/>
        <v>08,26</v>
      </c>
      <c r="L6882" s="649" t="s">
        <v>28</v>
      </c>
      <c r="M6882" s="649">
        <v>5568.24</v>
      </c>
      <c r="N6882" s="653">
        <v>0.41666666666666669</v>
      </c>
      <c r="P6882" s="867" t="s">
        <v>1866</v>
      </c>
    </row>
    <row r="6883" spans="1:18" ht="19.5" hidden="1" thickBot="1" x14ac:dyDescent="0.3">
      <c r="A6883" s="922">
        <f>MAX(A6821:A6882)+1</f>
        <v>4289</v>
      </c>
      <c r="B6883" s="923" t="s">
        <v>1795</v>
      </c>
      <c r="C6883" s="924" t="s">
        <v>32</v>
      </c>
      <c r="D6883" s="925">
        <v>17.8</v>
      </c>
      <c r="E6883" s="926" t="s">
        <v>1496</v>
      </c>
      <c r="F6883" s="927" t="s">
        <v>16</v>
      </c>
      <c r="G6883" s="757"/>
      <c r="H6883" s="927" t="s">
        <v>1835</v>
      </c>
      <c r="I6883" s="928" t="s">
        <v>1496</v>
      </c>
      <c r="J6883" s="929"/>
      <c r="K6883" s="927" t="str">
        <f t="shared" si="206"/>
        <v>тмена</v>
      </c>
      <c r="L6883" s="927" t="s">
        <v>266</v>
      </c>
      <c r="M6883" s="927">
        <v>17807.399999999998</v>
      </c>
      <c r="N6883" s="930">
        <v>0.41666666666666669</v>
      </c>
      <c r="O6883" s="920"/>
      <c r="P6883" s="921" t="s">
        <v>1024</v>
      </c>
    </row>
    <row r="6884" spans="1:18" ht="19.5" hidden="1" thickBot="1" x14ac:dyDescent="0.3">
      <c r="A6884" s="513">
        <f>MAX(A6822:A6883)+1</f>
        <v>4290</v>
      </c>
      <c r="B6884" s="514" t="s">
        <v>1796</v>
      </c>
      <c r="C6884" s="515" t="s">
        <v>32</v>
      </c>
      <c r="D6884" s="516">
        <v>18.006</v>
      </c>
      <c r="E6884" s="517">
        <v>14.186</v>
      </c>
      <c r="F6884" s="518" t="s">
        <v>16</v>
      </c>
      <c r="G6884" s="519"/>
      <c r="H6884" s="518" t="s">
        <v>1864</v>
      </c>
      <c r="I6884" s="520" t="s">
        <v>1864</v>
      </c>
      <c r="J6884" s="521"/>
      <c r="K6884" s="518" t="str">
        <f t="shared" si="206"/>
        <v>08,26</v>
      </c>
      <c r="L6884" s="518" t="s">
        <v>266</v>
      </c>
      <c r="M6884" s="518">
        <v>18176.620000000003</v>
      </c>
      <c r="N6884" s="522">
        <v>0.41666666666666669</v>
      </c>
      <c r="O6884" s="897" t="s">
        <v>1874</v>
      </c>
      <c r="P6884" s="867" t="s">
        <v>1923</v>
      </c>
    </row>
    <row r="6885" spans="1:18" ht="19.5" hidden="1" thickBot="1" x14ac:dyDescent="0.3">
      <c r="A6885" s="503">
        <f>MAX(A6823:A6884)+1</f>
        <v>4291</v>
      </c>
      <c r="B6885" s="504" t="s">
        <v>1796</v>
      </c>
      <c r="C6885" s="505" t="s">
        <v>32</v>
      </c>
      <c r="D6885" s="506">
        <v>17.933</v>
      </c>
      <c r="E6885" s="507">
        <v>17.204999999999998</v>
      </c>
      <c r="F6885" s="508" t="s">
        <v>16</v>
      </c>
      <c r="G6885" s="509"/>
      <c r="H6885" s="508" t="s">
        <v>1864</v>
      </c>
      <c r="I6885" s="510" t="s">
        <v>1864</v>
      </c>
      <c r="J6885" s="511"/>
      <c r="K6885" s="508" t="str">
        <f t="shared" si="206"/>
        <v>08,26</v>
      </c>
      <c r="L6885" s="508" t="s">
        <v>266</v>
      </c>
      <c r="M6885" s="508">
        <v>18044.509999999998</v>
      </c>
      <c r="N6885" s="512">
        <v>0.45833333333333331</v>
      </c>
      <c r="O6885" s="897" t="s">
        <v>1875</v>
      </c>
      <c r="P6885" s="867" t="s">
        <v>1918</v>
      </c>
    </row>
    <row r="6886" spans="1:18" ht="19.5" hidden="1" thickBot="1" x14ac:dyDescent="0.3">
      <c r="A6886" s="513">
        <f>MAX(A6824:A6885)+1</f>
        <v>4292</v>
      </c>
      <c r="B6886" s="573" t="s">
        <v>1796</v>
      </c>
      <c r="C6886" s="574" t="s">
        <v>32</v>
      </c>
      <c r="D6886" s="575">
        <v>18</v>
      </c>
      <c r="E6886" s="576">
        <v>14.137</v>
      </c>
      <c r="F6886" s="577" t="s">
        <v>16</v>
      </c>
      <c r="G6886" s="578"/>
      <c r="H6886" s="577" t="s">
        <v>1864</v>
      </c>
      <c r="I6886" s="579" t="s">
        <v>1864</v>
      </c>
      <c r="J6886" s="580"/>
      <c r="K6886" s="577" t="str">
        <f t="shared" si="206"/>
        <v>08,26</v>
      </c>
      <c r="L6886" s="518" t="s">
        <v>266</v>
      </c>
      <c r="M6886" s="518">
        <v>18013.8</v>
      </c>
      <c r="N6886" s="522">
        <v>0.5</v>
      </c>
      <c r="O6886" s="897" t="s">
        <v>1876</v>
      </c>
      <c r="P6886" s="867" t="s">
        <v>1917</v>
      </c>
    </row>
    <row r="6887" spans="1:18" ht="19.5" hidden="1" thickBot="1" x14ac:dyDescent="0.3">
      <c r="A6887" s="957">
        <f t="shared" ref="A6887" si="207">MAX(A6828:A6886)+1</f>
        <v>4293</v>
      </c>
      <c r="B6887" s="759" t="s">
        <v>1796</v>
      </c>
      <c r="C6887" s="532" t="s">
        <v>848</v>
      </c>
      <c r="D6887" s="533">
        <v>17.988</v>
      </c>
      <c r="E6887" s="534">
        <v>15.236000000000001</v>
      </c>
      <c r="F6887" s="535" t="s">
        <v>16</v>
      </c>
      <c r="G6887" s="898"/>
      <c r="H6887" s="535" t="s">
        <v>1864</v>
      </c>
      <c r="I6887" s="537" t="s">
        <v>1864</v>
      </c>
      <c r="J6887" s="538"/>
      <c r="K6887" s="535" t="str">
        <f t="shared" si="206"/>
        <v>08,26</v>
      </c>
      <c r="L6887" s="567" t="s">
        <v>266</v>
      </c>
      <c r="M6887" s="567">
        <v>18081.12</v>
      </c>
      <c r="N6887" s="571">
        <v>0.54166666666666663</v>
      </c>
      <c r="O6887" s="897" t="s">
        <v>1877</v>
      </c>
      <c r="P6887" s="867" t="s">
        <v>1921</v>
      </c>
    </row>
    <row r="6888" spans="1:18" ht="19.5" hidden="1" thickBot="1" x14ac:dyDescent="0.3">
      <c r="A6888" s="959"/>
      <c r="B6888" s="785" t="s">
        <v>1864</v>
      </c>
      <c r="C6888" s="786" t="s">
        <v>848</v>
      </c>
      <c r="D6888" s="787">
        <v>2.5</v>
      </c>
      <c r="E6888" s="787">
        <v>2.5150000000000001</v>
      </c>
      <c r="F6888" s="788" t="s">
        <v>16</v>
      </c>
      <c r="G6888" s="901" t="s">
        <v>76</v>
      </c>
      <c r="H6888" s="788" t="s">
        <v>1864</v>
      </c>
      <c r="I6888" s="788" t="s">
        <v>1864</v>
      </c>
      <c r="J6888" s="790"/>
      <c r="K6888" s="788" t="str">
        <f t="shared" si="206"/>
        <v>08,26</v>
      </c>
      <c r="L6888" s="801" t="s">
        <v>266</v>
      </c>
      <c r="M6888" s="801">
        <v>2505</v>
      </c>
      <c r="N6888" s="804">
        <v>0.54166666666666663</v>
      </c>
      <c r="O6888" s="897" t="s">
        <v>1910</v>
      </c>
      <c r="P6888" s="867" t="s">
        <v>1922</v>
      </c>
    </row>
    <row r="6889" spans="1:18" ht="19.5" hidden="1" thickBot="1" x14ac:dyDescent="0.3">
      <c r="A6889" s="954">
        <f>MAX(A6829:A6887)+1</f>
        <v>4294</v>
      </c>
      <c r="B6889" s="610" t="s">
        <v>1796</v>
      </c>
      <c r="C6889" s="480" t="s">
        <v>848</v>
      </c>
      <c r="D6889" s="481">
        <v>18.004999999999999</v>
      </c>
      <c r="E6889" s="482">
        <v>15.128</v>
      </c>
      <c r="F6889" s="483" t="s">
        <v>16</v>
      </c>
      <c r="G6889" s="899"/>
      <c r="H6889" s="483" t="s">
        <v>1864</v>
      </c>
      <c r="I6889" s="484" t="s">
        <v>1892</v>
      </c>
      <c r="J6889" s="485"/>
      <c r="K6889" s="483" t="str">
        <f t="shared" si="206"/>
        <v>08,26</v>
      </c>
      <c r="L6889" s="483" t="s">
        <v>266</v>
      </c>
      <c r="M6889" s="483">
        <v>18120.239999999994</v>
      </c>
      <c r="N6889" s="486">
        <v>0.58333333333333337</v>
      </c>
      <c r="O6889" s="897" t="s">
        <v>1878</v>
      </c>
      <c r="P6889" s="867" t="s">
        <v>1954</v>
      </c>
    </row>
    <row r="6890" spans="1:18" ht="19.5" hidden="1" thickBot="1" x14ac:dyDescent="0.3">
      <c r="A6890" s="956"/>
      <c r="B6890" s="805" t="s">
        <v>1864</v>
      </c>
      <c r="C6890" s="806" t="s">
        <v>848</v>
      </c>
      <c r="D6890" s="807">
        <v>2.5</v>
      </c>
      <c r="E6890" s="807">
        <v>2.5150000000000001</v>
      </c>
      <c r="F6890" s="808" t="s">
        <v>16</v>
      </c>
      <c r="G6890" s="902" t="s">
        <v>76</v>
      </c>
      <c r="H6890" s="808" t="s">
        <v>1864</v>
      </c>
      <c r="I6890" s="808" t="s">
        <v>1892</v>
      </c>
      <c r="J6890" s="810"/>
      <c r="K6890" s="808" t="str">
        <f t="shared" si="206"/>
        <v>08,26</v>
      </c>
      <c r="L6890" s="808" t="s">
        <v>266</v>
      </c>
      <c r="M6890" s="808">
        <v>2505</v>
      </c>
      <c r="N6890" s="778">
        <v>0.58333333333333337</v>
      </c>
      <c r="O6890" s="897" t="s">
        <v>1911</v>
      </c>
      <c r="P6890" s="867" t="s">
        <v>1955</v>
      </c>
    </row>
    <row r="6891" spans="1:18" ht="19.5" hidden="1" thickBot="1" x14ac:dyDescent="0.3">
      <c r="A6891" s="966">
        <f>MAX(A6830:A6889)+1</f>
        <v>4295</v>
      </c>
      <c r="B6891" s="759" t="s">
        <v>1796</v>
      </c>
      <c r="C6891" s="532" t="s">
        <v>26</v>
      </c>
      <c r="D6891" s="533">
        <v>17.119</v>
      </c>
      <c r="E6891" s="534">
        <v>16.010999999999999</v>
      </c>
      <c r="F6891" s="535" t="s">
        <v>16</v>
      </c>
      <c r="G6891" s="536"/>
      <c r="H6891" s="535" t="s">
        <v>1864</v>
      </c>
      <c r="I6891" s="537" t="s">
        <v>1864</v>
      </c>
      <c r="J6891" s="538"/>
      <c r="K6891" s="535" t="str">
        <f t="shared" si="206"/>
        <v>08,26</v>
      </c>
      <c r="L6891" s="535" t="s">
        <v>265</v>
      </c>
      <c r="M6891" s="535">
        <v>17131.080000000002</v>
      </c>
      <c r="N6891" s="539">
        <v>0.625</v>
      </c>
      <c r="O6891" s="897" t="s">
        <v>1889</v>
      </c>
      <c r="P6891" s="867" t="s">
        <v>1919</v>
      </c>
    </row>
    <row r="6892" spans="1:18" ht="19.5" hidden="1" thickBot="1" x14ac:dyDescent="0.3">
      <c r="A6892" s="968"/>
      <c r="B6892" s="785" t="s">
        <v>1835</v>
      </c>
      <c r="C6892" s="786" t="s">
        <v>26</v>
      </c>
      <c r="D6892" s="787">
        <v>0.85</v>
      </c>
      <c r="E6892" s="787">
        <v>0.85799999999999998</v>
      </c>
      <c r="F6892" s="788" t="s">
        <v>16</v>
      </c>
      <c r="G6892" s="901" t="s">
        <v>76</v>
      </c>
      <c r="H6892" s="788" t="s">
        <v>1864</v>
      </c>
      <c r="I6892" s="788" t="s">
        <v>1864</v>
      </c>
      <c r="J6892" s="790"/>
      <c r="K6892" s="788" t="str">
        <f t="shared" si="206"/>
        <v>08,26</v>
      </c>
      <c r="L6892" s="788" t="s">
        <v>265</v>
      </c>
      <c r="M6892" s="788">
        <v>855</v>
      </c>
      <c r="N6892" s="784">
        <v>0.625</v>
      </c>
      <c r="O6892" s="897" t="s">
        <v>1899</v>
      </c>
      <c r="P6892" s="867" t="s">
        <v>1920</v>
      </c>
    </row>
    <row r="6893" spans="1:18" ht="19.5" hidden="1" thickBot="1" x14ac:dyDescent="0.3">
      <c r="A6893" s="954">
        <f>MAX(A6831:A6892)+1</f>
        <v>4296</v>
      </c>
      <c r="B6893" s="610" t="s">
        <v>1835</v>
      </c>
      <c r="C6893" s="480" t="s">
        <v>26</v>
      </c>
      <c r="D6893" s="481">
        <v>17.503</v>
      </c>
      <c r="E6893" s="482">
        <v>13.677</v>
      </c>
      <c r="F6893" s="483" t="s">
        <v>16</v>
      </c>
      <c r="G6893" s="899"/>
      <c r="H6893" s="483" t="s">
        <v>1891</v>
      </c>
      <c r="I6893" s="484" t="s">
        <v>1891</v>
      </c>
      <c r="J6893" s="485"/>
      <c r="K6893" s="483" t="str">
        <f t="shared" si="206"/>
        <v>08,26</v>
      </c>
      <c r="L6893" s="483" t="s">
        <v>265</v>
      </c>
      <c r="M6893" s="483">
        <v>17616.700000000004</v>
      </c>
      <c r="N6893" s="486">
        <v>0.375</v>
      </c>
      <c r="O6893" s="897" t="s">
        <v>1893</v>
      </c>
      <c r="P6893" s="867" t="s">
        <v>1957</v>
      </c>
    </row>
    <row r="6894" spans="1:18" ht="19.5" hidden="1" thickBot="1" x14ac:dyDescent="0.3">
      <c r="A6894" s="955"/>
      <c r="B6894" s="792" t="s">
        <v>1891</v>
      </c>
      <c r="C6894" s="793" t="s">
        <v>26</v>
      </c>
      <c r="D6894" s="794">
        <v>0.45</v>
      </c>
      <c r="E6894" s="794">
        <v>0.499</v>
      </c>
      <c r="F6894" s="795" t="s">
        <v>16</v>
      </c>
      <c r="G6894" s="903"/>
      <c r="H6894" s="795" t="s">
        <v>1891</v>
      </c>
      <c r="I6894" s="795" t="s">
        <v>1891</v>
      </c>
      <c r="J6894" s="797"/>
      <c r="K6894" s="795" t="str">
        <f t="shared" si="206"/>
        <v>08,26</v>
      </c>
      <c r="L6894" s="795" t="s">
        <v>265</v>
      </c>
      <c r="M6894" s="795">
        <v>450</v>
      </c>
      <c r="N6894" s="502">
        <v>0.375</v>
      </c>
      <c r="O6894" s="897" t="s">
        <v>1925</v>
      </c>
      <c r="P6894" s="867" t="s">
        <v>1959</v>
      </c>
    </row>
    <row r="6895" spans="1:18" ht="19.5" hidden="1" thickBot="1" x14ac:dyDescent="0.3">
      <c r="A6895" s="956"/>
      <c r="B6895" s="841" t="s">
        <v>1864</v>
      </c>
      <c r="C6895" s="842" t="s">
        <v>26</v>
      </c>
      <c r="D6895" s="843">
        <v>3.1</v>
      </c>
      <c r="E6895" s="843">
        <v>3.093</v>
      </c>
      <c r="F6895" s="844" t="s">
        <v>16</v>
      </c>
      <c r="G6895" s="904" t="s">
        <v>76</v>
      </c>
      <c r="H6895" s="844" t="s">
        <v>1891</v>
      </c>
      <c r="I6895" s="844" t="s">
        <v>1891</v>
      </c>
      <c r="J6895" s="845"/>
      <c r="K6895" s="844" t="str">
        <f t="shared" si="206"/>
        <v>08,26</v>
      </c>
      <c r="L6895" s="844" t="s">
        <v>265</v>
      </c>
      <c r="M6895" s="844">
        <v>3105</v>
      </c>
      <c r="N6895" s="846">
        <v>0.375</v>
      </c>
      <c r="O6895" s="897" t="s">
        <v>1924</v>
      </c>
      <c r="P6895" s="867" t="s">
        <v>1958</v>
      </c>
    </row>
    <row r="6896" spans="1:18" ht="19.5" hidden="1" thickBot="1" x14ac:dyDescent="0.3">
      <c r="A6896" s="957">
        <f>MAX(A6832:A6893)+1</f>
        <v>4297</v>
      </c>
      <c r="B6896" s="759" t="s">
        <v>1835</v>
      </c>
      <c r="C6896" s="532" t="s">
        <v>26</v>
      </c>
      <c r="D6896" s="533">
        <v>17.475999999999999</v>
      </c>
      <c r="E6896" s="534">
        <f>13.91+0.239+0.135</f>
        <v>14.284000000000001</v>
      </c>
      <c r="F6896" s="535" t="s">
        <v>16</v>
      </c>
      <c r="G6896" s="536"/>
      <c r="H6896" s="535" t="s">
        <v>1892</v>
      </c>
      <c r="I6896" s="537" t="s">
        <v>1892</v>
      </c>
      <c r="J6896" s="538"/>
      <c r="K6896" s="535" t="str">
        <f t="shared" si="206"/>
        <v>08,26</v>
      </c>
      <c r="L6896" s="535" t="s">
        <v>265</v>
      </c>
      <c r="M6896" s="535">
        <v>17627.53</v>
      </c>
      <c r="N6896" s="539">
        <v>0.375</v>
      </c>
      <c r="O6896" s="897" t="s">
        <v>1894</v>
      </c>
      <c r="P6896" s="867" t="s">
        <v>1965</v>
      </c>
      <c r="Q6896" s="847" t="s">
        <v>1968</v>
      </c>
      <c r="R6896" s="833" t="s">
        <v>1969</v>
      </c>
    </row>
    <row r="6897" spans="1:17" ht="19.5" hidden="1" thickBot="1" x14ac:dyDescent="0.3">
      <c r="A6897" s="958"/>
      <c r="B6897" s="852" t="s">
        <v>1891</v>
      </c>
      <c r="C6897" s="837" t="s">
        <v>26</v>
      </c>
      <c r="D6897" s="838">
        <v>0.95</v>
      </c>
      <c r="E6897" s="838">
        <v>0.97399999999999998</v>
      </c>
      <c r="F6897" s="839" t="s">
        <v>16</v>
      </c>
      <c r="G6897" s="850" t="s">
        <v>76</v>
      </c>
      <c r="H6897" s="839" t="s">
        <v>1892</v>
      </c>
      <c r="I6897" s="839" t="s">
        <v>1892</v>
      </c>
      <c r="J6897" s="840"/>
      <c r="K6897" s="839" t="str">
        <f t="shared" si="206"/>
        <v>08,26</v>
      </c>
      <c r="L6897" s="839" t="s">
        <v>265</v>
      </c>
      <c r="M6897" s="839">
        <v>960</v>
      </c>
      <c r="N6897" s="598">
        <v>0.375</v>
      </c>
      <c r="O6897" s="897" t="s">
        <v>1946</v>
      </c>
      <c r="P6897" s="867" t="s">
        <v>1966</v>
      </c>
    </row>
    <row r="6898" spans="1:17" ht="19.5" hidden="1" thickBot="1" x14ac:dyDescent="0.3">
      <c r="A6898" s="959"/>
      <c r="B6898" s="798" t="s">
        <v>1891</v>
      </c>
      <c r="C6898" s="799" t="s">
        <v>26</v>
      </c>
      <c r="D6898" s="800">
        <v>2.2999999999999998</v>
      </c>
      <c r="E6898" s="800">
        <v>2.3109999999999999</v>
      </c>
      <c r="F6898" s="801" t="s">
        <v>16</v>
      </c>
      <c r="G6898" s="802" t="s">
        <v>76</v>
      </c>
      <c r="H6898" s="801" t="s">
        <v>1892</v>
      </c>
      <c r="I6898" s="801" t="s">
        <v>1892</v>
      </c>
      <c r="J6898" s="803"/>
      <c r="K6898" s="801" t="str">
        <f t="shared" si="206"/>
        <v>08,26</v>
      </c>
      <c r="L6898" s="801" t="s">
        <v>265</v>
      </c>
      <c r="M6898" s="801">
        <v>2310</v>
      </c>
      <c r="N6898" s="804">
        <v>0.375</v>
      </c>
      <c r="O6898" s="897" t="s">
        <v>1943</v>
      </c>
      <c r="P6898" s="867" t="s">
        <v>1967</v>
      </c>
    </row>
    <row r="6899" spans="1:17" ht="19.5" hidden="1" thickBot="1" x14ac:dyDescent="0.3">
      <c r="A6899" s="960">
        <f>MAX(A6833:A6898)+1</f>
        <v>4298</v>
      </c>
      <c r="B6899" s="610" t="s">
        <v>1835</v>
      </c>
      <c r="C6899" s="480" t="s">
        <v>26</v>
      </c>
      <c r="D6899" s="481">
        <v>17.457999999999998</v>
      </c>
      <c r="E6899" s="482">
        <f>14.103+0.103</f>
        <v>14.206</v>
      </c>
      <c r="F6899" s="483" t="s">
        <v>16</v>
      </c>
      <c r="G6899" s="549"/>
      <c r="H6899" s="483" t="s">
        <v>1892</v>
      </c>
      <c r="I6899" s="484" t="s">
        <v>1892</v>
      </c>
      <c r="J6899" s="485"/>
      <c r="K6899" s="483" t="str">
        <f t="shared" si="206"/>
        <v>08,26</v>
      </c>
      <c r="L6899" s="483" t="s">
        <v>265</v>
      </c>
      <c r="M6899" s="483">
        <v>17619.18</v>
      </c>
      <c r="N6899" s="486">
        <v>0.41666666666666669</v>
      </c>
      <c r="O6899" s="897" t="s">
        <v>1895</v>
      </c>
      <c r="P6899" s="867" t="s">
        <v>1970</v>
      </c>
      <c r="Q6899" s="847" t="s">
        <v>1973</v>
      </c>
    </row>
    <row r="6900" spans="1:17" ht="19.5" hidden="1" thickBot="1" x14ac:dyDescent="0.3">
      <c r="A6900" s="961"/>
      <c r="B6900" s="792" t="s">
        <v>1891</v>
      </c>
      <c r="C6900" s="793" t="s">
        <v>26</v>
      </c>
      <c r="D6900" s="794">
        <v>1.1000000000000001</v>
      </c>
      <c r="E6900" s="794">
        <v>1.113</v>
      </c>
      <c r="F6900" s="795" t="s">
        <v>16</v>
      </c>
      <c r="G6900" s="796" t="s">
        <v>76</v>
      </c>
      <c r="H6900" s="795" t="s">
        <v>1892</v>
      </c>
      <c r="I6900" s="795" t="s">
        <v>1892</v>
      </c>
      <c r="J6900" s="797"/>
      <c r="K6900" s="795" t="str">
        <f t="shared" si="206"/>
        <v>08,26</v>
      </c>
      <c r="L6900" s="795" t="s">
        <v>265</v>
      </c>
      <c r="M6900" s="795">
        <v>1110</v>
      </c>
      <c r="N6900" s="502">
        <v>0.41666666666666669</v>
      </c>
      <c r="O6900" s="897" t="s">
        <v>1947</v>
      </c>
      <c r="P6900" s="867" t="s">
        <v>1971</v>
      </c>
    </row>
    <row r="6901" spans="1:17" ht="19.5" hidden="1" thickBot="1" x14ac:dyDescent="0.3">
      <c r="A6901" s="962"/>
      <c r="B6901" s="805" t="s">
        <v>1891</v>
      </c>
      <c r="C6901" s="806" t="s">
        <v>26</v>
      </c>
      <c r="D6901" s="807">
        <v>2.2000000000000002</v>
      </c>
      <c r="E6901" s="807">
        <v>2.2309999999999999</v>
      </c>
      <c r="F6901" s="808" t="s">
        <v>16</v>
      </c>
      <c r="G6901" s="809" t="s">
        <v>76</v>
      </c>
      <c r="H6901" s="808" t="s">
        <v>1892</v>
      </c>
      <c r="I6901" s="808" t="s">
        <v>1892</v>
      </c>
      <c r="J6901" s="810"/>
      <c r="K6901" s="808" t="str">
        <f t="shared" si="206"/>
        <v>08,26</v>
      </c>
      <c r="L6901" s="808" t="s">
        <v>265</v>
      </c>
      <c r="M6901" s="808">
        <v>2220</v>
      </c>
      <c r="N6901" s="778">
        <v>0.41666666666666669</v>
      </c>
      <c r="O6901" s="897" t="s">
        <v>1944</v>
      </c>
      <c r="P6901" s="867" t="s">
        <v>1972</v>
      </c>
    </row>
    <row r="6902" spans="1:17" ht="57" hidden="1" thickBot="1" x14ac:dyDescent="0.3">
      <c r="A6902" s="966">
        <f>MAX(A6834:A6901)+1</f>
        <v>4299</v>
      </c>
      <c r="B6902" s="563" t="s">
        <v>1835</v>
      </c>
      <c r="C6902" s="564" t="s">
        <v>587</v>
      </c>
      <c r="D6902" s="565">
        <v>0.51700000000000002</v>
      </c>
      <c r="E6902" s="566">
        <v>0.373</v>
      </c>
      <c r="F6902" s="567" t="s">
        <v>16</v>
      </c>
      <c r="G6902" s="568" t="s">
        <v>794</v>
      </c>
      <c r="H6902" s="567" t="s">
        <v>1892</v>
      </c>
      <c r="I6902" s="569" t="s">
        <v>1903</v>
      </c>
      <c r="J6902" s="570"/>
      <c r="K6902" s="567" t="str">
        <f t="shared" si="206"/>
        <v>08,26</v>
      </c>
      <c r="L6902" s="567" t="s">
        <v>28</v>
      </c>
      <c r="M6902" s="567">
        <v>517.43999999999994</v>
      </c>
      <c r="N6902" s="571">
        <v>0.45833333333333331</v>
      </c>
      <c r="O6902" s="897" t="s">
        <v>1897</v>
      </c>
      <c r="P6902" s="867" t="s">
        <v>1974</v>
      </c>
    </row>
    <row r="6903" spans="1:17" ht="19.5" hidden="1" thickBot="1" x14ac:dyDescent="0.3">
      <c r="A6903" s="967"/>
      <c r="B6903" s="563" t="s">
        <v>1835</v>
      </c>
      <c r="C6903" s="564" t="s">
        <v>587</v>
      </c>
      <c r="D6903" s="565">
        <v>10.718</v>
      </c>
      <c r="E6903" s="566">
        <v>9.2070000000000007</v>
      </c>
      <c r="F6903" s="567" t="s">
        <v>16</v>
      </c>
      <c r="G6903" s="568" t="s">
        <v>47</v>
      </c>
      <c r="H6903" s="567" t="s">
        <v>1892</v>
      </c>
      <c r="I6903" s="569" t="s">
        <v>1903</v>
      </c>
      <c r="J6903" s="570"/>
      <c r="K6903" s="567" t="str">
        <f t="shared" si="206"/>
        <v>08,26</v>
      </c>
      <c r="L6903" s="567" t="s">
        <v>28</v>
      </c>
      <c r="M6903" s="567">
        <v>10718.320000000002</v>
      </c>
      <c r="N6903" s="571">
        <v>0.45833333333333331</v>
      </c>
      <c r="O6903" s="897" t="s">
        <v>1898</v>
      </c>
      <c r="P6903" s="867" t="s">
        <v>1975</v>
      </c>
    </row>
    <row r="6904" spans="1:17" ht="19.5" hidden="1" thickBot="1" x14ac:dyDescent="0.3">
      <c r="A6904" s="967"/>
      <c r="B6904" s="563" t="s">
        <v>1835</v>
      </c>
      <c r="C6904" s="564" t="s">
        <v>47</v>
      </c>
      <c r="D6904" s="565">
        <v>6.5919999999999996</v>
      </c>
      <c r="E6904" s="566">
        <v>5.101</v>
      </c>
      <c r="F6904" s="567" t="s">
        <v>16</v>
      </c>
      <c r="G6904" s="568"/>
      <c r="H6904" s="567" t="s">
        <v>1892</v>
      </c>
      <c r="I6904" s="569" t="s">
        <v>1903</v>
      </c>
      <c r="J6904" s="570"/>
      <c r="K6904" s="567" t="str">
        <f t="shared" si="206"/>
        <v>08,26</v>
      </c>
      <c r="L6904" s="567" t="s">
        <v>28</v>
      </c>
      <c r="M6904" s="567">
        <v>6721.67</v>
      </c>
      <c r="N6904" s="571">
        <v>0.45833333333333331</v>
      </c>
      <c r="O6904" s="897" t="s">
        <v>1896</v>
      </c>
      <c r="P6904" s="867" t="s">
        <v>1976</v>
      </c>
    </row>
    <row r="6905" spans="1:17" ht="19.5" hidden="1" thickBot="1" x14ac:dyDescent="0.3">
      <c r="A6905" s="967"/>
      <c r="B6905" s="836" t="s">
        <v>1891</v>
      </c>
      <c r="C6905" s="837" t="s">
        <v>47</v>
      </c>
      <c r="D6905" s="838">
        <v>3</v>
      </c>
      <c r="E6905" s="838">
        <v>3.0089999999999999</v>
      </c>
      <c r="F6905" s="839" t="s">
        <v>16</v>
      </c>
      <c r="G6905" s="850" t="s">
        <v>76</v>
      </c>
      <c r="H6905" s="839" t="s">
        <v>1892</v>
      </c>
      <c r="I6905" s="839" t="s">
        <v>1903</v>
      </c>
      <c r="J6905" s="840"/>
      <c r="K6905" s="839" t="str">
        <f t="shared" si="206"/>
        <v>08,26</v>
      </c>
      <c r="L6905" s="839" t="s">
        <v>28</v>
      </c>
      <c r="M6905" s="839">
        <v>3005.04</v>
      </c>
      <c r="N6905" s="598">
        <v>0.45833333333333331</v>
      </c>
      <c r="O6905" s="897" t="s">
        <v>1942</v>
      </c>
      <c r="P6905" s="867" t="s">
        <v>1977</v>
      </c>
    </row>
    <row r="6906" spans="1:17" ht="19.5" hidden="1" thickBot="1" x14ac:dyDescent="0.3">
      <c r="A6906" s="513">
        <f>MAX(A6837:A6905)+1</f>
        <v>4300</v>
      </c>
      <c r="B6906" s="514" t="s">
        <v>1864</v>
      </c>
      <c r="C6906" s="515" t="s">
        <v>26</v>
      </c>
      <c r="D6906" s="516">
        <v>13.756</v>
      </c>
      <c r="E6906" s="517">
        <v>13.753</v>
      </c>
      <c r="F6906" s="518" t="s">
        <v>30</v>
      </c>
      <c r="G6906" s="519"/>
      <c r="H6906" s="518" t="s">
        <v>1892</v>
      </c>
      <c r="I6906" s="520" t="s">
        <v>1903</v>
      </c>
      <c r="J6906" s="521"/>
      <c r="K6906" s="518" t="str">
        <f t="shared" si="206"/>
        <v>08,26</v>
      </c>
      <c r="L6906" s="518" t="s">
        <v>265</v>
      </c>
      <c r="M6906" s="518">
        <v>13753.279999999999</v>
      </c>
      <c r="N6906" s="522">
        <v>0.375</v>
      </c>
      <c r="O6906" s="897" t="s">
        <v>1902</v>
      </c>
      <c r="P6906" s="867" t="s">
        <v>1956</v>
      </c>
    </row>
    <row r="6907" spans="1:17" ht="19.5" hidden="1" thickBot="1" x14ac:dyDescent="0.3">
      <c r="A6907" s="503">
        <f>MAX(A6838:A6906)+1</f>
        <v>4301</v>
      </c>
      <c r="B6907" s="504" t="s">
        <v>1864</v>
      </c>
      <c r="C6907" s="505" t="s">
        <v>913</v>
      </c>
      <c r="D6907" s="506">
        <v>11.68</v>
      </c>
      <c r="E6907" s="507">
        <v>10.739000000000001</v>
      </c>
      <c r="F6907" s="508" t="s">
        <v>30</v>
      </c>
      <c r="G6907" s="509"/>
      <c r="H6907" s="508" t="s">
        <v>1892</v>
      </c>
      <c r="I6907" s="510" t="s">
        <v>2049</v>
      </c>
      <c r="J6907" s="511"/>
      <c r="K6907" s="518" t="str">
        <f t="shared" si="206"/>
        <v>08,26</v>
      </c>
      <c r="L6907" s="508" t="s">
        <v>266</v>
      </c>
      <c r="M6907" s="508">
        <v>11680.56</v>
      </c>
      <c r="N6907" s="512">
        <v>0.41666666666666669</v>
      </c>
      <c r="O6907" s="897" t="s">
        <v>1901</v>
      </c>
      <c r="P6907" s="867" t="s">
        <v>2104</v>
      </c>
    </row>
    <row r="6908" spans="1:17" ht="19.5" hidden="1" thickBot="1" x14ac:dyDescent="0.3">
      <c r="A6908" s="954">
        <f>MAX(A6839:A6907)+1</f>
        <v>4302</v>
      </c>
      <c r="B6908" s="479" t="s">
        <v>1864</v>
      </c>
      <c r="C6908" s="480" t="s">
        <v>32</v>
      </c>
      <c r="D6908" s="481">
        <v>5.0579999999999998</v>
      </c>
      <c r="E6908" s="482">
        <v>5.0039999999999996</v>
      </c>
      <c r="F6908" s="483" t="s">
        <v>16</v>
      </c>
      <c r="G6908" s="549" t="s">
        <v>1702</v>
      </c>
      <c r="H6908" s="483" t="s">
        <v>1892</v>
      </c>
      <c r="I6908" s="484" t="s">
        <v>1903</v>
      </c>
      <c r="J6908" s="485"/>
      <c r="K6908" s="483" t="str">
        <f t="shared" si="206"/>
        <v>08,26</v>
      </c>
      <c r="L6908" s="483" t="s">
        <v>266</v>
      </c>
      <c r="M6908" s="483">
        <v>5061.3999999999996</v>
      </c>
      <c r="N6908" s="486">
        <v>0.5</v>
      </c>
      <c r="O6908" s="897" t="s">
        <v>1907</v>
      </c>
      <c r="P6908" s="867" t="s">
        <v>1978</v>
      </c>
      <c r="Q6908" s="900"/>
    </row>
    <row r="6909" spans="1:17" ht="19.5" hidden="1" thickBot="1" x14ac:dyDescent="0.3">
      <c r="A6909" s="955"/>
      <c r="B6909" s="523" t="s">
        <v>1864</v>
      </c>
      <c r="C6909" s="524" t="s">
        <v>41</v>
      </c>
      <c r="D6909" s="525">
        <v>6.1</v>
      </c>
      <c r="E6909" s="526">
        <v>6.0369999999999999</v>
      </c>
      <c r="F6909" s="527" t="s">
        <v>16</v>
      </c>
      <c r="G6909" s="561" t="s">
        <v>844</v>
      </c>
      <c r="H6909" s="527" t="s">
        <v>1892</v>
      </c>
      <c r="I6909" s="528" t="s">
        <v>1903</v>
      </c>
      <c r="J6909" s="529"/>
      <c r="K6909" s="527" t="str">
        <f t="shared" si="206"/>
        <v>08,26</v>
      </c>
      <c r="L6909" s="527" t="s">
        <v>266</v>
      </c>
      <c r="M6909" s="527">
        <v>6174.7400000000007</v>
      </c>
      <c r="N6909" s="530">
        <v>0.5</v>
      </c>
      <c r="O6909" s="897" t="s">
        <v>1904</v>
      </c>
      <c r="P6909" s="867" t="s">
        <v>1979</v>
      </c>
      <c r="Q6909" s="900"/>
    </row>
    <row r="6910" spans="1:17" ht="19.5" hidden="1" thickBot="1" x14ac:dyDescent="0.3">
      <c r="A6910" s="955"/>
      <c r="B6910" s="911" t="s">
        <v>1864</v>
      </c>
      <c r="C6910" s="912" t="s">
        <v>41</v>
      </c>
      <c r="D6910" s="913">
        <v>5</v>
      </c>
      <c r="E6910" s="914" t="s">
        <v>1496</v>
      </c>
      <c r="F6910" s="915" t="s">
        <v>16</v>
      </c>
      <c r="G6910" s="916" t="s">
        <v>845</v>
      </c>
      <c r="H6910" s="915" t="s">
        <v>1892</v>
      </c>
      <c r="I6910" s="917" t="s">
        <v>1496</v>
      </c>
      <c r="J6910" s="918"/>
      <c r="K6910" s="915" t="str">
        <f t="shared" si="206"/>
        <v>тмена</v>
      </c>
      <c r="L6910" s="915" t="s">
        <v>266</v>
      </c>
      <c r="M6910" s="915">
        <v>5007.5999999999995</v>
      </c>
      <c r="N6910" s="919">
        <v>0.5</v>
      </c>
      <c r="O6910" s="920" t="s">
        <v>1906</v>
      </c>
      <c r="P6910" s="921" t="s">
        <v>1024</v>
      </c>
      <c r="Q6910" s="900"/>
    </row>
    <row r="6911" spans="1:17" ht="19.5" hidden="1" thickBot="1" x14ac:dyDescent="0.3">
      <c r="A6911" s="956"/>
      <c r="B6911" s="645" t="s">
        <v>1864</v>
      </c>
      <c r="C6911" s="646" t="s">
        <v>981</v>
      </c>
      <c r="D6911" s="647">
        <v>7.0598000000000001</v>
      </c>
      <c r="E6911" s="648">
        <v>5.8010000000000002</v>
      </c>
      <c r="F6911" s="649" t="s">
        <v>16</v>
      </c>
      <c r="G6911" s="650"/>
      <c r="H6911" s="649" t="s">
        <v>1892</v>
      </c>
      <c r="I6911" s="651" t="s">
        <v>1903</v>
      </c>
      <c r="J6911" s="652"/>
      <c r="K6911" s="649" t="str">
        <f t="shared" si="206"/>
        <v>08,26</v>
      </c>
      <c r="L6911" s="649" t="s">
        <v>266</v>
      </c>
      <c r="M6911" s="649">
        <v>7059.08</v>
      </c>
      <c r="N6911" s="653">
        <v>0.5</v>
      </c>
      <c r="O6911" s="897" t="s">
        <v>1905</v>
      </c>
      <c r="P6911" s="867" t="s">
        <v>1980</v>
      </c>
      <c r="Q6911" s="900"/>
    </row>
    <row r="6912" spans="1:17" ht="38.25" hidden="1" thickBot="1" x14ac:dyDescent="0.3">
      <c r="A6912" s="978">
        <f>MAX(A6843:A6911)+1</f>
        <v>4303</v>
      </c>
      <c r="B6912" s="750" t="s">
        <v>1864</v>
      </c>
      <c r="C6912" s="751" t="s">
        <v>23</v>
      </c>
      <c r="D6912" s="752">
        <v>5</v>
      </c>
      <c r="E6912" s="753" t="s">
        <v>1496</v>
      </c>
      <c r="F6912" s="754" t="s">
        <v>16</v>
      </c>
      <c r="G6912" s="931" t="s">
        <v>1900</v>
      </c>
      <c r="H6912" s="754" t="s">
        <v>1892</v>
      </c>
      <c r="I6912" s="932" t="s">
        <v>1496</v>
      </c>
      <c r="J6912" s="755"/>
      <c r="K6912" s="754" t="str">
        <f t="shared" si="206"/>
        <v>тмена</v>
      </c>
      <c r="L6912" s="754" t="s">
        <v>28</v>
      </c>
      <c r="M6912" s="754">
        <v>5007.5999999999995</v>
      </c>
      <c r="N6912" s="756">
        <v>0.58333333333333337</v>
      </c>
      <c r="O6912" s="920" t="s">
        <v>1908</v>
      </c>
      <c r="P6912" s="921" t="s">
        <v>1024</v>
      </c>
    </row>
    <row r="6913" spans="1:16" ht="38.25" hidden="1" thickBot="1" x14ac:dyDescent="0.3">
      <c r="A6913" s="979"/>
      <c r="B6913" s="933" t="s">
        <v>1864</v>
      </c>
      <c r="C6913" s="934" t="s">
        <v>23</v>
      </c>
      <c r="D6913" s="935">
        <v>5</v>
      </c>
      <c r="E6913" s="936" t="s">
        <v>1496</v>
      </c>
      <c r="F6913" s="937" t="s">
        <v>16</v>
      </c>
      <c r="G6913" s="938" t="s">
        <v>1900</v>
      </c>
      <c r="H6913" s="937" t="s">
        <v>1892</v>
      </c>
      <c r="I6913" s="939" t="s">
        <v>1496</v>
      </c>
      <c r="J6913" s="940"/>
      <c r="K6913" s="937" t="str">
        <f t="shared" si="206"/>
        <v>тмена</v>
      </c>
      <c r="L6913" s="937" t="s">
        <v>28</v>
      </c>
      <c r="M6913" s="937">
        <v>5007.5999999999995</v>
      </c>
      <c r="N6913" s="941">
        <v>0.58333333333333337</v>
      </c>
      <c r="O6913" s="920" t="s">
        <v>1909</v>
      </c>
      <c r="P6913" s="921" t="s">
        <v>1024</v>
      </c>
    </row>
    <row r="6914" spans="1:16" ht="19.5" hidden="1" thickBot="1" x14ac:dyDescent="0.3">
      <c r="A6914" s="662">
        <f>MAX(A6845:A6913)+1</f>
        <v>4304</v>
      </c>
      <c r="B6914" s="663" t="s">
        <v>1864</v>
      </c>
      <c r="C6914" s="664" t="s">
        <v>32</v>
      </c>
      <c r="D6914" s="665">
        <v>17.8</v>
      </c>
      <c r="E6914" s="666" t="s">
        <v>1496</v>
      </c>
      <c r="F6914" s="667" t="s">
        <v>16</v>
      </c>
      <c r="G6914" s="668"/>
      <c r="H6914" s="667" t="s">
        <v>1892</v>
      </c>
      <c r="I6914" s="669" t="s">
        <v>1496</v>
      </c>
      <c r="J6914" s="670"/>
      <c r="K6914" s="667" t="str">
        <f t="shared" si="206"/>
        <v>тмена</v>
      </c>
      <c r="L6914" s="667" t="s">
        <v>266</v>
      </c>
      <c r="M6914" s="667">
        <v>17807.399999999998</v>
      </c>
      <c r="N6914" s="671">
        <v>0.54166666666666663</v>
      </c>
      <c r="O6914" s="920" t="s">
        <v>1912</v>
      </c>
      <c r="P6914" s="921" t="s">
        <v>1024</v>
      </c>
    </row>
    <row r="6915" spans="1:16" ht="19.5" hidden="1" thickBot="1" x14ac:dyDescent="0.3">
      <c r="A6915" s="966">
        <f>MAX(A6846:A6914)+1</f>
        <v>4305</v>
      </c>
      <c r="B6915" s="531" t="s">
        <v>1864</v>
      </c>
      <c r="C6915" s="532" t="s">
        <v>26</v>
      </c>
      <c r="D6915" s="533">
        <v>14.837</v>
      </c>
      <c r="E6915" s="534">
        <v>11.698</v>
      </c>
      <c r="F6915" s="535" t="s">
        <v>16</v>
      </c>
      <c r="G6915" s="536"/>
      <c r="H6915" s="535" t="s">
        <v>1903</v>
      </c>
      <c r="I6915" s="537" t="s">
        <v>1903</v>
      </c>
      <c r="J6915" s="538"/>
      <c r="K6915" s="535" t="str">
        <f t="shared" si="206"/>
        <v>08,26</v>
      </c>
      <c r="L6915" s="535" t="s">
        <v>265</v>
      </c>
      <c r="M6915" s="535">
        <v>14972.180000000002</v>
      </c>
      <c r="N6915" s="539">
        <v>0.375</v>
      </c>
      <c r="O6915" s="897" t="s">
        <v>1913</v>
      </c>
      <c r="P6915" s="867" t="s">
        <v>1960</v>
      </c>
    </row>
    <row r="6916" spans="1:16" ht="19.5" hidden="1" thickBot="1" x14ac:dyDescent="0.3">
      <c r="A6916" s="967"/>
      <c r="B6916" s="905" t="s">
        <v>1903</v>
      </c>
      <c r="C6916" s="906" t="s">
        <v>26</v>
      </c>
      <c r="D6916" s="907">
        <v>0.7</v>
      </c>
      <c r="E6916" s="907">
        <v>0.71899999999999997</v>
      </c>
      <c r="F6916" s="908" t="s">
        <v>16</v>
      </c>
      <c r="G6916" s="909" t="s">
        <v>76</v>
      </c>
      <c r="H6916" s="908" t="s">
        <v>1903</v>
      </c>
      <c r="I6916" s="908" t="s">
        <v>1903</v>
      </c>
      <c r="J6916" s="910"/>
      <c r="K6916" s="908" t="str">
        <f t="shared" si="206"/>
        <v>08,26</v>
      </c>
      <c r="L6916" s="908" t="s">
        <v>265</v>
      </c>
      <c r="M6916" s="908">
        <v>720</v>
      </c>
      <c r="N6916" s="571">
        <v>0.375</v>
      </c>
      <c r="O6916" s="897" t="s">
        <v>1949</v>
      </c>
      <c r="P6916" s="867" t="s">
        <v>1961</v>
      </c>
    </row>
    <row r="6917" spans="1:16" ht="19.5" hidden="1" thickBot="1" x14ac:dyDescent="0.3">
      <c r="A6917" s="967"/>
      <c r="B6917" s="905" t="s">
        <v>1903</v>
      </c>
      <c r="C6917" s="906" t="s">
        <v>26</v>
      </c>
      <c r="D6917" s="907">
        <v>3.1</v>
      </c>
      <c r="E6917" s="907">
        <v>2.7789999999999999</v>
      </c>
      <c r="F6917" s="908" t="s">
        <v>16</v>
      </c>
      <c r="G6917" s="909" t="s">
        <v>76</v>
      </c>
      <c r="H6917" s="908" t="s">
        <v>1903</v>
      </c>
      <c r="I6917" s="908" t="s">
        <v>1903</v>
      </c>
      <c r="J6917" s="910"/>
      <c r="K6917" s="908" t="str">
        <f t="shared" si="206"/>
        <v>08,26</v>
      </c>
      <c r="L6917" s="908" t="s">
        <v>265</v>
      </c>
      <c r="M6917" s="908">
        <v>3120</v>
      </c>
      <c r="N6917" s="571">
        <v>0.375</v>
      </c>
      <c r="O6917" s="897" t="s">
        <v>1950</v>
      </c>
      <c r="P6917" s="867" t="s">
        <v>1962</v>
      </c>
    </row>
    <row r="6918" spans="1:16" ht="19.5" hidden="1" thickBot="1" x14ac:dyDescent="0.3">
      <c r="A6918" s="967"/>
      <c r="B6918" s="563" t="s">
        <v>1864</v>
      </c>
      <c r="C6918" s="564" t="s">
        <v>952</v>
      </c>
      <c r="D6918" s="565">
        <v>2.3929999999999998</v>
      </c>
      <c r="E6918" s="566">
        <v>2.3180000000000001</v>
      </c>
      <c r="F6918" s="567" t="s">
        <v>16</v>
      </c>
      <c r="G6918" s="568" t="s">
        <v>844</v>
      </c>
      <c r="H6918" s="567" t="s">
        <v>1903</v>
      </c>
      <c r="I6918" s="569" t="s">
        <v>1903</v>
      </c>
      <c r="J6918" s="570"/>
      <c r="K6918" s="567" t="str">
        <f t="shared" si="206"/>
        <v>08,26</v>
      </c>
      <c r="L6918" s="567" t="s">
        <v>265</v>
      </c>
      <c r="M6918" s="567">
        <v>2490.54</v>
      </c>
      <c r="N6918" s="571">
        <v>0.375</v>
      </c>
      <c r="O6918" s="897" t="s">
        <v>1916</v>
      </c>
      <c r="P6918" s="867" t="s">
        <v>1963</v>
      </c>
    </row>
    <row r="6919" spans="1:16" ht="19.5" hidden="1" thickBot="1" x14ac:dyDescent="0.3">
      <c r="A6919" s="968"/>
      <c r="B6919" s="636" t="s">
        <v>1864</v>
      </c>
      <c r="C6919" s="637" t="s">
        <v>952</v>
      </c>
      <c r="D6919" s="656">
        <v>4.8000000000000001E-2</v>
      </c>
      <c r="E6919" s="639">
        <v>5.8000000000000003E-2</v>
      </c>
      <c r="F6919" s="640" t="s">
        <v>16</v>
      </c>
      <c r="G6919" s="641" t="s">
        <v>845</v>
      </c>
      <c r="H6919" s="640" t="s">
        <v>1903</v>
      </c>
      <c r="I6919" s="642" t="s">
        <v>1903</v>
      </c>
      <c r="J6919" s="643"/>
      <c r="K6919" s="640" t="str">
        <f t="shared" si="206"/>
        <v>08,26</v>
      </c>
      <c r="L6919" s="640" t="s">
        <v>265</v>
      </c>
      <c r="M6919" s="640">
        <v>57.12</v>
      </c>
      <c r="N6919" s="644">
        <v>0.375</v>
      </c>
      <c r="O6919" s="897" t="s">
        <v>1914</v>
      </c>
      <c r="P6919" s="867" t="s">
        <v>1964</v>
      </c>
    </row>
    <row r="6920" spans="1:16" ht="19.5" hidden="1" thickBot="1" x14ac:dyDescent="0.3">
      <c r="A6920" s="954">
        <f>MAX(A6849:A6919)+1</f>
        <v>4306</v>
      </c>
      <c r="B6920" s="610" t="s">
        <v>1864</v>
      </c>
      <c r="C6920" s="480" t="s">
        <v>23</v>
      </c>
      <c r="D6920" s="481">
        <v>17.588999999999999</v>
      </c>
      <c r="E6920" s="482">
        <v>15.727</v>
      </c>
      <c r="F6920" s="483" t="s">
        <v>16</v>
      </c>
      <c r="G6920" s="899"/>
      <c r="H6920" s="483" t="s">
        <v>1903</v>
      </c>
      <c r="I6920" s="484" t="s">
        <v>1903</v>
      </c>
      <c r="J6920" s="485"/>
      <c r="K6920" s="483" t="str">
        <f t="shared" si="206"/>
        <v>08,26</v>
      </c>
      <c r="L6920" s="483" t="s">
        <v>28</v>
      </c>
      <c r="M6920" s="483">
        <v>17697.579999999998</v>
      </c>
      <c r="N6920" s="486">
        <v>0.41666666666666669</v>
      </c>
      <c r="O6920" s="897" t="s">
        <v>1915</v>
      </c>
      <c r="P6920" s="867" t="s">
        <v>1981</v>
      </c>
    </row>
    <row r="6921" spans="1:16" ht="19.5" hidden="1" thickBot="1" x14ac:dyDescent="0.3">
      <c r="A6921" s="955"/>
      <c r="B6921" s="792" t="s">
        <v>1903</v>
      </c>
      <c r="C6921" s="793" t="s">
        <v>23</v>
      </c>
      <c r="D6921" s="794">
        <v>2</v>
      </c>
      <c r="E6921" s="794">
        <v>0.80700000000000005</v>
      </c>
      <c r="F6921" s="795" t="s">
        <v>16</v>
      </c>
      <c r="G6921" s="903" t="s">
        <v>76</v>
      </c>
      <c r="H6921" s="795" t="s">
        <v>1903</v>
      </c>
      <c r="I6921" s="795" t="s">
        <v>1903</v>
      </c>
      <c r="J6921" s="797"/>
      <c r="K6921" s="795" t="str">
        <f t="shared" si="206"/>
        <v>08,26</v>
      </c>
      <c r="L6921" s="795" t="s">
        <v>28</v>
      </c>
      <c r="M6921" s="795">
        <v>2011.7999999999997</v>
      </c>
      <c r="N6921" s="502">
        <v>0.41666666666666669</v>
      </c>
      <c r="O6921" s="897" t="s">
        <v>1953</v>
      </c>
      <c r="P6921" s="867" t="s">
        <v>1982</v>
      </c>
    </row>
    <row r="6922" spans="1:16" ht="19.5" hidden="1" thickBot="1" x14ac:dyDescent="0.3">
      <c r="A6922" s="956"/>
      <c r="B6922" s="805" t="s">
        <v>1892</v>
      </c>
      <c r="C6922" s="806" t="s">
        <v>23</v>
      </c>
      <c r="D6922" s="807">
        <v>1</v>
      </c>
      <c r="E6922" s="807">
        <v>1.0129999999999999</v>
      </c>
      <c r="F6922" s="808" t="s">
        <v>16</v>
      </c>
      <c r="G6922" s="902" t="s">
        <v>76</v>
      </c>
      <c r="H6922" s="808" t="s">
        <v>1903</v>
      </c>
      <c r="I6922" s="808" t="s">
        <v>1903</v>
      </c>
      <c r="J6922" s="810"/>
      <c r="K6922" s="808" t="str">
        <f t="shared" si="206"/>
        <v>08,26</v>
      </c>
      <c r="L6922" s="808" t="s">
        <v>28</v>
      </c>
      <c r="M6922" s="808">
        <v>1009.2</v>
      </c>
      <c r="N6922" s="778">
        <v>0.41666666666666669</v>
      </c>
      <c r="O6922" s="897" t="s">
        <v>1948</v>
      </c>
      <c r="P6922" s="867" t="s">
        <v>1983</v>
      </c>
    </row>
    <row r="6923" spans="1:16" ht="19.5" hidden="1" thickBot="1" x14ac:dyDescent="0.3">
      <c r="A6923" s="503">
        <f>MAX(A6850:A6920)+1</f>
        <v>4307</v>
      </c>
      <c r="B6923" s="504" t="s">
        <v>1891</v>
      </c>
      <c r="C6923" s="505" t="s">
        <v>26</v>
      </c>
      <c r="D6923" s="506">
        <v>14.951000000000001</v>
      </c>
      <c r="E6923" s="507">
        <v>14.951000000000001</v>
      </c>
      <c r="F6923" s="508" t="s">
        <v>30</v>
      </c>
      <c r="G6923" s="509"/>
      <c r="H6923" s="508" t="s">
        <v>1926</v>
      </c>
      <c r="I6923" s="510" t="s">
        <v>1928</v>
      </c>
      <c r="J6923" s="511"/>
      <c r="K6923" s="508" t="str">
        <f t="shared" si="206"/>
        <v>08,26</v>
      </c>
      <c r="L6923" s="508" t="s">
        <v>265</v>
      </c>
      <c r="M6923" s="508">
        <v>14951.8</v>
      </c>
      <c r="N6923" s="512">
        <v>0.375</v>
      </c>
      <c r="O6923" s="897" t="s">
        <v>1927</v>
      </c>
      <c r="P6923" s="867" t="s">
        <v>2014</v>
      </c>
    </row>
    <row r="6924" spans="1:16" ht="19.5" hidden="1" thickBot="1" x14ac:dyDescent="0.3">
      <c r="A6924" s="954">
        <f>MAX(A6851:A6923)+1</f>
        <v>4308</v>
      </c>
      <c r="B6924" s="610" t="s">
        <v>1891</v>
      </c>
      <c r="C6924" s="480" t="s">
        <v>26</v>
      </c>
      <c r="D6924" s="481">
        <v>17.448</v>
      </c>
      <c r="E6924" s="482">
        <v>13.516999999999999</v>
      </c>
      <c r="F6924" s="483" t="s">
        <v>16</v>
      </c>
      <c r="G6924" s="899"/>
      <c r="H6924" s="483" t="s">
        <v>1926</v>
      </c>
      <c r="I6924" s="484" t="s">
        <v>1926</v>
      </c>
      <c r="J6924" s="485"/>
      <c r="K6924" s="483" t="str">
        <f t="shared" si="206"/>
        <v>08,26</v>
      </c>
      <c r="L6924" s="483" t="s">
        <v>265</v>
      </c>
      <c r="M6924" s="483">
        <v>17579.580000000002</v>
      </c>
      <c r="N6924" s="486">
        <v>0.375</v>
      </c>
      <c r="O6924" s="897" t="s">
        <v>1929</v>
      </c>
      <c r="P6924" s="867" t="s">
        <v>1994</v>
      </c>
    </row>
    <row r="6925" spans="1:16" ht="19.5" hidden="1" thickBot="1" x14ac:dyDescent="0.3">
      <c r="A6925" s="956"/>
      <c r="B6925" s="805" t="s">
        <v>1903</v>
      </c>
      <c r="C6925" s="806" t="s">
        <v>26</v>
      </c>
      <c r="D6925" s="807">
        <v>3.85</v>
      </c>
      <c r="E6925" s="807">
        <v>3.8929999999999998</v>
      </c>
      <c r="F6925" s="808" t="s">
        <v>16</v>
      </c>
      <c r="G6925" s="902" t="s">
        <v>76</v>
      </c>
      <c r="H6925" s="808" t="s">
        <v>1926</v>
      </c>
      <c r="I6925" s="808" t="s">
        <v>1926</v>
      </c>
      <c r="J6925" s="810"/>
      <c r="K6925" s="808" t="str">
        <f t="shared" ref="K6925:K6962" si="208">RIGHT(I6925,5)</f>
        <v>08,26</v>
      </c>
      <c r="L6925" s="808" t="s">
        <v>265</v>
      </c>
      <c r="M6925" s="808">
        <v>3870</v>
      </c>
      <c r="N6925" s="778">
        <v>0.375</v>
      </c>
      <c r="O6925" s="897" t="s">
        <v>1951</v>
      </c>
      <c r="P6925" s="867" t="s">
        <v>1995</v>
      </c>
    </row>
    <row r="6926" spans="1:16" ht="19.5" hidden="1" thickBot="1" x14ac:dyDescent="0.3">
      <c r="A6926" s="957">
        <f>MAX(A6852:A6925)+1</f>
        <v>4309</v>
      </c>
      <c r="B6926" s="759" t="s">
        <v>1891</v>
      </c>
      <c r="C6926" s="532" t="s">
        <v>26</v>
      </c>
      <c r="D6926" s="533">
        <v>17.43</v>
      </c>
      <c r="E6926" s="534">
        <v>13.782999999999999</v>
      </c>
      <c r="F6926" s="535" t="s">
        <v>16</v>
      </c>
      <c r="G6926" s="898"/>
      <c r="H6926" s="535" t="s">
        <v>1926</v>
      </c>
      <c r="I6926" s="537" t="s">
        <v>1926</v>
      </c>
      <c r="J6926" s="538"/>
      <c r="K6926" s="535" t="str">
        <f t="shared" si="208"/>
        <v>08,26</v>
      </c>
      <c r="L6926" s="567" t="s">
        <v>265</v>
      </c>
      <c r="M6926" s="567">
        <v>17560.620000000003</v>
      </c>
      <c r="N6926" s="571">
        <v>0.41666666666666669</v>
      </c>
      <c r="O6926" s="897" t="s">
        <v>1933</v>
      </c>
      <c r="P6926" s="867" t="s">
        <v>1998</v>
      </c>
    </row>
    <row r="6927" spans="1:16" ht="19.5" hidden="1" thickBot="1" x14ac:dyDescent="0.3">
      <c r="A6927" s="959"/>
      <c r="B6927" s="798" t="s">
        <v>1903</v>
      </c>
      <c r="C6927" s="799" t="s">
        <v>26</v>
      </c>
      <c r="D6927" s="800">
        <v>3.7</v>
      </c>
      <c r="E6927" s="800">
        <v>3.738</v>
      </c>
      <c r="F6927" s="801" t="s">
        <v>16</v>
      </c>
      <c r="G6927" s="942" t="s">
        <v>76</v>
      </c>
      <c r="H6927" s="801" t="s">
        <v>1926</v>
      </c>
      <c r="I6927" s="801" t="s">
        <v>1926</v>
      </c>
      <c r="J6927" s="803"/>
      <c r="K6927" s="801" t="str">
        <f t="shared" si="208"/>
        <v>08,26</v>
      </c>
      <c r="L6927" s="801" t="s">
        <v>265</v>
      </c>
      <c r="M6927" s="801">
        <v>3720</v>
      </c>
      <c r="N6927" s="804">
        <v>0.41666666666666669</v>
      </c>
      <c r="O6927" s="897" t="s">
        <v>1952</v>
      </c>
      <c r="P6927" s="867" t="s">
        <v>1999</v>
      </c>
    </row>
    <row r="6928" spans="1:16" ht="19.5" hidden="1" thickBot="1" x14ac:dyDescent="0.3">
      <c r="A6928" s="954">
        <f>MAX(A6853:A6927)+1</f>
        <v>4310</v>
      </c>
      <c r="B6928" s="610" t="s">
        <v>1891</v>
      </c>
      <c r="C6928" s="480" t="s">
        <v>480</v>
      </c>
      <c r="D6928" s="481">
        <v>6.08</v>
      </c>
      <c r="E6928" s="482">
        <v>4.9889999999999999</v>
      </c>
      <c r="F6928" s="483" t="s">
        <v>16</v>
      </c>
      <c r="G6928" s="549"/>
      <c r="H6928" s="483" t="s">
        <v>1926</v>
      </c>
      <c r="I6928" s="484" t="s">
        <v>1926</v>
      </c>
      <c r="J6928" s="485"/>
      <c r="K6928" s="483" t="str">
        <f t="shared" si="208"/>
        <v>08,26</v>
      </c>
      <c r="L6928" s="483" t="s">
        <v>266</v>
      </c>
      <c r="M6928" s="483">
        <v>6141.4000000000015</v>
      </c>
      <c r="N6928" s="486">
        <v>0.45833333333333331</v>
      </c>
      <c r="O6928" s="897" t="s">
        <v>1937</v>
      </c>
      <c r="P6928" s="867" t="s">
        <v>2000</v>
      </c>
    </row>
    <row r="6929" spans="1:18" ht="19.5" hidden="1" thickBot="1" x14ac:dyDescent="0.3">
      <c r="A6929" s="955"/>
      <c r="B6929" s="769" t="s">
        <v>1891</v>
      </c>
      <c r="C6929" s="764" t="s">
        <v>913</v>
      </c>
      <c r="D6929" s="765">
        <v>2.2989999999999999</v>
      </c>
      <c r="E6929" s="766">
        <v>2.1219999999999999</v>
      </c>
      <c r="F6929" s="763" t="s">
        <v>16</v>
      </c>
      <c r="G6929" s="767"/>
      <c r="H6929" s="763" t="s">
        <v>1926</v>
      </c>
      <c r="I6929" s="768" t="s">
        <v>1926</v>
      </c>
      <c r="J6929" s="779"/>
      <c r="K6929" s="763" t="str">
        <f t="shared" si="208"/>
        <v>08,26</v>
      </c>
      <c r="L6929" s="763" t="s">
        <v>266</v>
      </c>
      <c r="M6929" s="763">
        <v>2316.8000000000002</v>
      </c>
      <c r="N6929" s="770">
        <v>0.45833333333333331</v>
      </c>
      <c r="O6929" s="897" t="s">
        <v>1936</v>
      </c>
      <c r="P6929" s="867" t="s">
        <v>2001</v>
      </c>
    </row>
    <row r="6930" spans="1:18" ht="19.5" hidden="1" thickBot="1" x14ac:dyDescent="0.3">
      <c r="A6930" s="955"/>
      <c r="B6930" s="769" t="s">
        <v>1891</v>
      </c>
      <c r="C6930" s="764" t="s">
        <v>23</v>
      </c>
      <c r="D6930" s="765">
        <v>9.0180000000000007</v>
      </c>
      <c r="E6930" s="766">
        <v>7.9450000000000003</v>
      </c>
      <c r="F6930" s="763" t="s">
        <v>16</v>
      </c>
      <c r="G6930" s="767"/>
      <c r="H6930" s="763" t="s">
        <v>1926</v>
      </c>
      <c r="I6930" s="768" t="s">
        <v>1926</v>
      </c>
      <c r="J6930" s="779"/>
      <c r="K6930" s="763" t="str">
        <f t="shared" si="208"/>
        <v>08,26</v>
      </c>
      <c r="L6930" s="763" t="s">
        <v>28</v>
      </c>
      <c r="M6930" s="763">
        <v>9080.2800000000007</v>
      </c>
      <c r="N6930" s="770">
        <v>0.45833333333333331</v>
      </c>
      <c r="O6930" s="897" t="s">
        <v>1935</v>
      </c>
      <c r="P6930" s="867" t="s">
        <v>2002</v>
      </c>
    </row>
    <row r="6931" spans="1:18" ht="19.5" hidden="1" thickBot="1" x14ac:dyDescent="0.3">
      <c r="A6931" s="956"/>
      <c r="B6931" s="841" t="s">
        <v>1926</v>
      </c>
      <c r="C6931" s="842" t="s">
        <v>23</v>
      </c>
      <c r="D6931" s="843">
        <v>2.48</v>
      </c>
      <c r="E6931" s="843">
        <v>2.5059999999999998</v>
      </c>
      <c r="F6931" s="844" t="s">
        <v>16</v>
      </c>
      <c r="G6931" s="851" t="s">
        <v>76</v>
      </c>
      <c r="H6931" s="844" t="s">
        <v>1926</v>
      </c>
      <c r="I6931" s="844" t="s">
        <v>1926</v>
      </c>
      <c r="J6931" s="845"/>
      <c r="K6931" s="844" t="str">
        <f t="shared" si="208"/>
        <v>08,26</v>
      </c>
      <c r="L6931" s="844" t="s">
        <v>28</v>
      </c>
      <c r="M6931" s="844">
        <v>2497.62</v>
      </c>
      <c r="N6931" s="846">
        <v>0.45833333333333331</v>
      </c>
      <c r="O6931" s="897" t="s">
        <v>1988</v>
      </c>
      <c r="P6931" s="867" t="s">
        <v>2003</v>
      </c>
    </row>
    <row r="6932" spans="1:18" ht="19.5" hidden="1" thickBot="1" x14ac:dyDescent="0.3">
      <c r="A6932" s="957">
        <f>MAX(A6856:A6931)+1</f>
        <v>4311</v>
      </c>
      <c r="B6932" s="759" t="s">
        <v>1891</v>
      </c>
      <c r="C6932" s="532" t="s">
        <v>23</v>
      </c>
      <c r="D6932" s="533">
        <v>17.013999999999999</v>
      </c>
      <c r="E6932" s="534"/>
      <c r="F6932" s="535" t="s">
        <v>16</v>
      </c>
      <c r="G6932" s="976" t="s">
        <v>1634</v>
      </c>
      <c r="H6932" s="535" t="s">
        <v>1926</v>
      </c>
      <c r="I6932" s="537" t="s">
        <v>1928</v>
      </c>
      <c r="J6932" s="538"/>
      <c r="K6932" s="535" t="str">
        <f t="shared" si="208"/>
        <v>08,26</v>
      </c>
      <c r="L6932" s="535" t="s">
        <v>28</v>
      </c>
      <c r="M6932" s="535">
        <v>17161.580000000002</v>
      </c>
      <c r="N6932" s="539">
        <v>0.5</v>
      </c>
      <c r="O6932" s="897" t="s">
        <v>1938</v>
      </c>
      <c r="P6932" s="867" t="s">
        <v>2027</v>
      </c>
    </row>
    <row r="6933" spans="1:18" ht="19.5" hidden="1" thickBot="1" x14ac:dyDescent="0.3">
      <c r="A6933" s="958"/>
      <c r="B6933" s="813" t="s">
        <v>1928</v>
      </c>
      <c r="C6933" s="814" t="s">
        <v>23</v>
      </c>
      <c r="D6933" s="815">
        <v>1</v>
      </c>
      <c r="E6933" s="815"/>
      <c r="F6933" s="816" t="s">
        <v>16</v>
      </c>
      <c r="G6933" s="969"/>
      <c r="H6933" s="816" t="s">
        <v>1926</v>
      </c>
      <c r="I6933" s="816" t="s">
        <v>1928</v>
      </c>
      <c r="J6933" s="818"/>
      <c r="K6933" s="816" t="str">
        <f t="shared" si="208"/>
        <v>08,26</v>
      </c>
      <c r="L6933" s="816" t="s">
        <v>28</v>
      </c>
      <c r="M6933" s="816">
        <v>1005</v>
      </c>
      <c r="N6933" s="811">
        <v>0.5</v>
      </c>
      <c r="O6933" s="897" t="s">
        <v>2004</v>
      </c>
      <c r="P6933" s="867" t="s">
        <v>2030</v>
      </c>
    </row>
    <row r="6934" spans="1:18" ht="19.5" hidden="1" thickBot="1" x14ac:dyDescent="0.3">
      <c r="A6934" s="958"/>
      <c r="B6934" s="813" t="s">
        <v>1928</v>
      </c>
      <c r="C6934" s="814" t="s">
        <v>23</v>
      </c>
      <c r="D6934" s="815">
        <v>0.56999999999999995</v>
      </c>
      <c r="E6934" s="815"/>
      <c r="F6934" s="816" t="s">
        <v>16</v>
      </c>
      <c r="G6934" s="969"/>
      <c r="H6934" s="816" t="s">
        <v>1926</v>
      </c>
      <c r="I6934" s="816" t="s">
        <v>1928</v>
      </c>
      <c r="J6934" s="818"/>
      <c r="K6934" s="816" t="str">
        <f t="shared" si="208"/>
        <v>08,26</v>
      </c>
      <c r="L6934" s="816" t="s">
        <v>28</v>
      </c>
      <c r="M6934" s="816">
        <v>570</v>
      </c>
      <c r="N6934" s="811">
        <v>0.5</v>
      </c>
      <c r="O6934" s="897" t="s">
        <v>2005</v>
      </c>
      <c r="P6934" s="867" t="s">
        <v>2029</v>
      </c>
    </row>
    <row r="6935" spans="1:18" ht="19.5" hidden="1" thickBot="1" x14ac:dyDescent="0.3">
      <c r="A6935" s="959"/>
      <c r="B6935" s="785" t="s">
        <v>1926</v>
      </c>
      <c r="C6935" s="786" t="s">
        <v>23</v>
      </c>
      <c r="D6935" s="787">
        <v>2.08</v>
      </c>
      <c r="E6935" s="787"/>
      <c r="F6935" s="788" t="s">
        <v>16</v>
      </c>
      <c r="G6935" s="975"/>
      <c r="H6935" s="788" t="s">
        <v>1926</v>
      </c>
      <c r="I6935" s="788" t="s">
        <v>1928</v>
      </c>
      <c r="J6935" s="790"/>
      <c r="K6935" s="788" t="str">
        <f t="shared" si="208"/>
        <v>08,26</v>
      </c>
      <c r="L6935" s="788" t="s">
        <v>28</v>
      </c>
      <c r="M6935" s="788">
        <v>2100</v>
      </c>
      <c r="N6935" s="784">
        <v>0.5</v>
      </c>
      <c r="O6935" s="897" t="s">
        <v>1987</v>
      </c>
      <c r="P6935" s="867" t="s">
        <v>2028</v>
      </c>
    </row>
    <row r="6936" spans="1:18" ht="19.5" hidden="1" thickBot="1" x14ac:dyDescent="0.3">
      <c r="A6936" s="954">
        <f>MAX(A6857:A6935)+1</f>
        <v>4312</v>
      </c>
      <c r="B6936" s="523" t="s">
        <v>1891</v>
      </c>
      <c r="C6936" s="524" t="s">
        <v>587</v>
      </c>
      <c r="D6936" s="525">
        <v>3.03</v>
      </c>
      <c r="E6936" s="526">
        <v>3.03</v>
      </c>
      <c r="F6936" s="527" t="s">
        <v>30</v>
      </c>
      <c r="G6936" s="561" t="s">
        <v>23</v>
      </c>
      <c r="H6936" s="527" t="s">
        <v>1926</v>
      </c>
      <c r="I6936" s="528" t="s">
        <v>1926</v>
      </c>
      <c r="J6936" s="529"/>
      <c r="K6936" s="527" t="str">
        <f t="shared" si="208"/>
        <v>08,26</v>
      </c>
      <c r="L6936" s="527" t="s">
        <v>28</v>
      </c>
      <c r="M6936" s="527">
        <v>3030.72</v>
      </c>
      <c r="N6936" s="530">
        <v>0.41666666666666669</v>
      </c>
      <c r="O6936" s="897" t="s">
        <v>1931</v>
      </c>
      <c r="P6936" s="867" t="s">
        <v>1996</v>
      </c>
    </row>
    <row r="6937" spans="1:18" ht="19.5" hidden="1" thickBot="1" x14ac:dyDescent="0.3">
      <c r="A6937" s="956"/>
      <c r="B6937" s="645" t="s">
        <v>1891</v>
      </c>
      <c r="C6937" s="646" t="s">
        <v>23</v>
      </c>
      <c r="D6937" s="647">
        <v>8.9640000000000004</v>
      </c>
      <c r="E6937" s="648">
        <v>8.9640000000000004</v>
      </c>
      <c r="F6937" s="649" t="s">
        <v>30</v>
      </c>
      <c r="G6937" s="650"/>
      <c r="H6937" s="649" t="s">
        <v>1926</v>
      </c>
      <c r="I6937" s="651" t="s">
        <v>1926</v>
      </c>
      <c r="J6937" s="652"/>
      <c r="K6937" s="649" t="str">
        <f t="shared" si="208"/>
        <v>08,26</v>
      </c>
      <c r="L6937" s="649" t="s">
        <v>28</v>
      </c>
      <c r="M6937" s="649">
        <v>8964.840000000002</v>
      </c>
      <c r="N6937" s="653">
        <v>0.41666666666666669</v>
      </c>
      <c r="O6937" s="897" t="s">
        <v>1930</v>
      </c>
      <c r="P6937" s="867" t="s">
        <v>1997</v>
      </c>
    </row>
    <row r="6938" spans="1:18" ht="19.5" hidden="1" thickBot="1" x14ac:dyDescent="0.3">
      <c r="A6938" s="503">
        <f>MAX(A6858:A6937)+1</f>
        <v>4313</v>
      </c>
      <c r="B6938" s="933" t="s">
        <v>1891</v>
      </c>
      <c r="C6938" s="934" t="s">
        <v>32</v>
      </c>
      <c r="D6938" s="935">
        <v>17.8</v>
      </c>
      <c r="E6938" s="936" t="s">
        <v>1496</v>
      </c>
      <c r="F6938" s="937" t="s">
        <v>16</v>
      </c>
      <c r="G6938" s="938"/>
      <c r="H6938" s="937" t="s">
        <v>1926</v>
      </c>
      <c r="I6938" s="939" t="s">
        <v>1496</v>
      </c>
      <c r="J6938" s="940"/>
      <c r="K6938" s="937" t="str">
        <f t="shared" si="208"/>
        <v>тмена</v>
      </c>
      <c r="L6938" s="937" t="s">
        <v>266</v>
      </c>
      <c r="M6938" s="937">
        <v>17807.399999999998</v>
      </c>
      <c r="N6938" s="941">
        <v>0.58333333333333337</v>
      </c>
      <c r="O6938" s="920" t="s">
        <v>1945</v>
      </c>
      <c r="P6938" s="921" t="s">
        <v>1024</v>
      </c>
    </row>
    <row r="6939" spans="1:18" ht="19.5" hidden="1" thickBot="1" x14ac:dyDescent="0.3">
      <c r="A6939" s="954">
        <f>MAX(A6859:A6938)+1</f>
        <v>4314</v>
      </c>
      <c r="B6939" s="610" t="s">
        <v>1891</v>
      </c>
      <c r="C6939" s="480" t="s">
        <v>26</v>
      </c>
      <c r="D6939" s="481">
        <v>17.48</v>
      </c>
      <c r="E6939" s="482">
        <v>14.175000000000001</v>
      </c>
      <c r="F6939" s="483" t="s">
        <v>16</v>
      </c>
      <c r="G6939" s="899"/>
      <c r="H6939" s="483" t="s">
        <v>1928</v>
      </c>
      <c r="I6939" s="484" t="s">
        <v>1928</v>
      </c>
      <c r="J6939" s="485"/>
      <c r="K6939" s="483" t="str">
        <f t="shared" si="208"/>
        <v>08,26</v>
      </c>
      <c r="L6939" s="483" t="s">
        <v>265</v>
      </c>
      <c r="M6939" s="483">
        <v>17644.68</v>
      </c>
      <c r="N6939" s="486">
        <v>0.375</v>
      </c>
      <c r="O6939" s="897" t="s">
        <v>1932</v>
      </c>
      <c r="P6939" s="867" t="s">
        <v>2020</v>
      </c>
    </row>
    <row r="6940" spans="1:18" ht="19.5" hidden="1" thickBot="1" x14ac:dyDescent="0.3">
      <c r="A6940" s="956"/>
      <c r="B6940" s="805" t="s">
        <v>1926</v>
      </c>
      <c r="C6940" s="806" t="s">
        <v>26</v>
      </c>
      <c r="D6940" s="807">
        <v>3.52</v>
      </c>
      <c r="E6940" s="807">
        <v>3.585</v>
      </c>
      <c r="F6940" s="808" t="s">
        <v>16</v>
      </c>
      <c r="G6940" s="902" t="s">
        <v>76</v>
      </c>
      <c r="H6940" s="808" t="s">
        <v>1928</v>
      </c>
      <c r="I6940" s="808" t="s">
        <v>1928</v>
      </c>
      <c r="J6940" s="810"/>
      <c r="K6940" s="808" t="str">
        <f t="shared" si="208"/>
        <v>08,26</v>
      </c>
      <c r="L6940" s="808" t="s">
        <v>265</v>
      </c>
      <c r="M6940" s="808">
        <v>3555</v>
      </c>
      <c r="N6940" s="778">
        <v>0.375</v>
      </c>
      <c r="O6940" s="897" t="s">
        <v>1992</v>
      </c>
      <c r="P6940" s="867" t="s">
        <v>2021</v>
      </c>
    </row>
    <row r="6941" spans="1:18" ht="19.5" hidden="1" thickBot="1" x14ac:dyDescent="0.3">
      <c r="A6941" s="957">
        <f>MAX(A6860:A6939)+1</f>
        <v>4315</v>
      </c>
      <c r="B6941" s="759" t="s">
        <v>1891</v>
      </c>
      <c r="C6941" s="532" t="s">
        <v>26</v>
      </c>
      <c r="D6941" s="533">
        <v>17.454999999999998</v>
      </c>
      <c r="E6941" s="534">
        <v>14.146000000000001</v>
      </c>
      <c r="F6941" s="535" t="s">
        <v>16</v>
      </c>
      <c r="G6941" s="898"/>
      <c r="H6941" s="535" t="s">
        <v>1928</v>
      </c>
      <c r="I6941" s="537" t="s">
        <v>1928</v>
      </c>
      <c r="J6941" s="538"/>
      <c r="K6941" s="535" t="str">
        <f t="shared" si="208"/>
        <v>08,26</v>
      </c>
      <c r="L6941" s="567" t="s">
        <v>265</v>
      </c>
      <c r="M6941" s="567">
        <v>17646.919999999998</v>
      </c>
      <c r="N6941" s="571">
        <v>0.41666666666666669</v>
      </c>
      <c r="O6941" s="897" t="s">
        <v>1934</v>
      </c>
      <c r="P6941" s="867" t="s">
        <v>2018</v>
      </c>
    </row>
    <row r="6942" spans="1:18" ht="19.5" hidden="1" thickBot="1" x14ac:dyDescent="0.3">
      <c r="A6942" s="959"/>
      <c r="B6942" s="798" t="s">
        <v>1926</v>
      </c>
      <c r="C6942" s="799" t="s">
        <v>26</v>
      </c>
      <c r="D6942" s="800">
        <v>3.5</v>
      </c>
      <c r="E6942" s="800">
        <v>3.5590000000000002</v>
      </c>
      <c r="F6942" s="801" t="s">
        <v>16</v>
      </c>
      <c r="G6942" s="942" t="s">
        <v>76</v>
      </c>
      <c r="H6942" s="801" t="s">
        <v>1928</v>
      </c>
      <c r="I6942" s="801" t="s">
        <v>1928</v>
      </c>
      <c r="J6942" s="803"/>
      <c r="K6942" s="801" t="str">
        <f t="shared" si="208"/>
        <v>08,26</v>
      </c>
      <c r="L6942" s="801" t="s">
        <v>265</v>
      </c>
      <c r="M6942" s="801">
        <v>3540</v>
      </c>
      <c r="N6942" s="804">
        <v>0.41666666666666669</v>
      </c>
      <c r="O6942" s="897" t="s">
        <v>1993</v>
      </c>
      <c r="P6942" s="867" t="s">
        <v>2019</v>
      </c>
    </row>
    <row r="6943" spans="1:18" ht="19.5" hidden="1" thickBot="1" x14ac:dyDescent="0.3">
      <c r="A6943" s="960">
        <f>MAX(A6861:A6941)+1</f>
        <v>4316</v>
      </c>
      <c r="B6943" s="610" t="s">
        <v>1891</v>
      </c>
      <c r="C6943" s="480" t="s">
        <v>15</v>
      </c>
      <c r="D6943" s="481">
        <v>6.5579999999999998</v>
      </c>
      <c r="E6943" s="482">
        <v>5.5830000000000002</v>
      </c>
      <c r="F6943" s="483" t="s">
        <v>16</v>
      </c>
      <c r="G6943" s="970" t="s">
        <v>1724</v>
      </c>
      <c r="H6943" s="483" t="s">
        <v>1928</v>
      </c>
      <c r="I6943" s="484" t="s">
        <v>1984</v>
      </c>
      <c r="J6943" s="485"/>
      <c r="K6943" s="483" t="str">
        <f t="shared" si="208"/>
        <v>08,26</v>
      </c>
      <c r="L6943" s="483" t="s">
        <v>28</v>
      </c>
      <c r="M6943" s="483">
        <v>6694.68</v>
      </c>
      <c r="N6943" s="486">
        <v>0.45833333333333331</v>
      </c>
      <c r="O6943" s="897" t="s">
        <v>1939</v>
      </c>
      <c r="P6943" s="867" t="s">
        <v>2022</v>
      </c>
      <c r="R6943" s="943"/>
    </row>
    <row r="6944" spans="1:18" ht="19.5" hidden="1" thickBot="1" x14ac:dyDescent="0.3">
      <c r="A6944" s="961"/>
      <c r="B6944" s="769" t="s">
        <v>1891</v>
      </c>
      <c r="C6944" s="764" t="s">
        <v>24</v>
      </c>
      <c r="D6944" s="765">
        <v>9.4920000000000009</v>
      </c>
      <c r="E6944" s="766">
        <v>7.3079999999999998</v>
      </c>
      <c r="F6944" s="763" t="s">
        <v>16</v>
      </c>
      <c r="G6944" s="971"/>
      <c r="H6944" s="763" t="s">
        <v>1928</v>
      </c>
      <c r="I6944" s="768" t="s">
        <v>1984</v>
      </c>
      <c r="J6944" s="779"/>
      <c r="K6944" s="763" t="str">
        <f t="shared" si="208"/>
        <v>08,26</v>
      </c>
      <c r="L6944" s="763" t="s">
        <v>28</v>
      </c>
      <c r="M6944" s="763">
        <v>9667.34</v>
      </c>
      <c r="N6944" s="770">
        <v>0.45833333333333331</v>
      </c>
      <c r="O6944" s="897" t="s">
        <v>1941</v>
      </c>
      <c r="P6944" s="867" t="s">
        <v>2023</v>
      </c>
    </row>
    <row r="6945" spans="1:18" ht="19.5" hidden="1" thickBot="1" x14ac:dyDescent="0.3">
      <c r="A6945" s="961"/>
      <c r="B6945" s="841" t="s">
        <v>1928</v>
      </c>
      <c r="C6945" s="842" t="s">
        <v>15</v>
      </c>
      <c r="D6945" s="843">
        <v>1.5</v>
      </c>
      <c r="E6945" s="843">
        <v>1.512</v>
      </c>
      <c r="F6945" s="844" t="s">
        <v>16</v>
      </c>
      <c r="G6945" s="977"/>
      <c r="H6945" s="844" t="s">
        <v>1928</v>
      </c>
      <c r="I6945" s="844" t="s">
        <v>1984</v>
      </c>
      <c r="J6945" s="845"/>
      <c r="K6945" s="844" t="str">
        <f t="shared" si="208"/>
        <v>08,26</v>
      </c>
      <c r="L6945" s="844" t="s">
        <v>28</v>
      </c>
      <c r="M6945" s="844">
        <v>1515</v>
      </c>
      <c r="N6945" s="770">
        <v>0.45833333333333331</v>
      </c>
      <c r="O6945" s="897" t="s">
        <v>2013</v>
      </c>
      <c r="P6945" s="867" t="s">
        <v>2024</v>
      </c>
    </row>
    <row r="6946" spans="1:18" ht="19.5" hidden="1" thickBot="1" x14ac:dyDescent="0.3">
      <c r="A6946" s="961"/>
      <c r="B6946" s="841" t="s">
        <v>1928</v>
      </c>
      <c r="C6946" s="842" t="s">
        <v>24</v>
      </c>
      <c r="D6946" s="843">
        <v>1.3</v>
      </c>
      <c r="E6946" s="843">
        <v>1.3069999999999999</v>
      </c>
      <c r="F6946" s="844" t="s">
        <v>16</v>
      </c>
      <c r="G6946" s="977"/>
      <c r="H6946" s="844" t="s">
        <v>1928</v>
      </c>
      <c r="I6946" s="844" t="s">
        <v>1984</v>
      </c>
      <c r="J6946" s="845"/>
      <c r="K6946" s="844" t="str">
        <f t="shared" si="208"/>
        <v>08,26</v>
      </c>
      <c r="L6946" s="844" t="s">
        <v>28</v>
      </c>
      <c r="M6946" s="844">
        <v>1305</v>
      </c>
      <c r="N6946" s="770">
        <v>0.45833333333333331</v>
      </c>
      <c r="O6946" s="897" t="s">
        <v>2011</v>
      </c>
      <c r="P6946" s="867" t="s">
        <v>2025</v>
      </c>
    </row>
    <row r="6947" spans="1:18" ht="19.5" hidden="1" thickBot="1" x14ac:dyDescent="0.3">
      <c r="A6947" s="962"/>
      <c r="B6947" s="805" t="s">
        <v>1926</v>
      </c>
      <c r="C6947" s="806" t="s">
        <v>24</v>
      </c>
      <c r="D6947" s="807">
        <v>0.48</v>
      </c>
      <c r="E6947" s="807">
        <v>0.46700000000000003</v>
      </c>
      <c r="F6947" s="808" t="s">
        <v>16</v>
      </c>
      <c r="G6947" s="972"/>
      <c r="H6947" s="808" t="s">
        <v>1928</v>
      </c>
      <c r="I6947" s="808" t="s">
        <v>1984</v>
      </c>
      <c r="J6947" s="810"/>
      <c r="K6947" s="808" t="str">
        <f t="shared" si="208"/>
        <v>08,26</v>
      </c>
      <c r="L6947" s="808" t="s">
        <v>28</v>
      </c>
      <c r="M6947" s="808">
        <v>486</v>
      </c>
      <c r="N6947" s="778">
        <v>0.45833333333333331</v>
      </c>
      <c r="O6947" s="897" t="s">
        <v>1990</v>
      </c>
      <c r="P6947" s="867" t="s">
        <v>2026</v>
      </c>
    </row>
    <row r="6948" spans="1:18" ht="19.5" hidden="1" thickBot="1" x14ac:dyDescent="0.3">
      <c r="A6948" s="957">
        <f>MAX(A6863:A6947)+1</f>
        <v>4317</v>
      </c>
      <c r="B6948" s="760" t="s">
        <v>1891</v>
      </c>
      <c r="C6948" s="564" t="s">
        <v>47</v>
      </c>
      <c r="D6948" s="565">
        <v>16.506</v>
      </c>
      <c r="E6948" s="566">
        <v>13.561</v>
      </c>
      <c r="F6948" s="567" t="s">
        <v>16</v>
      </c>
      <c r="G6948" s="969" t="s">
        <v>1633</v>
      </c>
      <c r="H6948" s="567" t="s">
        <v>1928</v>
      </c>
      <c r="I6948" s="569" t="s">
        <v>1928</v>
      </c>
      <c r="J6948" s="570"/>
      <c r="K6948" s="567" t="str">
        <f t="shared" si="208"/>
        <v>08,26</v>
      </c>
      <c r="L6948" s="567" t="s">
        <v>28</v>
      </c>
      <c r="M6948" s="567">
        <v>16702.310000000001</v>
      </c>
      <c r="N6948" s="571">
        <v>0.5</v>
      </c>
      <c r="O6948" s="897" t="s">
        <v>1940</v>
      </c>
      <c r="P6948" s="867" t="s">
        <v>2015</v>
      </c>
      <c r="R6948" s="943"/>
    </row>
    <row r="6949" spans="1:18" ht="19.5" hidden="1" thickBot="1" x14ac:dyDescent="0.3">
      <c r="A6949" s="958"/>
      <c r="B6949" s="852" t="s">
        <v>1928</v>
      </c>
      <c r="C6949" s="837" t="s">
        <v>47</v>
      </c>
      <c r="D6949" s="838">
        <v>2.1</v>
      </c>
      <c r="E6949" s="838">
        <v>2.0990000000000002</v>
      </c>
      <c r="F6949" s="839" t="s">
        <v>16</v>
      </c>
      <c r="G6949" s="969"/>
      <c r="H6949" s="839" t="s">
        <v>1928</v>
      </c>
      <c r="I6949" s="839" t="s">
        <v>1928</v>
      </c>
      <c r="J6949" s="840"/>
      <c r="K6949" s="839" t="str">
        <f t="shared" si="208"/>
        <v>08,26</v>
      </c>
      <c r="L6949" s="839" t="s">
        <v>28</v>
      </c>
      <c r="M6949" s="839">
        <v>2100</v>
      </c>
      <c r="N6949" s="598">
        <v>0.5</v>
      </c>
      <c r="O6949" s="897" t="s">
        <v>2012</v>
      </c>
      <c r="P6949" s="867" t="s">
        <v>2016</v>
      </c>
      <c r="R6949" s="943"/>
    </row>
    <row r="6950" spans="1:18" ht="19.5" hidden="1" thickBot="1" x14ac:dyDescent="0.3">
      <c r="A6950" s="959"/>
      <c r="B6950" s="785" t="s">
        <v>1926</v>
      </c>
      <c r="C6950" s="786" t="s">
        <v>47</v>
      </c>
      <c r="D6950" s="787">
        <v>1.05</v>
      </c>
      <c r="E6950" s="787">
        <v>1.052</v>
      </c>
      <c r="F6950" s="788" t="s">
        <v>16</v>
      </c>
      <c r="G6950" s="975"/>
      <c r="H6950" s="788" t="s">
        <v>1928</v>
      </c>
      <c r="I6950" s="788" t="s">
        <v>1928</v>
      </c>
      <c r="J6950" s="790"/>
      <c r="K6950" s="788" t="str">
        <f t="shared" si="208"/>
        <v>08,26</v>
      </c>
      <c r="L6950" s="788" t="s">
        <v>28</v>
      </c>
      <c r="M6950" s="788">
        <v>1053</v>
      </c>
      <c r="N6950" s="784">
        <v>0.5</v>
      </c>
      <c r="O6950" s="897" t="s">
        <v>1989</v>
      </c>
      <c r="P6950" s="867" t="s">
        <v>2017</v>
      </c>
    </row>
    <row r="6951" spans="1:18" ht="19.5" hidden="1" thickBot="1" x14ac:dyDescent="0.3">
      <c r="A6951" s="954">
        <f>MAX(A6864:A6948)+1</f>
        <v>4318</v>
      </c>
      <c r="B6951" s="479" t="s">
        <v>1926</v>
      </c>
      <c r="C6951" s="480" t="s">
        <v>55</v>
      </c>
      <c r="D6951" s="481">
        <v>2.66</v>
      </c>
      <c r="E6951" s="482">
        <v>1.94</v>
      </c>
      <c r="F6951" s="483" t="s">
        <v>16</v>
      </c>
      <c r="G6951" s="549" t="s">
        <v>844</v>
      </c>
      <c r="H6951" s="483" t="s">
        <v>1984</v>
      </c>
      <c r="I6951" s="484" t="s">
        <v>2006</v>
      </c>
      <c r="J6951" s="485"/>
      <c r="K6951" s="483" t="str">
        <f t="shared" si="208"/>
        <v>08,26</v>
      </c>
      <c r="L6951" s="483" t="s">
        <v>266</v>
      </c>
      <c r="M6951" s="483">
        <v>2721.37</v>
      </c>
      <c r="N6951" s="486">
        <v>0.5</v>
      </c>
      <c r="O6951" s="897" t="s">
        <v>1985</v>
      </c>
      <c r="P6951" s="867" t="s">
        <v>2047</v>
      </c>
    </row>
    <row r="6952" spans="1:18" ht="19.5" hidden="1" thickBot="1" x14ac:dyDescent="0.3">
      <c r="A6952" s="956"/>
      <c r="B6952" s="645" t="s">
        <v>1926</v>
      </c>
      <c r="C6952" s="646" t="s">
        <v>55</v>
      </c>
      <c r="D6952" s="647">
        <v>13.019</v>
      </c>
      <c r="E6952" s="648">
        <v>6.6310000000000002</v>
      </c>
      <c r="F6952" s="649" t="s">
        <v>16</v>
      </c>
      <c r="G6952" s="650" t="s">
        <v>845</v>
      </c>
      <c r="H6952" s="649" t="s">
        <v>1984</v>
      </c>
      <c r="I6952" s="651" t="s">
        <v>2006</v>
      </c>
      <c r="J6952" s="652"/>
      <c r="K6952" s="649" t="str">
        <f t="shared" si="208"/>
        <v>08,26</v>
      </c>
      <c r="L6952" s="649" t="s">
        <v>266</v>
      </c>
      <c r="M6952" s="649">
        <v>13142.089999999997</v>
      </c>
      <c r="N6952" s="653">
        <v>0.5</v>
      </c>
      <c r="O6952" s="897" t="s">
        <v>1986</v>
      </c>
      <c r="P6952" s="867" t="s">
        <v>2048</v>
      </c>
    </row>
    <row r="6953" spans="1:18" ht="19.5" hidden="1" thickBot="1" x14ac:dyDescent="0.3">
      <c r="A6953" s="551">
        <f t="shared" ref="A6953:A6958" si="209">MAX(A6866:A6952)+1</f>
        <v>4319</v>
      </c>
      <c r="B6953" s="552" t="s">
        <v>1926</v>
      </c>
      <c r="C6953" s="553" t="s">
        <v>47</v>
      </c>
      <c r="D6953" s="554">
        <v>13.087999999999999</v>
      </c>
      <c r="E6953" s="555">
        <v>13.073</v>
      </c>
      <c r="F6953" s="556" t="s">
        <v>30</v>
      </c>
      <c r="G6953" s="557"/>
      <c r="H6953" s="556" t="s">
        <v>1984</v>
      </c>
      <c r="I6953" s="558" t="s">
        <v>2049</v>
      </c>
      <c r="J6953" s="559"/>
      <c r="K6953" s="556" t="str">
        <f t="shared" si="208"/>
        <v>08,26</v>
      </c>
      <c r="L6953" s="556" t="s">
        <v>28</v>
      </c>
      <c r="M6953" s="556">
        <v>13088.68</v>
      </c>
      <c r="N6953" s="560">
        <v>0.41666666666666669</v>
      </c>
      <c r="O6953" s="897" t="s">
        <v>1991</v>
      </c>
      <c r="P6953" s="867" t="s">
        <v>2112</v>
      </c>
    </row>
    <row r="6954" spans="1:18" ht="19.5" hidden="1" thickBot="1" x14ac:dyDescent="0.3">
      <c r="A6954" s="513">
        <f t="shared" si="209"/>
        <v>4320</v>
      </c>
      <c r="B6954" s="514" t="s">
        <v>1928</v>
      </c>
      <c r="C6954" s="515" t="s">
        <v>32</v>
      </c>
      <c r="D6954" s="516">
        <v>17.887</v>
      </c>
      <c r="E6954" s="517">
        <v>15.691000000000001</v>
      </c>
      <c r="F6954" s="518" t="s">
        <v>16</v>
      </c>
      <c r="G6954" s="519"/>
      <c r="H6954" s="518" t="s">
        <v>2006</v>
      </c>
      <c r="I6954" s="520" t="s">
        <v>2006</v>
      </c>
      <c r="J6954" s="521"/>
      <c r="K6954" s="518" t="str">
        <f t="shared" si="208"/>
        <v>08,26</v>
      </c>
      <c r="L6954" s="518" t="s">
        <v>266</v>
      </c>
      <c r="M6954" s="518">
        <v>18069.04</v>
      </c>
      <c r="N6954" s="522">
        <v>0.41666666666666669</v>
      </c>
      <c r="O6954" s="897" t="s">
        <v>2009</v>
      </c>
      <c r="P6954" s="867" t="s">
        <v>2056</v>
      </c>
    </row>
    <row r="6955" spans="1:18" ht="19.5" hidden="1" thickBot="1" x14ac:dyDescent="0.3">
      <c r="A6955" s="503">
        <f t="shared" si="209"/>
        <v>4321</v>
      </c>
      <c r="B6955" s="504" t="s">
        <v>1928</v>
      </c>
      <c r="C6955" s="505" t="s">
        <v>32</v>
      </c>
      <c r="D6955" s="506">
        <v>17.949000000000002</v>
      </c>
      <c r="E6955" s="507">
        <v>17.603000000000002</v>
      </c>
      <c r="F6955" s="508" t="s">
        <v>16</v>
      </c>
      <c r="G6955" s="509"/>
      <c r="H6955" s="508" t="s">
        <v>2006</v>
      </c>
      <c r="I6955" s="510" t="s">
        <v>2031</v>
      </c>
      <c r="J6955" s="511"/>
      <c r="K6955" s="508" t="str">
        <f t="shared" si="208"/>
        <v>08,26</v>
      </c>
      <c r="L6955" s="508" t="s">
        <v>266</v>
      </c>
      <c r="M6955" s="508">
        <v>18036.810000000001</v>
      </c>
      <c r="N6955" s="512">
        <v>0.45833333333333331</v>
      </c>
      <c r="O6955" s="897" t="s">
        <v>2007</v>
      </c>
      <c r="P6955" s="867" t="s">
        <v>2058</v>
      </c>
    </row>
    <row r="6956" spans="1:18" ht="19.5" hidden="1" thickBot="1" x14ac:dyDescent="0.3">
      <c r="A6956" s="513">
        <f t="shared" si="209"/>
        <v>4322</v>
      </c>
      <c r="B6956" s="663" t="s">
        <v>1928</v>
      </c>
      <c r="C6956" s="664" t="s">
        <v>32</v>
      </c>
      <c r="D6956" s="665">
        <v>17.5</v>
      </c>
      <c r="E6956" s="666" t="s">
        <v>1496</v>
      </c>
      <c r="F6956" s="667" t="s">
        <v>16</v>
      </c>
      <c r="G6956" s="668"/>
      <c r="H6956" s="667" t="s">
        <v>2006</v>
      </c>
      <c r="I6956" s="669" t="s">
        <v>1496</v>
      </c>
      <c r="J6956" s="670"/>
      <c r="K6956" s="667" t="str">
        <f t="shared" si="208"/>
        <v>тмена</v>
      </c>
      <c r="L6956" s="667" t="s">
        <v>266</v>
      </c>
      <c r="M6956" s="667">
        <v>17503.2</v>
      </c>
      <c r="N6956" s="671">
        <v>0.5</v>
      </c>
      <c r="O6956" s="920" t="s">
        <v>2008</v>
      </c>
      <c r="P6956" s="921" t="s">
        <v>1024</v>
      </c>
    </row>
    <row r="6957" spans="1:18" ht="19.5" hidden="1" thickBot="1" x14ac:dyDescent="0.3">
      <c r="A6957" s="551">
        <f t="shared" si="209"/>
        <v>4323</v>
      </c>
      <c r="B6957" s="552" t="s">
        <v>1928</v>
      </c>
      <c r="C6957" s="553" t="s">
        <v>848</v>
      </c>
      <c r="D6957" s="554">
        <v>18.02</v>
      </c>
      <c r="E6957" s="555">
        <v>15.821999999999999</v>
      </c>
      <c r="F6957" s="556" t="s">
        <v>16</v>
      </c>
      <c r="G6957" s="557"/>
      <c r="H6957" s="556" t="s">
        <v>2006</v>
      </c>
      <c r="I6957" s="558" t="s">
        <v>2031</v>
      </c>
      <c r="J6957" s="559"/>
      <c r="K6957" s="556" t="str">
        <f t="shared" si="208"/>
        <v>08,26</v>
      </c>
      <c r="L6957" s="556" t="s">
        <v>266</v>
      </c>
      <c r="M6957" s="556">
        <v>18177.039999999997</v>
      </c>
      <c r="N6957" s="560">
        <v>0.54166666666666663</v>
      </c>
      <c r="O6957" s="897" t="s">
        <v>2010</v>
      </c>
      <c r="P6957" s="867" t="s">
        <v>2057</v>
      </c>
    </row>
    <row r="6958" spans="1:18" ht="19.5" hidden="1" thickBot="1" x14ac:dyDescent="0.3">
      <c r="A6958" s="954">
        <f t="shared" si="209"/>
        <v>4324</v>
      </c>
      <c r="B6958" s="610" t="s">
        <v>1984</v>
      </c>
      <c r="C6958" s="480" t="s">
        <v>26</v>
      </c>
      <c r="D6958" s="481">
        <v>17</v>
      </c>
      <c r="E6958" s="482">
        <v>12.427</v>
      </c>
      <c r="F6958" s="483" t="s">
        <v>16</v>
      </c>
      <c r="G6958" s="899"/>
      <c r="H6958" s="483" t="s">
        <v>2031</v>
      </c>
      <c r="I6958" s="484" t="s">
        <v>2031</v>
      </c>
      <c r="J6958" s="485"/>
      <c r="K6958" s="483" t="str">
        <f t="shared" si="208"/>
        <v>08,26</v>
      </c>
      <c r="L6958" s="483" t="s">
        <v>265</v>
      </c>
      <c r="M6958" s="483">
        <v>17009.400000000001</v>
      </c>
      <c r="N6958" s="486">
        <v>0.375</v>
      </c>
      <c r="O6958" s="897" t="s">
        <v>2032</v>
      </c>
      <c r="P6958" s="867" t="s">
        <v>2089</v>
      </c>
    </row>
    <row r="6959" spans="1:18" ht="19.5" hidden="1" thickBot="1" x14ac:dyDescent="0.3">
      <c r="A6959" s="955"/>
      <c r="B6959" s="792" t="s">
        <v>2031</v>
      </c>
      <c r="C6959" s="793" t="s">
        <v>26</v>
      </c>
      <c r="D6959" s="794">
        <v>2.38</v>
      </c>
      <c r="E6959" s="794">
        <v>2.3860000000000001</v>
      </c>
      <c r="F6959" s="795" t="s">
        <v>16</v>
      </c>
      <c r="G6959" s="903" t="s">
        <v>76</v>
      </c>
      <c r="H6959" s="795" t="s">
        <v>2031</v>
      </c>
      <c r="I6959" s="795" t="s">
        <v>2031</v>
      </c>
      <c r="J6959" s="797"/>
      <c r="K6959" s="795" t="str">
        <f t="shared" si="208"/>
        <v>08,26</v>
      </c>
      <c r="L6959" s="795" t="s">
        <v>265</v>
      </c>
      <c r="M6959" s="795">
        <v>2385</v>
      </c>
      <c r="N6959" s="502">
        <v>0.375</v>
      </c>
      <c r="O6959" s="897" t="s">
        <v>2080</v>
      </c>
      <c r="P6959" s="867" t="s">
        <v>2090</v>
      </c>
    </row>
    <row r="6960" spans="1:18" ht="19.5" hidden="1" thickBot="1" x14ac:dyDescent="0.3">
      <c r="A6960" s="956"/>
      <c r="B6960" s="805" t="s">
        <v>2031</v>
      </c>
      <c r="C6960" s="806" t="s">
        <v>26</v>
      </c>
      <c r="D6960" s="807">
        <v>2.4</v>
      </c>
      <c r="E6960" s="807">
        <v>2.4060000000000001</v>
      </c>
      <c r="F6960" s="808" t="s">
        <v>16</v>
      </c>
      <c r="G6960" s="902" t="s">
        <v>76</v>
      </c>
      <c r="H6960" s="808" t="s">
        <v>2031</v>
      </c>
      <c r="I6960" s="808" t="s">
        <v>2031</v>
      </c>
      <c r="J6960" s="810"/>
      <c r="K6960" s="808" t="str">
        <f t="shared" si="208"/>
        <v>08,26</v>
      </c>
      <c r="L6960" s="808" t="s">
        <v>265</v>
      </c>
      <c r="M6960" s="808">
        <v>2400</v>
      </c>
      <c r="N6960" s="778">
        <v>0.375</v>
      </c>
      <c r="O6960" s="897" t="s">
        <v>2059</v>
      </c>
      <c r="P6960" s="867" t="s">
        <v>2091</v>
      </c>
    </row>
    <row r="6961" spans="1:16" ht="19.5" hidden="1" thickBot="1" x14ac:dyDescent="0.3">
      <c r="A6961" s="957">
        <f>MAX(A6872:A6960)+1</f>
        <v>4325</v>
      </c>
      <c r="B6961" s="759" t="s">
        <v>1984</v>
      </c>
      <c r="C6961" s="532" t="s">
        <v>26</v>
      </c>
      <c r="D6961" s="533">
        <v>17.47</v>
      </c>
      <c r="E6961" s="534">
        <v>12.959</v>
      </c>
      <c r="F6961" s="535" t="s">
        <v>16</v>
      </c>
      <c r="G6961" s="898"/>
      <c r="H6961" s="535" t="s">
        <v>2031</v>
      </c>
      <c r="I6961" s="537" t="s">
        <v>2031</v>
      </c>
      <c r="J6961" s="538"/>
      <c r="K6961" s="535" t="str">
        <f t="shared" si="208"/>
        <v>08,26</v>
      </c>
      <c r="L6961" s="567" t="s">
        <v>265</v>
      </c>
      <c r="M6961" s="567">
        <v>17628.839999999997</v>
      </c>
      <c r="N6961" s="571">
        <v>0.41666666666666669</v>
      </c>
      <c r="O6961" s="897" t="s">
        <v>2033</v>
      </c>
      <c r="P6961" s="867" t="s">
        <v>2060</v>
      </c>
    </row>
    <row r="6962" spans="1:16" ht="19.5" hidden="1" thickBot="1" x14ac:dyDescent="0.3">
      <c r="A6962" s="959"/>
      <c r="B6962" s="798" t="s">
        <v>2006</v>
      </c>
      <c r="C6962" s="799" t="s">
        <v>26</v>
      </c>
      <c r="D6962" s="800">
        <v>4.5999999999999996</v>
      </c>
      <c r="E6962" s="800">
        <v>4.6369999999999996</v>
      </c>
      <c r="F6962" s="801" t="s">
        <v>16</v>
      </c>
      <c r="G6962" s="942" t="s">
        <v>76</v>
      </c>
      <c r="H6962" s="801" t="s">
        <v>2031</v>
      </c>
      <c r="I6962" s="801" t="s">
        <v>2031</v>
      </c>
      <c r="J6962" s="803"/>
      <c r="K6962" s="801" t="str">
        <f t="shared" si="208"/>
        <v>08,26</v>
      </c>
      <c r="L6962" s="801" t="s">
        <v>265</v>
      </c>
      <c r="M6962" s="801">
        <v>4620</v>
      </c>
      <c r="N6962" s="804">
        <v>0.41666666666666669</v>
      </c>
      <c r="O6962" s="897" t="s">
        <v>2055</v>
      </c>
      <c r="P6962" s="867" t="s">
        <v>2061</v>
      </c>
    </row>
    <row r="6963" spans="1:16" x14ac:dyDescent="0.25">
      <c r="A6963" s="954">
        <f>MAX(A6873:A6962)+1</f>
        <v>4326</v>
      </c>
      <c r="B6963" s="479" t="s">
        <v>1984</v>
      </c>
      <c r="C6963" s="480" t="s">
        <v>981</v>
      </c>
      <c r="D6963" s="481">
        <v>4.726</v>
      </c>
      <c r="E6963" s="482">
        <v>4.2030000000000003</v>
      </c>
      <c r="F6963" s="483" t="s">
        <v>16</v>
      </c>
      <c r="G6963" s="549" t="s">
        <v>844</v>
      </c>
      <c r="H6963" s="483" t="s">
        <v>2031</v>
      </c>
      <c r="I6963" s="484" t="s">
        <v>2049</v>
      </c>
      <c r="J6963" s="485"/>
      <c r="K6963" s="479"/>
      <c r="L6963" s="483" t="s">
        <v>266</v>
      </c>
      <c r="M6963" s="483">
        <v>4727.74</v>
      </c>
      <c r="N6963" s="486">
        <v>0.45833333333333331</v>
      </c>
      <c r="O6963" s="897" t="s">
        <v>2036</v>
      </c>
      <c r="P6963" s="867" t="s">
        <v>2092</v>
      </c>
    </row>
    <row r="6964" spans="1:16" x14ac:dyDescent="0.25">
      <c r="A6964" s="955"/>
      <c r="B6964" s="911" t="s">
        <v>1984</v>
      </c>
      <c r="C6964" s="912" t="s">
        <v>981</v>
      </c>
      <c r="D6964" s="913">
        <v>2</v>
      </c>
      <c r="E6964" s="914" t="s">
        <v>1496</v>
      </c>
      <c r="F6964" s="915" t="s">
        <v>16</v>
      </c>
      <c r="G6964" s="916" t="s">
        <v>845</v>
      </c>
      <c r="H6964" s="915" t="s">
        <v>2031</v>
      </c>
      <c r="I6964" s="917" t="s">
        <v>1496</v>
      </c>
      <c r="J6964" s="918"/>
      <c r="K6964" s="911"/>
      <c r="L6964" s="915" t="s">
        <v>266</v>
      </c>
      <c r="M6964" s="915">
        <v>2004.6</v>
      </c>
      <c r="N6964" s="919">
        <v>0.45833333333333331</v>
      </c>
      <c r="O6964" s="920" t="s">
        <v>2035</v>
      </c>
      <c r="P6964" s="921" t="s">
        <v>1024</v>
      </c>
    </row>
    <row r="6965" spans="1:16" x14ac:dyDescent="0.25">
      <c r="A6965" s="955"/>
      <c r="B6965" s="523" t="s">
        <v>1984</v>
      </c>
      <c r="C6965" s="524" t="s">
        <v>41</v>
      </c>
      <c r="D6965" s="525">
        <v>4.5149999999999997</v>
      </c>
      <c r="E6965" s="526">
        <v>2.3849999999999998</v>
      </c>
      <c r="F6965" s="527" t="s">
        <v>16</v>
      </c>
      <c r="G6965" s="561" t="s">
        <v>844</v>
      </c>
      <c r="H6965" s="527" t="s">
        <v>2031</v>
      </c>
      <c r="I6965" s="528" t="s">
        <v>2049</v>
      </c>
      <c r="J6965" s="529"/>
      <c r="K6965" s="523"/>
      <c r="L6965" s="527" t="s">
        <v>266</v>
      </c>
      <c r="M6965" s="527">
        <v>4606.380000000001</v>
      </c>
      <c r="N6965" s="530">
        <v>0.45833333333333331</v>
      </c>
      <c r="O6965" s="897" t="s">
        <v>2039</v>
      </c>
      <c r="P6965" s="867" t="s">
        <v>2118</v>
      </c>
    </row>
    <row r="6966" spans="1:16" x14ac:dyDescent="0.25">
      <c r="A6966" s="955"/>
      <c r="B6966" s="911" t="s">
        <v>1984</v>
      </c>
      <c r="C6966" s="912" t="s">
        <v>41</v>
      </c>
      <c r="D6966" s="913">
        <v>5</v>
      </c>
      <c r="E6966" s="914" t="s">
        <v>1496</v>
      </c>
      <c r="F6966" s="915" t="s">
        <v>16</v>
      </c>
      <c r="G6966" s="916" t="s">
        <v>845</v>
      </c>
      <c r="H6966" s="915" t="s">
        <v>2031</v>
      </c>
      <c r="I6966" s="917" t="s">
        <v>1496</v>
      </c>
      <c r="J6966" s="918"/>
      <c r="K6966" s="911"/>
      <c r="L6966" s="915" t="s">
        <v>266</v>
      </c>
      <c r="M6966" s="915">
        <v>5007.5999999999995</v>
      </c>
      <c r="N6966" s="919">
        <v>0.45833333333333331</v>
      </c>
      <c r="O6966" s="920" t="s">
        <v>2037</v>
      </c>
      <c r="P6966" s="921" t="s">
        <v>1024</v>
      </c>
    </row>
    <row r="6967" spans="1:16" ht="19.5" thickBot="1" x14ac:dyDescent="0.3">
      <c r="A6967" s="956"/>
      <c r="B6967" s="645" t="s">
        <v>1984</v>
      </c>
      <c r="C6967" s="646" t="s">
        <v>32</v>
      </c>
      <c r="D6967" s="647">
        <v>3.9649999999999999</v>
      </c>
      <c r="E6967" s="648">
        <v>4.4029999999999996</v>
      </c>
      <c r="F6967" s="649" t="s">
        <v>16</v>
      </c>
      <c r="G6967" s="650" t="s">
        <v>1702</v>
      </c>
      <c r="H6967" s="649" t="s">
        <v>2031</v>
      </c>
      <c r="I6967" s="651" t="s">
        <v>2049</v>
      </c>
      <c r="J6967" s="652"/>
      <c r="K6967" s="645"/>
      <c r="L6967" s="649" t="s">
        <v>266</v>
      </c>
      <c r="M6967" s="649">
        <v>3968.3</v>
      </c>
      <c r="N6967" s="653">
        <v>0.45833333333333331</v>
      </c>
      <c r="O6967" s="897" t="s">
        <v>2038</v>
      </c>
      <c r="P6967" s="867" t="s">
        <v>2119</v>
      </c>
    </row>
    <row r="6968" spans="1:16" x14ac:dyDescent="0.25">
      <c r="A6968" s="957">
        <f>MAX(A6878:A6967)+1</f>
        <v>4327</v>
      </c>
      <c r="B6968" s="759" t="s">
        <v>1984</v>
      </c>
      <c r="C6968" s="532" t="s">
        <v>26</v>
      </c>
      <c r="D6968" s="533">
        <v>17.405000000000001</v>
      </c>
      <c r="E6968" s="534">
        <v>12.760999999999999</v>
      </c>
      <c r="F6968" s="535" t="s">
        <v>16</v>
      </c>
      <c r="G6968" s="898"/>
      <c r="H6968" s="535" t="s">
        <v>2034</v>
      </c>
      <c r="I6968" s="537" t="s">
        <v>2034</v>
      </c>
      <c r="J6968" s="538"/>
      <c r="K6968" s="563"/>
      <c r="L6968" s="567" t="s">
        <v>265</v>
      </c>
      <c r="M6968" s="567">
        <v>17570.419999999998</v>
      </c>
      <c r="N6968" s="571">
        <v>0.375</v>
      </c>
      <c r="O6968" s="897" t="s">
        <v>2040</v>
      </c>
      <c r="P6968" s="867" t="s">
        <v>2093</v>
      </c>
    </row>
    <row r="6969" spans="1:16" ht="19.5" thickBot="1" x14ac:dyDescent="0.3">
      <c r="A6969" s="959"/>
      <c r="B6969" s="798" t="s">
        <v>2031</v>
      </c>
      <c r="C6969" s="799" t="s">
        <v>26</v>
      </c>
      <c r="D6969" s="800">
        <v>4.4000000000000004</v>
      </c>
      <c r="E6969" s="800">
        <v>4.423</v>
      </c>
      <c r="F6969" s="801" t="s">
        <v>16</v>
      </c>
      <c r="G6969" s="942" t="s">
        <v>76</v>
      </c>
      <c r="H6969" s="801" t="s">
        <v>2034</v>
      </c>
      <c r="I6969" s="801" t="s">
        <v>2034</v>
      </c>
      <c r="J6969" s="803"/>
      <c r="K6969" s="848"/>
      <c r="L6969" s="801" t="s">
        <v>265</v>
      </c>
      <c r="M6969" s="801">
        <v>4422.6000000000004</v>
      </c>
      <c r="N6969" s="804">
        <v>0.375</v>
      </c>
      <c r="O6969" s="897" t="s">
        <v>2081</v>
      </c>
      <c r="P6969" s="867" t="s">
        <v>2094</v>
      </c>
    </row>
    <row r="6970" spans="1:16" x14ac:dyDescent="0.25">
      <c r="A6970" s="954">
        <f>MAX(A6879:A6969)+1</f>
        <v>4328</v>
      </c>
      <c r="B6970" s="479" t="s">
        <v>1984</v>
      </c>
      <c r="C6970" s="480" t="s">
        <v>15</v>
      </c>
      <c r="D6970" s="481">
        <v>4.8869999999999996</v>
      </c>
      <c r="E6970" s="482">
        <v>2.452</v>
      </c>
      <c r="F6970" s="483" t="s">
        <v>16</v>
      </c>
      <c r="G6970" s="549"/>
      <c r="H6970" s="483" t="s">
        <v>2034</v>
      </c>
      <c r="I6970" s="484" t="s">
        <v>2049</v>
      </c>
      <c r="J6970" s="485"/>
      <c r="K6970" s="479"/>
      <c r="L6970" s="483" t="s">
        <v>28</v>
      </c>
      <c r="M6970" s="483">
        <v>5035.8899999999994</v>
      </c>
      <c r="N6970" s="486">
        <v>0.41666666666666669</v>
      </c>
      <c r="O6970" s="897" t="s">
        <v>2041</v>
      </c>
      <c r="P6970" s="867" t="s">
        <v>2105</v>
      </c>
    </row>
    <row r="6971" spans="1:16" x14ac:dyDescent="0.25">
      <c r="A6971" s="955"/>
      <c r="B6971" s="523" t="s">
        <v>1984</v>
      </c>
      <c r="C6971" s="524" t="s">
        <v>24</v>
      </c>
      <c r="D6971" s="525">
        <v>3.7</v>
      </c>
      <c r="E6971" s="526">
        <v>2.4820000000000002</v>
      </c>
      <c r="F6971" s="527" t="s">
        <v>16</v>
      </c>
      <c r="G6971" s="561"/>
      <c r="H6971" s="527" t="s">
        <v>2034</v>
      </c>
      <c r="I6971" s="528" t="s">
        <v>2049</v>
      </c>
      <c r="J6971" s="529"/>
      <c r="K6971" s="523"/>
      <c r="L6971" s="527" t="s">
        <v>28</v>
      </c>
      <c r="M6971" s="527">
        <v>3810.32</v>
      </c>
      <c r="N6971" s="530">
        <v>0.41666666666666669</v>
      </c>
      <c r="O6971" s="897" t="s">
        <v>2043</v>
      </c>
      <c r="P6971" s="867" t="s">
        <v>2106</v>
      </c>
    </row>
    <row r="6972" spans="1:16" x14ac:dyDescent="0.25">
      <c r="A6972" s="955"/>
      <c r="B6972" s="523" t="s">
        <v>1984</v>
      </c>
      <c r="C6972" s="524" t="s">
        <v>764</v>
      </c>
      <c r="D6972" s="525">
        <v>9.1</v>
      </c>
      <c r="E6972" s="526">
        <v>8.8829999999999991</v>
      </c>
      <c r="F6972" s="527" t="s">
        <v>16</v>
      </c>
      <c r="G6972" s="561"/>
      <c r="H6972" s="527" t="s">
        <v>2034</v>
      </c>
      <c r="I6972" s="528" t="s">
        <v>2049</v>
      </c>
      <c r="J6972" s="529"/>
      <c r="K6972" s="523"/>
      <c r="L6972" s="527" t="s">
        <v>28</v>
      </c>
      <c r="M6972" s="527">
        <v>9153.0000000000018</v>
      </c>
      <c r="N6972" s="530">
        <v>0.41666666666666669</v>
      </c>
      <c r="O6972" s="897" t="s">
        <v>2042</v>
      </c>
      <c r="P6972" s="867" t="s">
        <v>2107</v>
      </c>
    </row>
    <row r="6973" spans="1:16" x14ac:dyDescent="0.25">
      <c r="A6973" s="955"/>
      <c r="B6973" s="945" t="s">
        <v>2034</v>
      </c>
      <c r="C6973" s="946" t="s">
        <v>15</v>
      </c>
      <c r="D6973" s="947">
        <v>1.26</v>
      </c>
      <c r="E6973" s="947">
        <v>1.3</v>
      </c>
      <c r="F6973" s="948" t="s">
        <v>16</v>
      </c>
      <c r="G6973" s="949" t="s">
        <v>76</v>
      </c>
      <c r="H6973" s="948" t="s">
        <v>2034</v>
      </c>
      <c r="I6973" s="948" t="s">
        <v>2049</v>
      </c>
      <c r="J6973" s="950"/>
      <c r="K6973" s="945"/>
      <c r="L6973" s="948" t="s">
        <v>28</v>
      </c>
      <c r="M6973" s="948">
        <v>1292.28</v>
      </c>
      <c r="N6973" s="530">
        <v>0.41666666666666669</v>
      </c>
      <c r="O6973" s="897" t="s">
        <v>2083</v>
      </c>
      <c r="P6973" s="867" t="s">
        <v>2108</v>
      </c>
    </row>
    <row r="6974" spans="1:16" ht="19.5" thickBot="1" x14ac:dyDescent="0.3">
      <c r="A6974" s="956"/>
      <c r="B6974" s="859" t="s">
        <v>2034</v>
      </c>
      <c r="C6974" s="854" t="s">
        <v>24</v>
      </c>
      <c r="D6974" s="855">
        <v>2.34</v>
      </c>
      <c r="E6974" s="855">
        <v>2.3690000000000002</v>
      </c>
      <c r="F6974" s="856" t="s">
        <v>16</v>
      </c>
      <c r="G6974" s="857" t="s">
        <v>76</v>
      </c>
      <c r="H6974" s="856" t="s">
        <v>2034</v>
      </c>
      <c r="I6974" s="856" t="s">
        <v>2049</v>
      </c>
      <c r="J6974" s="858"/>
      <c r="K6974" s="859"/>
      <c r="L6974" s="856" t="s">
        <v>28</v>
      </c>
      <c r="M6974" s="856">
        <v>2369.1600000000003</v>
      </c>
      <c r="N6974" s="653">
        <v>0.41666666666666669</v>
      </c>
      <c r="O6974" s="897" t="s">
        <v>2082</v>
      </c>
      <c r="P6974" s="867" t="s">
        <v>2109</v>
      </c>
    </row>
    <row r="6975" spans="1:16" ht="56.25" x14ac:dyDescent="0.25">
      <c r="A6975" s="966">
        <f>MAX(A6882:A6974)+1</f>
        <v>4329</v>
      </c>
      <c r="B6975" s="531" t="s">
        <v>1984</v>
      </c>
      <c r="C6975" s="532" t="s">
        <v>587</v>
      </c>
      <c r="D6975" s="533">
        <v>0.59299999999999997</v>
      </c>
      <c r="E6975" s="534">
        <v>0.45100000000000001</v>
      </c>
      <c r="F6975" s="535" t="s">
        <v>16</v>
      </c>
      <c r="G6975" s="536" t="s">
        <v>794</v>
      </c>
      <c r="H6975" s="535" t="s">
        <v>2034</v>
      </c>
      <c r="I6975" s="537" t="s">
        <v>2034</v>
      </c>
      <c r="J6975" s="538"/>
      <c r="K6975" s="531"/>
      <c r="L6975" s="535" t="s">
        <v>28</v>
      </c>
      <c r="M6975" s="535">
        <v>593.28</v>
      </c>
      <c r="N6975" s="539">
        <v>0.45833333333333331</v>
      </c>
      <c r="O6975" s="897" t="s">
        <v>2045</v>
      </c>
      <c r="P6975" s="867" t="s">
        <v>2100</v>
      </c>
    </row>
    <row r="6976" spans="1:16" x14ac:dyDescent="0.25">
      <c r="A6976" s="967"/>
      <c r="B6976" s="563" t="s">
        <v>1984</v>
      </c>
      <c r="C6976" s="564" t="s">
        <v>587</v>
      </c>
      <c r="D6976" s="565">
        <v>8.36</v>
      </c>
      <c r="E6976" s="566">
        <v>6.992</v>
      </c>
      <c r="F6976" s="567" t="s">
        <v>16</v>
      </c>
      <c r="G6976" s="568" t="s">
        <v>47</v>
      </c>
      <c r="H6976" s="567" t="s">
        <v>2034</v>
      </c>
      <c r="I6976" s="569" t="s">
        <v>2034</v>
      </c>
      <c r="J6976" s="570"/>
      <c r="K6976" s="563"/>
      <c r="L6976" s="567" t="s">
        <v>28</v>
      </c>
      <c r="M6976" s="567">
        <v>8360.8799999999992</v>
      </c>
      <c r="N6976" s="571">
        <v>0.45833333333333331</v>
      </c>
      <c r="O6976" s="897" t="s">
        <v>2046</v>
      </c>
      <c r="P6976" s="867" t="s">
        <v>2101</v>
      </c>
    </row>
    <row r="6977" spans="1:16" x14ac:dyDescent="0.25">
      <c r="A6977" s="967"/>
      <c r="B6977" s="563" t="s">
        <v>1984</v>
      </c>
      <c r="C6977" s="564" t="s">
        <v>47</v>
      </c>
      <c r="D6977" s="565">
        <v>8.7309999999999999</v>
      </c>
      <c r="E6977" s="566">
        <v>5.6429999999999998</v>
      </c>
      <c r="F6977" s="567" t="s">
        <v>16</v>
      </c>
      <c r="G6977" s="568"/>
      <c r="H6977" s="567" t="s">
        <v>2034</v>
      </c>
      <c r="I6977" s="569" t="s">
        <v>2034</v>
      </c>
      <c r="J6977" s="570"/>
      <c r="K6977" s="563"/>
      <c r="L6977" s="567" t="s">
        <v>28</v>
      </c>
      <c r="M6977" s="567">
        <v>8891.89</v>
      </c>
      <c r="N6977" s="571">
        <v>0.45833333333333331</v>
      </c>
      <c r="O6977" s="897" t="s">
        <v>2044</v>
      </c>
      <c r="P6977" s="867" t="s">
        <v>2102</v>
      </c>
    </row>
    <row r="6978" spans="1:16" ht="19.5" thickBot="1" x14ac:dyDescent="0.3">
      <c r="A6978" s="967"/>
      <c r="B6978" s="836" t="s">
        <v>2034</v>
      </c>
      <c r="C6978" s="837" t="s">
        <v>47</v>
      </c>
      <c r="D6978" s="838">
        <v>2.85</v>
      </c>
      <c r="E6978" s="838">
        <v>2.8980000000000001</v>
      </c>
      <c r="F6978" s="839" t="s">
        <v>16</v>
      </c>
      <c r="G6978" s="850" t="s">
        <v>76</v>
      </c>
      <c r="H6978" s="839" t="s">
        <v>2034</v>
      </c>
      <c r="I6978" s="839" t="s">
        <v>2034</v>
      </c>
      <c r="J6978" s="840"/>
      <c r="K6978" s="836"/>
      <c r="L6978" s="839" t="s">
        <v>28</v>
      </c>
      <c r="M6978" s="839">
        <v>2878.02</v>
      </c>
      <c r="N6978" s="598">
        <v>0.45833333333333331</v>
      </c>
      <c r="O6978" s="897" t="s">
        <v>2085</v>
      </c>
      <c r="P6978" s="867" t="s">
        <v>2103</v>
      </c>
    </row>
    <row r="6979" spans="1:16" ht="19.5" thickBot="1" x14ac:dyDescent="0.3">
      <c r="A6979" s="513">
        <f>MAX(A6885:A6978)+1</f>
        <v>4330</v>
      </c>
      <c r="B6979" s="514" t="s">
        <v>2006</v>
      </c>
      <c r="C6979" s="515" t="s">
        <v>26</v>
      </c>
      <c r="D6979" s="516">
        <v>14.669</v>
      </c>
      <c r="E6979" s="517">
        <v>14.669</v>
      </c>
      <c r="F6979" s="518" t="s">
        <v>30</v>
      </c>
      <c r="G6979" s="519"/>
      <c r="H6979" s="518" t="s">
        <v>2034</v>
      </c>
      <c r="I6979" s="520" t="s">
        <v>2034</v>
      </c>
      <c r="J6979" s="521"/>
      <c r="K6979" s="514"/>
      <c r="L6979" s="518" t="s">
        <v>265</v>
      </c>
      <c r="M6979" s="518">
        <v>14669.72</v>
      </c>
      <c r="N6979" s="522">
        <v>0.375</v>
      </c>
      <c r="O6979" s="897" t="s">
        <v>2050</v>
      </c>
      <c r="P6979" s="867" t="s">
        <v>2095</v>
      </c>
    </row>
    <row r="6980" spans="1:16" ht="19.5" thickBot="1" x14ac:dyDescent="0.3">
      <c r="A6980" s="503">
        <f>MAX(A6886:A6979)+1</f>
        <v>4331</v>
      </c>
      <c r="B6980" s="504" t="s">
        <v>2006</v>
      </c>
      <c r="C6980" s="505" t="s">
        <v>32</v>
      </c>
      <c r="D6980" s="506">
        <v>17.5</v>
      </c>
      <c r="E6980" s="507"/>
      <c r="F6980" s="508" t="s">
        <v>16</v>
      </c>
      <c r="G6980" s="509"/>
      <c r="H6980" s="508" t="s">
        <v>2034</v>
      </c>
      <c r="I6980" s="510"/>
      <c r="J6980" s="511"/>
      <c r="K6980" s="504"/>
      <c r="L6980" s="508" t="s">
        <v>266</v>
      </c>
      <c r="M6980" s="508">
        <v>17503.2</v>
      </c>
      <c r="N6980" s="512">
        <v>0.5</v>
      </c>
      <c r="O6980" s="897" t="s">
        <v>2052</v>
      </c>
    </row>
    <row r="6981" spans="1:16" x14ac:dyDescent="0.25">
      <c r="A6981" s="954">
        <f>MAX(A6887:A6980)+1</f>
        <v>4332</v>
      </c>
      <c r="B6981" s="479" t="s">
        <v>2006</v>
      </c>
      <c r="C6981" s="480" t="s">
        <v>26</v>
      </c>
      <c r="D6981" s="481">
        <v>15.587</v>
      </c>
      <c r="E6981" s="482">
        <v>10.817</v>
      </c>
      <c r="F6981" s="483" t="s">
        <v>16</v>
      </c>
      <c r="G6981" s="549"/>
      <c r="H6981" s="483" t="s">
        <v>2049</v>
      </c>
      <c r="I6981" s="484" t="s">
        <v>2049</v>
      </c>
      <c r="J6981" s="485"/>
      <c r="K6981" s="479"/>
      <c r="L6981" s="483" t="s">
        <v>265</v>
      </c>
      <c r="M6981" s="483">
        <v>15744.24</v>
      </c>
      <c r="N6981" s="486">
        <v>0.375</v>
      </c>
      <c r="O6981" s="897" t="s">
        <v>2053</v>
      </c>
      <c r="P6981" s="867" t="s">
        <v>2097</v>
      </c>
    </row>
    <row r="6982" spans="1:16" x14ac:dyDescent="0.25">
      <c r="A6982" s="955"/>
      <c r="B6982" s="523" t="s">
        <v>2006</v>
      </c>
      <c r="C6982" s="524" t="s">
        <v>952</v>
      </c>
      <c r="D6982" s="525">
        <v>1.8919999999999999</v>
      </c>
      <c r="E6982" s="526">
        <v>1.464</v>
      </c>
      <c r="F6982" s="527" t="s">
        <v>16</v>
      </c>
      <c r="G6982" s="561"/>
      <c r="H6982" s="527" t="s">
        <v>2049</v>
      </c>
      <c r="I6982" s="528" t="s">
        <v>2049</v>
      </c>
      <c r="J6982" s="529"/>
      <c r="K6982" s="523"/>
      <c r="L6982" s="527" t="s">
        <v>265</v>
      </c>
      <c r="M6982" s="527">
        <v>1968.0600000000002</v>
      </c>
      <c r="N6982" s="530">
        <v>0.375</v>
      </c>
      <c r="O6982" s="897" t="s">
        <v>2051</v>
      </c>
      <c r="P6982" s="867" t="s">
        <v>2096</v>
      </c>
    </row>
    <row r="6983" spans="1:16" x14ac:dyDescent="0.25">
      <c r="A6983" s="955"/>
      <c r="B6983" s="945" t="s">
        <v>2049</v>
      </c>
      <c r="C6983" s="946" t="s">
        <v>26</v>
      </c>
      <c r="D6983" s="947">
        <v>1.85</v>
      </c>
      <c r="E6983" s="947">
        <v>1.869</v>
      </c>
      <c r="F6983" s="948" t="s">
        <v>16</v>
      </c>
      <c r="G6983" s="949" t="s">
        <v>76</v>
      </c>
      <c r="H6983" s="948" t="s">
        <v>2049</v>
      </c>
      <c r="I6983" s="948" t="s">
        <v>2049</v>
      </c>
      <c r="J6983" s="950"/>
      <c r="K6983" s="945"/>
      <c r="L6983" s="948" t="s">
        <v>265</v>
      </c>
      <c r="M6983" s="948">
        <v>1860</v>
      </c>
      <c r="N6983" s="530">
        <v>0.375</v>
      </c>
      <c r="O6983" s="897" t="s">
        <v>2088</v>
      </c>
      <c r="P6983" s="867" t="s">
        <v>2098</v>
      </c>
    </row>
    <row r="6984" spans="1:16" ht="19.5" thickBot="1" x14ac:dyDescent="0.3">
      <c r="A6984" s="956"/>
      <c r="B6984" s="859" t="s">
        <v>2034</v>
      </c>
      <c r="C6984" s="854" t="s">
        <v>26</v>
      </c>
      <c r="D6984" s="855">
        <v>3.6</v>
      </c>
      <c r="E6984" s="855">
        <v>3.62</v>
      </c>
      <c r="F6984" s="856" t="s">
        <v>16</v>
      </c>
      <c r="G6984" s="857" t="s">
        <v>76</v>
      </c>
      <c r="H6984" s="856" t="s">
        <v>2049</v>
      </c>
      <c r="I6984" s="856" t="s">
        <v>2049</v>
      </c>
      <c r="J6984" s="858"/>
      <c r="K6984" s="859"/>
      <c r="L6984" s="856" t="s">
        <v>265</v>
      </c>
      <c r="M6984" s="856">
        <v>3615.3</v>
      </c>
      <c r="N6984" s="653">
        <v>0.375</v>
      </c>
      <c r="O6984" s="897" t="s">
        <v>2086</v>
      </c>
      <c r="P6984" s="867" t="s">
        <v>2099</v>
      </c>
    </row>
    <row r="6985" spans="1:16" x14ac:dyDescent="0.25">
      <c r="A6985" s="957">
        <f>MAX(A6889:A6984)+1</f>
        <v>4333</v>
      </c>
      <c r="B6985" s="759" t="s">
        <v>2006</v>
      </c>
      <c r="C6985" s="532" t="s">
        <v>23</v>
      </c>
      <c r="D6985" s="533">
        <v>17.716999999999999</v>
      </c>
      <c r="E6985" s="534">
        <v>16.302</v>
      </c>
      <c r="F6985" s="535" t="s">
        <v>16</v>
      </c>
      <c r="G6985" s="898"/>
      <c r="H6985" s="535" t="s">
        <v>2049</v>
      </c>
      <c r="I6985" s="537" t="s">
        <v>2067</v>
      </c>
      <c r="J6985" s="538"/>
      <c r="K6985" s="563"/>
      <c r="L6985" s="567" t="s">
        <v>28</v>
      </c>
      <c r="M6985" s="567">
        <v>17859.079999999998</v>
      </c>
      <c r="N6985" s="571">
        <v>0.41666666666666669</v>
      </c>
      <c r="O6985" s="897" t="s">
        <v>2054</v>
      </c>
      <c r="P6985" s="867" t="s">
        <v>2110</v>
      </c>
    </row>
    <row r="6986" spans="1:16" ht="19.5" thickBot="1" x14ac:dyDescent="0.3">
      <c r="A6986" s="959"/>
      <c r="B6986" s="798" t="s">
        <v>2049</v>
      </c>
      <c r="C6986" s="799" t="s">
        <v>23</v>
      </c>
      <c r="D6986" s="800">
        <v>1.48</v>
      </c>
      <c r="E6986" s="800">
        <v>1.5149999999999999</v>
      </c>
      <c r="F6986" s="801" t="s">
        <v>16</v>
      </c>
      <c r="G6986" s="942" t="s">
        <v>76</v>
      </c>
      <c r="H6986" s="801" t="s">
        <v>2049</v>
      </c>
      <c r="I6986" s="801" t="s">
        <v>2067</v>
      </c>
      <c r="J6986" s="803"/>
      <c r="K6986" s="848"/>
      <c r="L6986" s="801" t="s">
        <v>28</v>
      </c>
      <c r="M6986" s="801">
        <v>1497.6</v>
      </c>
      <c r="N6986" s="804">
        <v>0.41666666666666669</v>
      </c>
      <c r="O6986" s="897" t="s">
        <v>2087</v>
      </c>
      <c r="P6986" s="867" t="s">
        <v>2111</v>
      </c>
    </row>
    <row r="6987" spans="1:16" x14ac:dyDescent="0.25">
      <c r="A6987" s="954">
        <f>MAX(A6890:A6986)+1</f>
        <v>4334</v>
      </c>
      <c r="B6987" s="479" t="s">
        <v>2031</v>
      </c>
      <c r="C6987" s="480" t="s">
        <v>667</v>
      </c>
      <c r="D6987" s="481">
        <v>3.2759999999999998</v>
      </c>
      <c r="E6987" s="482">
        <v>3.2759999999999998</v>
      </c>
      <c r="F6987" s="483" t="s">
        <v>30</v>
      </c>
      <c r="G6987" s="549"/>
      <c r="H6987" s="483" t="s">
        <v>2049</v>
      </c>
      <c r="I6987" s="484" t="s">
        <v>2067</v>
      </c>
      <c r="J6987" s="485"/>
      <c r="K6987" s="479"/>
      <c r="L6987" s="483" t="s">
        <v>28</v>
      </c>
      <c r="M6987" s="483">
        <v>3276.3599999999997</v>
      </c>
      <c r="N6987" s="486">
        <v>0.41666666666666669</v>
      </c>
      <c r="O6987" s="897" t="s">
        <v>2063</v>
      </c>
      <c r="P6987" s="867" t="s">
        <v>2131</v>
      </c>
    </row>
    <row r="6988" spans="1:16" ht="19.5" thickBot="1" x14ac:dyDescent="0.3">
      <c r="A6988" s="956"/>
      <c r="B6988" s="645" t="s">
        <v>2031</v>
      </c>
      <c r="C6988" s="646" t="s">
        <v>764</v>
      </c>
      <c r="D6988" s="647">
        <v>6.9630000000000001</v>
      </c>
      <c r="E6988" s="648">
        <v>6.9630000000000001</v>
      </c>
      <c r="F6988" s="649" t="s">
        <v>30</v>
      </c>
      <c r="G6988" s="650"/>
      <c r="H6988" s="649" t="s">
        <v>2049</v>
      </c>
      <c r="I6988" s="651" t="s">
        <v>2067</v>
      </c>
      <c r="J6988" s="652"/>
      <c r="K6988" s="645"/>
      <c r="L6988" s="649" t="s">
        <v>28</v>
      </c>
      <c r="M6988" s="649">
        <v>6962.9999999999991</v>
      </c>
      <c r="N6988" s="653">
        <v>0.41666666666666669</v>
      </c>
      <c r="O6988" s="897" t="s">
        <v>2062</v>
      </c>
      <c r="P6988" s="867" t="s">
        <v>2132</v>
      </c>
    </row>
    <row r="6989" spans="1:16" x14ac:dyDescent="0.25">
      <c r="A6989" s="966">
        <f>MAX(A6892:A6988)+1</f>
        <v>4335</v>
      </c>
      <c r="B6989" s="531" t="s">
        <v>2031</v>
      </c>
      <c r="C6989" s="532" t="s">
        <v>840</v>
      </c>
      <c r="D6989" s="533">
        <v>9.0020000000000007</v>
      </c>
      <c r="E6989" s="534">
        <v>8.0809999999999995</v>
      </c>
      <c r="F6989" s="535" t="s">
        <v>16</v>
      </c>
      <c r="G6989" s="536" t="s">
        <v>844</v>
      </c>
      <c r="H6989" s="535" t="s">
        <v>2049</v>
      </c>
      <c r="I6989" s="537" t="s">
        <v>2068</v>
      </c>
      <c r="J6989" s="538"/>
      <c r="K6989" s="531"/>
      <c r="L6989" s="535" t="s">
        <v>266</v>
      </c>
      <c r="M6989" s="535">
        <v>9082.1999999999989</v>
      </c>
      <c r="N6989" s="539">
        <v>0.45833333333333331</v>
      </c>
      <c r="O6989" s="897" t="s">
        <v>2065</v>
      </c>
      <c r="P6989" s="867" t="s">
        <v>2138</v>
      </c>
    </row>
    <row r="6990" spans="1:16" x14ac:dyDescent="0.25">
      <c r="A6990" s="967"/>
      <c r="B6990" s="911" t="s">
        <v>2031</v>
      </c>
      <c r="C6990" s="912" t="s">
        <v>840</v>
      </c>
      <c r="D6990" s="913">
        <v>5</v>
      </c>
      <c r="E6990" s="914" t="s">
        <v>1496</v>
      </c>
      <c r="F6990" s="915" t="s">
        <v>16</v>
      </c>
      <c r="G6990" s="916" t="s">
        <v>845</v>
      </c>
      <c r="H6990" s="915" t="s">
        <v>2049</v>
      </c>
      <c r="I6990" s="917" t="s">
        <v>1496</v>
      </c>
      <c r="J6990" s="918"/>
      <c r="K6990" s="911"/>
      <c r="L6990" s="915" t="s">
        <v>266</v>
      </c>
      <c r="M6990" s="915">
        <v>5004</v>
      </c>
      <c r="N6990" s="919">
        <v>0.45833333333333331</v>
      </c>
      <c r="O6990" s="920" t="s">
        <v>2066</v>
      </c>
      <c r="P6990" s="921" t="s">
        <v>1024</v>
      </c>
    </row>
    <row r="6991" spans="1:16" ht="19.5" thickBot="1" x14ac:dyDescent="0.3">
      <c r="A6991" s="968"/>
      <c r="B6991" s="636" t="s">
        <v>2031</v>
      </c>
      <c r="C6991" s="637" t="s">
        <v>480</v>
      </c>
      <c r="D6991" s="638">
        <v>8.84</v>
      </c>
      <c r="E6991" s="639">
        <v>6.0350000000000001</v>
      </c>
      <c r="F6991" s="640" t="s">
        <v>16</v>
      </c>
      <c r="G6991" s="641"/>
      <c r="H6991" s="640" t="s">
        <v>2049</v>
      </c>
      <c r="I6991" s="642" t="s">
        <v>2068</v>
      </c>
      <c r="J6991" s="643"/>
      <c r="K6991" s="636"/>
      <c r="L6991" s="640" t="s">
        <v>266</v>
      </c>
      <c r="M6991" s="640">
        <v>8964.15</v>
      </c>
      <c r="N6991" s="644">
        <v>0.45833333333333331</v>
      </c>
      <c r="O6991" s="897" t="s">
        <v>2064</v>
      </c>
      <c r="P6991" s="867" t="s">
        <v>2139</v>
      </c>
    </row>
    <row r="6992" spans="1:16" x14ac:dyDescent="0.25">
      <c r="A6992" s="954">
        <f>MAX(A6895:A6991)+1</f>
        <v>4336</v>
      </c>
      <c r="B6992" s="479" t="s">
        <v>2031</v>
      </c>
      <c r="C6992" s="480" t="s">
        <v>26</v>
      </c>
      <c r="D6992" s="481">
        <v>11.048999999999999</v>
      </c>
      <c r="E6992" s="482">
        <v>8.7330000000000005</v>
      </c>
      <c r="F6992" s="483" t="s">
        <v>16</v>
      </c>
      <c r="G6992" s="549"/>
      <c r="H6992" s="483" t="s">
        <v>2067</v>
      </c>
      <c r="I6992" s="484" t="s">
        <v>2067</v>
      </c>
      <c r="J6992" s="485"/>
      <c r="K6992" s="479"/>
      <c r="L6992" s="483" t="s">
        <v>265</v>
      </c>
      <c r="M6992" s="483">
        <v>11215.979999999998</v>
      </c>
      <c r="N6992" s="486">
        <v>0.375</v>
      </c>
      <c r="O6992" s="897" t="s">
        <v>2070</v>
      </c>
      <c r="P6992" s="867" t="s">
        <v>2140</v>
      </c>
    </row>
    <row r="6993" spans="1:18" x14ac:dyDescent="0.25">
      <c r="A6993" s="955"/>
      <c r="B6993" s="523" t="s">
        <v>2031</v>
      </c>
      <c r="C6993" s="524" t="s">
        <v>1358</v>
      </c>
      <c r="D6993" s="525">
        <v>4.5359999999999996</v>
      </c>
      <c r="E6993" s="526">
        <v>3.8250000000000002</v>
      </c>
      <c r="F6993" s="527" t="s">
        <v>16</v>
      </c>
      <c r="G6993" s="561" t="s">
        <v>844</v>
      </c>
      <c r="H6993" s="527" t="s">
        <v>2067</v>
      </c>
      <c r="I6993" s="528" t="s">
        <v>2067</v>
      </c>
      <c r="J6993" s="529"/>
      <c r="K6993" s="523"/>
      <c r="L6993" s="527" t="s">
        <v>265</v>
      </c>
      <c r="M6993" s="527">
        <v>4649.4599999999991</v>
      </c>
      <c r="N6993" s="530">
        <v>0.375</v>
      </c>
      <c r="O6993" s="897" t="s">
        <v>2071</v>
      </c>
      <c r="P6993" s="867" t="s">
        <v>2141</v>
      </c>
    </row>
    <row r="6994" spans="1:18" x14ac:dyDescent="0.25">
      <c r="A6994" s="955"/>
      <c r="B6994" s="523" t="s">
        <v>2031</v>
      </c>
      <c r="C6994" s="524" t="s">
        <v>1358</v>
      </c>
      <c r="D6994" s="525">
        <v>1.764</v>
      </c>
      <c r="E6994" s="526">
        <v>1.3819999999999999</v>
      </c>
      <c r="F6994" s="527" t="s">
        <v>16</v>
      </c>
      <c r="G6994" s="561" t="s">
        <v>845</v>
      </c>
      <c r="H6994" s="527" t="s">
        <v>2067</v>
      </c>
      <c r="I6994" s="528" t="s">
        <v>2067</v>
      </c>
      <c r="J6994" s="529"/>
      <c r="K6994" s="523"/>
      <c r="L6994" s="527" t="s">
        <v>265</v>
      </c>
      <c r="M6994" s="527">
        <v>1850.04</v>
      </c>
      <c r="N6994" s="530">
        <v>0.375</v>
      </c>
      <c r="O6994" s="897" t="s">
        <v>2072</v>
      </c>
      <c r="P6994" s="834" t="s">
        <v>2142</v>
      </c>
    </row>
    <row r="6995" spans="1:18" ht="19.5" thickBot="1" x14ac:dyDescent="0.3">
      <c r="A6995" s="956"/>
      <c r="B6995" s="859" t="s">
        <v>2049</v>
      </c>
      <c r="C6995" s="854" t="s">
        <v>26</v>
      </c>
      <c r="D6995" s="855">
        <v>3.75</v>
      </c>
      <c r="E6995" s="855">
        <v>3.782</v>
      </c>
      <c r="F6995" s="856" t="s">
        <v>16</v>
      </c>
      <c r="G6995" s="857" t="s">
        <v>76</v>
      </c>
      <c r="H6995" s="856" t="s">
        <v>2067</v>
      </c>
      <c r="I6995" s="856" t="s">
        <v>2067</v>
      </c>
      <c r="J6995" s="858"/>
      <c r="K6995" s="859"/>
      <c r="L6995" s="856" t="s">
        <v>265</v>
      </c>
      <c r="M6995" s="856">
        <v>3750</v>
      </c>
      <c r="N6995" s="653">
        <v>0.375</v>
      </c>
      <c r="O6995" s="897" t="s">
        <v>2128</v>
      </c>
      <c r="P6995" s="867" t="s">
        <v>2143</v>
      </c>
    </row>
    <row r="6996" spans="1:18" x14ac:dyDescent="0.25">
      <c r="A6996" s="957">
        <f>MAX(A6898:A6995)+1</f>
        <v>4337</v>
      </c>
      <c r="B6996" s="759" t="s">
        <v>2031</v>
      </c>
      <c r="C6996" s="532" t="s">
        <v>26</v>
      </c>
      <c r="D6996" s="533">
        <v>17.388000000000002</v>
      </c>
      <c r="E6996" s="534">
        <v>13.606999999999999</v>
      </c>
      <c r="F6996" s="535" t="s">
        <v>16</v>
      </c>
      <c r="G6996" s="898"/>
      <c r="H6996" s="535" t="s">
        <v>2067</v>
      </c>
      <c r="I6996" s="537" t="s">
        <v>2067</v>
      </c>
      <c r="J6996" s="538"/>
      <c r="K6996" s="563"/>
      <c r="L6996" s="567" t="s">
        <v>265</v>
      </c>
      <c r="M6996" s="567">
        <v>17547.560000000001</v>
      </c>
      <c r="N6996" s="571">
        <v>0.41666666666666669</v>
      </c>
      <c r="O6996" s="897" t="s">
        <v>2079</v>
      </c>
      <c r="P6996" s="867" t="s">
        <v>2135</v>
      </c>
    </row>
    <row r="6997" spans="1:18" x14ac:dyDescent="0.25">
      <c r="A6997" s="958"/>
      <c r="B6997" s="852" t="s">
        <v>2067</v>
      </c>
      <c r="C6997" s="837" t="s">
        <v>26</v>
      </c>
      <c r="D6997" s="838">
        <v>1.9</v>
      </c>
      <c r="E6997" s="838">
        <v>1.9119999999999999</v>
      </c>
      <c r="F6997" s="839" t="s">
        <v>16</v>
      </c>
      <c r="G6997" s="951" t="s">
        <v>76</v>
      </c>
      <c r="H6997" s="839" t="s">
        <v>2067</v>
      </c>
      <c r="I6997" s="839" t="s">
        <v>2067</v>
      </c>
      <c r="J6997" s="840"/>
      <c r="K6997" s="836"/>
      <c r="L6997" s="839" t="s">
        <v>265</v>
      </c>
      <c r="M6997" s="839">
        <v>1905</v>
      </c>
      <c r="N6997" s="598">
        <v>0.41666666666666669</v>
      </c>
      <c r="O6997" s="897" t="s">
        <v>2115</v>
      </c>
      <c r="P6997" s="867" t="s">
        <v>2136</v>
      </c>
    </row>
    <row r="6998" spans="1:18" ht="19.5" thickBot="1" x14ac:dyDescent="0.3">
      <c r="A6998" s="959"/>
      <c r="B6998" s="798" t="s">
        <v>2049</v>
      </c>
      <c r="C6998" s="799" t="s">
        <v>26</v>
      </c>
      <c r="D6998" s="800">
        <v>1.85</v>
      </c>
      <c r="E6998" s="800">
        <v>1.8680000000000001</v>
      </c>
      <c r="F6998" s="801" t="s">
        <v>16</v>
      </c>
      <c r="G6998" s="942" t="s">
        <v>76</v>
      </c>
      <c r="H6998" s="801" t="s">
        <v>2067</v>
      </c>
      <c r="I6998" s="801" t="s">
        <v>2067</v>
      </c>
      <c r="J6998" s="803"/>
      <c r="K6998" s="848"/>
      <c r="L6998" s="801" t="s">
        <v>265</v>
      </c>
      <c r="M6998" s="801">
        <v>1860</v>
      </c>
      <c r="N6998" s="804">
        <v>0.41666666666666669</v>
      </c>
      <c r="O6998" s="897" t="s">
        <v>2114</v>
      </c>
      <c r="P6998" s="867" t="s">
        <v>2137</v>
      </c>
    </row>
    <row r="6999" spans="1:18" ht="18.75" customHeight="1" x14ac:dyDescent="0.25">
      <c r="A6999" s="960">
        <f>MAX(A6899:A6998)+1</f>
        <v>4338</v>
      </c>
      <c r="B6999" s="610" t="s">
        <v>2031</v>
      </c>
      <c r="C6999" s="480" t="s">
        <v>15</v>
      </c>
      <c r="D6999" s="481">
        <v>8.4060000000000006</v>
      </c>
      <c r="E6999" s="482">
        <v>6.5730000000000004</v>
      </c>
      <c r="F6999" s="483" t="s">
        <v>16</v>
      </c>
      <c r="G6999" s="963" t="s">
        <v>1633</v>
      </c>
      <c r="H6999" s="483" t="s">
        <v>2067</v>
      </c>
      <c r="I6999" s="484" t="s">
        <v>2068</v>
      </c>
      <c r="J6999" s="485"/>
      <c r="K6999" s="479"/>
      <c r="L6999" s="483" t="s">
        <v>28</v>
      </c>
      <c r="M6999" s="483">
        <v>8593.130000000001</v>
      </c>
      <c r="N6999" s="486">
        <v>0.45833333333333331</v>
      </c>
      <c r="O6999" s="897" t="s">
        <v>2073</v>
      </c>
      <c r="P6999" s="867" t="s">
        <v>2154</v>
      </c>
      <c r="R6999" s="943"/>
    </row>
    <row r="7000" spans="1:18" x14ac:dyDescent="0.25">
      <c r="A7000" s="961"/>
      <c r="B7000" s="769" t="s">
        <v>2031</v>
      </c>
      <c r="C7000" s="764" t="s">
        <v>24</v>
      </c>
      <c r="D7000" s="765">
        <v>8.3030000000000008</v>
      </c>
      <c r="E7000" s="766">
        <v>5.9240000000000004</v>
      </c>
      <c r="F7000" s="763" t="s">
        <v>16</v>
      </c>
      <c r="G7000" s="964"/>
      <c r="H7000" s="763" t="s">
        <v>2067</v>
      </c>
      <c r="I7000" s="768" t="s">
        <v>2068</v>
      </c>
      <c r="J7000" s="779"/>
      <c r="K7000" s="791"/>
      <c r="L7000" s="763" t="s">
        <v>28</v>
      </c>
      <c r="M7000" s="763">
        <v>8484.9500000000007</v>
      </c>
      <c r="N7000" s="770">
        <v>0.45833333333333331</v>
      </c>
      <c r="O7000" s="897" t="s">
        <v>2074</v>
      </c>
      <c r="P7000" s="867" t="s">
        <v>2155</v>
      </c>
    </row>
    <row r="7001" spans="1:18" ht="18.75" customHeight="1" x14ac:dyDescent="0.25">
      <c r="A7001" s="961"/>
      <c r="B7001" s="864" t="s">
        <v>2067</v>
      </c>
      <c r="C7001" s="861" t="s">
        <v>15</v>
      </c>
      <c r="D7001" s="862">
        <v>1.7</v>
      </c>
      <c r="E7001" s="862">
        <v>1.716</v>
      </c>
      <c r="F7001" s="860" t="s">
        <v>16</v>
      </c>
      <c r="G7001" s="964"/>
      <c r="H7001" s="860" t="s">
        <v>2067</v>
      </c>
      <c r="I7001" s="860" t="s">
        <v>2068</v>
      </c>
      <c r="J7001" s="865"/>
      <c r="K7001" s="952"/>
      <c r="L7001" s="860" t="s">
        <v>28</v>
      </c>
      <c r="M7001" s="860">
        <v>1718.64</v>
      </c>
      <c r="N7001" s="770">
        <v>0.45833333333333331</v>
      </c>
      <c r="O7001" s="897" t="s">
        <v>2120</v>
      </c>
      <c r="P7001" s="867" t="s">
        <v>2156</v>
      </c>
    </row>
    <row r="7002" spans="1:18" ht="18.75" customHeight="1" x14ac:dyDescent="0.25">
      <c r="A7002" s="961"/>
      <c r="B7002" s="841" t="s">
        <v>2068</v>
      </c>
      <c r="C7002" s="842" t="s">
        <v>24</v>
      </c>
      <c r="D7002" s="843">
        <v>0.7</v>
      </c>
      <c r="E7002" s="843">
        <v>0.70299999999999996</v>
      </c>
      <c r="F7002" s="844" t="s">
        <v>16</v>
      </c>
      <c r="G7002" s="964"/>
      <c r="H7002" s="844" t="s">
        <v>2067</v>
      </c>
      <c r="I7002" s="844" t="s">
        <v>2068</v>
      </c>
      <c r="J7002" s="845"/>
      <c r="K7002" s="886"/>
      <c r="L7002" s="844" t="s">
        <v>28</v>
      </c>
      <c r="M7002" s="844">
        <v>705</v>
      </c>
      <c r="N7002" s="846">
        <v>0.45833333333333331</v>
      </c>
      <c r="O7002" s="897" t="s">
        <v>2147</v>
      </c>
      <c r="P7002" s="867" t="s">
        <v>2157</v>
      </c>
    </row>
    <row r="7003" spans="1:18" ht="19.5" thickBot="1" x14ac:dyDescent="0.3">
      <c r="A7003" s="962"/>
      <c r="B7003" s="805" t="s">
        <v>2067</v>
      </c>
      <c r="C7003" s="806" t="s">
        <v>24</v>
      </c>
      <c r="D7003" s="807">
        <v>2.1</v>
      </c>
      <c r="E7003" s="807">
        <v>2.12</v>
      </c>
      <c r="F7003" s="808" t="s">
        <v>16</v>
      </c>
      <c r="G7003" s="965"/>
      <c r="H7003" s="808" t="s">
        <v>2067</v>
      </c>
      <c r="I7003" s="808" t="s">
        <v>2068</v>
      </c>
      <c r="J7003" s="810"/>
      <c r="K7003" s="887"/>
      <c r="L7003" s="808" t="s">
        <v>28</v>
      </c>
      <c r="M7003" s="808">
        <v>2115</v>
      </c>
      <c r="N7003" s="778">
        <v>0.45833333333333331</v>
      </c>
      <c r="O7003" s="897" t="s">
        <v>2125</v>
      </c>
      <c r="P7003" s="867" t="s">
        <v>2158</v>
      </c>
    </row>
    <row r="7004" spans="1:18" x14ac:dyDescent="0.25">
      <c r="A7004" s="957">
        <f>MAX(A6901:A7003)+1</f>
        <v>4339</v>
      </c>
      <c r="B7004" s="759" t="s">
        <v>2031</v>
      </c>
      <c r="C7004" s="532" t="s">
        <v>47</v>
      </c>
      <c r="D7004" s="533">
        <v>17.602</v>
      </c>
      <c r="E7004" s="534">
        <v>14.334</v>
      </c>
      <c r="F7004" s="535" t="s">
        <v>16</v>
      </c>
      <c r="G7004" s="898"/>
      <c r="H7004" s="535" t="s">
        <v>2067</v>
      </c>
      <c r="I7004" s="537" t="s">
        <v>2067</v>
      </c>
      <c r="J7004" s="538"/>
      <c r="K7004" s="563"/>
      <c r="L7004" s="567" t="s">
        <v>28</v>
      </c>
      <c r="M7004" s="567">
        <v>17819.179999999997</v>
      </c>
      <c r="N7004" s="571">
        <v>0.5</v>
      </c>
      <c r="O7004" s="897" t="s">
        <v>2075</v>
      </c>
      <c r="P7004" s="867" t="s">
        <v>2145</v>
      </c>
    </row>
    <row r="7005" spans="1:18" ht="19.5" thickBot="1" x14ac:dyDescent="0.3">
      <c r="A7005" s="959"/>
      <c r="B7005" s="798" t="s">
        <v>2067</v>
      </c>
      <c r="C7005" s="799" t="s">
        <v>47</v>
      </c>
      <c r="D7005" s="800">
        <v>3.2</v>
      </c>
      <c r="E7005" s="800">
        <v>3.2610000000000001</v>
      </c>
      <c r="F7005" s="801" t="s">
        <v>16</v>
      </c>
      <c r="G7005" s="942" t="s">
        <v>76</v>
      </c>
      <c r="H7005" s="801" t="s">
        <v>2067</v>
      </c>
      <c r="I7005" s="801" t="s">
        <v>2067</v>
      </c>
      <c r="J7005" s="803"/>
      <c r="K7005" s="848"/>
      <c r="L7005" s="801" t="s">
        <v>28</v>
      </c>
      <c r="M7005" s="801">
        <v>3215.04</v>
      </c>
      <c r="N7005" s="804">
        <v>0.5</v>
      </c>
      <c r="O7005" s="897" t="s">
        <v>2123</v>
      </c>
      <c r="P7005" s="867" t="s">
        <v>2146</v>
      </c>
    </row>
    <row r="7006" spans="1:18" x14ac:dyDescent="0.25">
      <c r="A7006" s="954">
        <f>MAX(A6902:A7005)+1</f>
        <v>4340</v>
      </c>
      <c r="B7006" s="610" t="s">
        <v>2031</v>
      </c>
      <c r="C7006" s="480" t="s">
        <v>23</v>
      </c>
      <c r="D7006" s="481">
        <v>17.59</v>
      </c>
      <c r="E7006" s="482">
        <v>16.478000000000002</v>
      </c>
      <c r="F7006" s="483" t="s">
        <v>16</v>
      </c>
      <c r="G7006" s="899"/>
      <c r="H7006" s="483" t="s">
        <v>2067</v>
      </c>
      <c r="I7006" s="484" t="s">
        <v>2067</v>
      </c>
      <c r="J7006" s="485"/>
      <c r="K7006" s="479"/>
      <c r="L7006" s="483" t="s">
        <v>28</v>
      </c>
      <c r="M7006" s="483">
        <v>17754.54</v>
      </c>
      <c r="N7006" s="486">
        <v>0.54166666666666663</v>
      </c>
      <c r="O7006" s="897" t="s">
        <v>2076</v>
      </c>
      <c r="P7006" s="867" t="s">
        <v>2133</v>
      </c>
    </row>
    <row r="7007" spans="1:18" ht="19.5" thickBot="1" x14ac:dyDescent="0.3">
      <c r="A7007" s="956"/>
      <c r="B7007" s="805" t="s">
        <v>2067</v>
      </c>
      <c r="C7007" s="806" t="s">
        <v>23</v>
      </c>
      <c r="D7007" s="807">
        <v>1.25</v>
      </c>
      <c r="E7007" s="807">
        <v>1.266</v>
      </c>
      <c r="F7007" s="808" t="s">
        <v>16</v>
      </c>
      <c r="G7007" s="902"/>
      <c r="H7007" s="808" t="s">
        <v>2067</v>
      </c>
      <c r="I7007" s="808" t="s">
        <v>2067</v>
      </c>
      <c r="J7007" s="810"/>
      <c r="K7007" s="887"/>
      <c r="L7007" s="808" t="s">
        <v>28</v>
      </c>
      <c r="M7007" s="808">
        <v>1264.08</v>
      </c>
      <c r="N7007" s="778">
        <v>0.54166666666666663</v>
      </c>
      <c r="O7007" s="897" t="s">
        <v>2124</v>
      </c>
      <c r="P7007" s="867" t="s">
        <v>2134</v>
      </c>
    </row>
    <row r="7008" spans="1:18" ht="19.5" thickBot="1" x14ac:dyDescent="0.3">
      <c r="A7008" s="503">
        <f>MAX(A6903:A7006)+1</f>
        <v>4341</v>
      </c>
      <c r="B7008" s="504" t="s">
        <v>2031</v>
      </c>
      <c r="C7008" s="505" t="s">
        <v>26</v>
      </c>
      <c r="D7008" s="506">
        <v>14.385999999999999</v>
      </c>
      <c r="E7008" s="507">
        <v>14.385999999999999</v>
      </c>
      <c r="F7008" s="508" t="s">
        <v>30</v>
      </c>
      <c r="G7008" s="509"/>
      <c r="H7008" s="508" t="s">
        <v>2067</v>
      </c>
      <c r="I7008" s="510" t="s">
        <v>2067</v>
      </c>
      <c r="J7008" s="511"/>
      <c r="K7008" s="504"/>
      <c r="L7008" s="508" t="s">
        <v>265</v>
      </c>
      <c r="M7008" s="508">
        <v>14386.36</v>
      </c>
      <c r="N7008" s="512">
        <v>0.375</v>
      </c>
      <c r="O7008" s="897" t="s">
        <v>2069</v>
      </c>
      <c r="P7008" s="867" t="s">
        <v>2127</v>
      </c>
    </row>
    <row r="7009" spans="1:16" ht="19.5" thickBot="1" x14ac:dyDescent="0.3">
      <c r="A7009" s="513">
        <f>MAX(A6904:A7008)+1</f>
        <v>4342</v>
      </c>
      <c r="B7009" s="514" t="s">
        <v>2031</v>
      </c>
      <c r="C7009" s="515" t="s">
        <v>587</v>
      </c>
      <c r="D7009" s="516">
        <v>10.834</v>
      </c>
      <c r="E7009" s="517"/>
      <c r="F7009" s="518" t="s">
        <v>30</v>
      </c>
      <c r="G7009" s="519" t="s">
        <v>23</v>
      </c>
      <c r="H7009" s="518" t="s">
        <v>2067</v>
      </c>
      <c r="I7009" s="520"/>
      <c r="J7009" s="521"/>
      <c r="K7009" s="514"/>
      <c r="L7009" s="518" t="s">
        <v>28</v>
      </c>
      <c r="M7009" s="518">
        <v>10834.2</v>
      </c>
      <c r="N7009" s="522">
        <v>0.41666666666666669</v>
      </c>
      <c r="O7009" s="897" t="s">
        <v>2113</v>
      </c>
    </row>
    <row r="7010" spans="1:16" ht="19.5" thickBot="1" x14ac:dyDescent="0.3">
      <c r="A7010" s="503">
        <f>MAX(A6902:A7009)+1</f>
        <v>4343</v>
      </c>
      <c r="B7010" s="504" t="s">
        <v>2034</v>
      </c>
      <c r="C7010" s="505" t="s">
        <v>1382</v>
      </c>
      <c r="D7010" s="506">
        <v>17.96</v>
      </c>
      <c r="E7010" s="507">
        <v>17.73</v>
      </c>
      <c r="F7010" s="508" t="s">
        <v>16</v>
      </c>
      <c r="G7010" s="509"/>
      <c r="H7010" s="508" t="s">
        <v>2067</v>
      </c>
      <c r="I7010" s="510" t="s">
        <v>2067</v>
      </c>
      <c r="J7010" s="511"/>
      <c r="K7010" s="504"/>
      <c r="L7010" s="508" t="s">
        <v>266</v>
      </c>
      <c r="M7010" s="508">
        <v>18116.34</v>
      </c>
      <c r="N7010" s="512">
        <v>0.58333333333333337</v>
      </c>
      <c r="O7010" s="897" t="s">
        <v>2084</v>
      </c>
      <c r="P7010" s="867" t="s">
        <v>2144</v>
      </c>
    </row>
    <row r="7011" spans="1:16" x14ac:dyDescent="0.25">
      <c r="A7011" s="954">
        <f>MAX(A6903:A7010)+1</f>
        <v>4344</v>
      </c>
      <c r="B7011" s="610" t="s">
        <v>2031</v>
      </c>
      <c r="C7011" s="480" t="s">
        <v>26</v>
      </c>
      <c r="D7011" s="481">
        <v>17.321999999999999</v>
      </c>
      <c r="E7011" s="482"/>
      <c r="F7011" s="483" t="s">
        <v>16</v>
      </c>
      <c r="G7011" s="899"/>
      <c r="H7011" s="483" t="s">
        <v>2068</v>
      </c>
      <c r="I7011" s="484"/>
      <c r="J7011" s="485"/>
      <c r="K7011" s="479"/>
      <c r="L7011" s="483" t="s">
        <v>265</v>
      </c>
      <c r="M7011" s="483">
        <v>17508.819999999992</v>
      </c>
      <c r="N7011" s="486">
        <v>0.375</v>
      </c>
      <c r="O7011" s="897" t="s">
        <v>2077</v>
      </c>
    </row>
    <row r="7012" spans="1:16" x14ac:dyDescent="0.25">
      <c r="A7012" s="955"/>
      <c r="B7012" s="792" t="s">
        <v>2067</v>
      </c>
      <c r="C7012" s="793" t="s">
        <v>26</v>
      </c>
      <c r="D7012" s="794">
        <v>1.7</v>
      </c>
      <c r="E7012" s="794"/>
      <c r="F7012" s="795" t="s">
        <v>16</v>
      </c>
      <c r="G7012" s="903" t="s">
        <v>76</v>
      </c>
      <c r="H7012" s="795" t="s">
        <v>2068</v>
      </c>
      <c r="I7012" s="795"/>
      <c r="J7012" s="797"/>
      <c r="K7012" s="944"/>
      <c r="L7012" s="795" t="s">
        <v>265</v>
      </c>
      <c r="M7012" s="795">
        <v>1712.6</v>
      </c>
      <c r="N7012" s="502">
        <v>0.375</v>
      </c>
      <c r="O7012" s="897" t="s">
        <v>2130</v>
      </c>
    </row>
    <row r="7013" spans="1:16" ht="19.5" thickBot="1" x14ac:dyDescent="0.3">
      <c r="A7013" s="956"/>
      <c r="B7013" s="841" t="s">
        <v>2067</v>
      </c>
      <c r="C7013" s="842" t="s">
        <v>26</v>
      </c>
      <c r="D7013" s="843">
        <v>3.7</v>
      </c>
      <c r="E7013" s="843"/>
      <c r="F7013" s="844" t="s">
        <v>16</v>
      </c>
      <c r="G7013" s="904" t="s">
        <v>76</v>
      </c>
      <c r="H7013" s="844" t="s">
        <v>2068</v>
      </c>
      <c r="I7013" s="844"/>
      <c r="J7013" s="845"/>
      <c r="K7013" s="886"/>
      <c r="L7013" s="844" t="s">
        <v>265</v>
      </c>
      <c r="M7013" s="844">
        <v>3705</v>
      </c>
      <c r="N7013" s="846">
        <v>0.375</v>
      </c>
      <c r="O7013" s="897" t="s">
        <v>2129</v>
      </c>
    </row>
    <row r="7014" spans="1:16" x14ac:dyDescent="0.25">
      <c r="A7014" s="957">
        <f>MAX(A6904:A7013)+1</f>
        <v>4345</v>
      </c>
      <c r="B7014" s="759" t="s">
        <v>2031</v>
      </c>
      <c r="C7014" s="532" t="s">
        <v>23</v>
      </c>
      <c r="D7014" s="533">
        <v>17.219000000000001</v>
      </c>
      <c r="E7014" s="534">
        <v>16.494</v>
      </c>
      <c r="F7014" s="535" t="s">
        <v>16</v>
      </c>
      <c r="G7014" s="976" t="s">
        <v>1634</v>
      </c>
      <c r="H7014" s="535" t="s">
        <v>2068</v>
      </c>
      <c r="I7014" s="537" t="s">
        <v>2068</v>
      </c>
      <c r="J7014" s="538"/>
      <c r="K7014" s="531"/>
      <c r="L7014" s="535" t="s">
        <v>28</v>
      </c>
      <c r="M7014" s="535">
        <v>17310.52</v>
      </c>
      <c r="N7014" s="539">
        <v>0.41666666666666669</v>
      </c>
      <c r="O7014" s="897" t="s">
        <v>2078</v>
      </c>
      <c r="P7014" s="867" t="s">
        <v>2160</v>
      </c>
    </row>
    <row r="7015" spans="1:16" ht="19.5" thickBot="1" x14ac:dyDescent="0.3">
      <c r="A7015" s="959"/>
      <c r="B7015" s="785" t="s">
        <v>2068</v>
      </c>
      <c r="C7015" s="786" t="s">
        <v>23</v>
      </c>
      <c r="D7015" s="787">
        <v>0.84</v>
      </c>
      <c r="E7015" s="787">
        <v>0.84</v>
      </c>
      <c r="F7015" s="788" t="s">
        <v>16</v>
      </c>
      <c r="G7015" s="975"/>
      <c r="H7015" s="873" t="s">
        <v>2068</v>
      </c>
      <c r="I7015" s="788" t="s">
        <v>2068</v>
      </c>
      <c r="J7015" s="790"/>
      <c r="K7015" s="877"/>
      <c r="L7015" s="788" t="s">
        <v>28</v>
      </c>
      <c r="M7015" s="788">
        <v>843.60000000000014</v>
      </c>
      <c r="N7015" s="784">
        <v>0.41666666666666669</v>
      </c>
      <c r="O7015" s="897" t="s">
        <v>2150</v>
      </c>
      <c r="P7015" s="867" t="s">
        <v>2161</v>
      </c>
    </row>
    <row r="7016" spans="1:16" ht="19.5" thickBot="1" x14ac:dyDescent="0.3">
      <c r="A7016" s="513">
        <f>MAX(A6905:A7015)+1</f>
        <v>4346</v>
      </c>
      <c r="B7016" s="495" t="s">
        <v>2067</v>
      </c>
      <c r="C7016" s="496" t="s">
        <v>26</v>
      </c>
      <c r="D7016" s="497">
        <v>17.736000000000001</v>
      </c>
      <c r="E7016" s="498"/>
      <c r="F7016" s="499" t="s">
        <v>30</v>
      </c>
      <c r="G7016" s="562"/>
      <c r="H7016" s="499" t="s">
        <v>2116</v>
      </c>
      <c r="I7016" s="500"/>
      <c r="J7016" s="501"/>
      <c r="K7016" s="495"/>
      <c r="L7016" s="499" t="s">
        <v>265</v>
      </c>
      <c r="M7016" s="499">
        <v>14736.039999999999</v>
      </c>
      <c r="N7016" s="502">
        <v>0.375</v>
      </c>
      <c r="O7016" s="897" t="s">
        <v>2117</v>
      </c>
    </row>
    <row r="7017" spans="1:16" x14ac:dyDescent="0.25">
      <c r="A7017" s="957">
        <f>MAX(A6906:A7016)+1</f>
        <v>4347</v>
      </c>
      <c r="B7017" s="759" t="s">
        <v>2067</v>
      </c>
      <c r="C7017" s="532" t="s">
        <v>320</v>
      </c>
      <c r="D7017" s="533">
        <v>1.159</v>
      </c>
      <c r="E7017" s="534"/>
      <c r="F7017" s="535" t="s">
        <v>30</v>
      </c>
      <c r="G7017" s="536"/>
      <c r="H7017" s="535" t="s">
        <v>2116</v>
      </c>
      <c r="I7017" s="537"/>
      <c r="J7017" s="538"/>
      <c r="K7017" s="531"/>
      <c r="L7017" s="535" t="s">
        <v>266</v>
      </c>
      <c r="M7017" s="535">
        <v>1159.2</v>
      </c>
      <c r="N7017" s="539">
        <v>0.41666666666666669</v>
      </c>
      <c r="O7017" s="897" t="s">
        <v>2122</v>
      </c>
    </row>
    <row r="7018" spans="1:16" x14ac:dyDescent="0.25">
      <c r="A7018" s="958"/>
      <c r="B7018" s="824" t="s">
        <v>2067</v>
      </c>
      <c r="C7018" s="820" t="s">
        <v>47</v>
      </c>
      <c r="D7018" s="821">
        <v>0.10199999999999999</v>
      </c>
      <c r="E7018" s="822"/>
      <c r="F7018" s="819" t="s">
        <v>30</v>
      </c>
      <c r="G7018" s="823"/>
      <c r="H7018" s="819" t="s">
        <v>2116</v>
      </c>
      <c r="I7018" s="782"/>
      <c r="J7018" s="825"/>
      <c r="K7018" s="849"/>
      <c r="L7018" s="819" t="s">
        <v>28</v>
      </c>
      <c r="M7018" s="819">
        <v>102.11999999999999</v>
      </c>
      <c r="N7018" s="811">
        <v>0.41666666666666669</v>
      </c>
    </row>
    <row r="7019" spans="1:16" ht="19.5" thickBot="1" x14ac:dyDescent="0.3">
      <c r="A7019" s="959"/>
      <c r="B7019" s="953" t="s">
        <v>2067</v>
      </c>
      <c r="C7019" s="870" t="s">
        <v>47</v>
      </c>
      <c r="D7019" s="871">
        <v>11.289</v>
      </c>
      <c r="E7019" s="872"/>
      <c r="F7019" s="873" t="s">
        <v>30</v>
      </c>
      <c r="G7019" s="874"/>
      <c r="H7019" s="873" t="s">
        <v>2116</v>
      </c>
      <c r="I7019" s="875"/>
      <c r="J7019" s="876"/>
      <c r="K7019" s="869"/>
      <c r="L7019" s="873" t="s">
        <v>28</v>
      </c>
      <c r="M7019" s="873">
        <v>11289.920000000002</v>
      </c>
      <c r="N7019" s="784">
        <v>0.41666666666666669</v>
      </c>
      <c r="O7019" s="897" t="s">
        <v>2121</v>
      </c>
    </row>
    <row r="7020" spans="1:16" ht="19.5" thickBot="1" x14ac:dyDescent="0.3">
      <c r="A7020" s="572">
        <f t="shared" ref="A7020:A7045" si="210">MAX(A6908:A7019)+1</f>
        <v>4348</v>
      </c>
      <c r="B7020" s="495" t="s">
        <v>2067</v>
      </c>
      <c r="C7020" s="496" t="s">
        <v>32</v>
      </c>
      <c r="D7020" s="497">
        <v>17.5</v>
      </c>
      <c r="E7020" s="498"/>
      <c r="F7020" s="499" t="s">
        <v>16</v>
      </c>
      <c r="G7020" s="562"/>
      <c r="H7020" s="499" t="s">
        <v>2116</v>
      </c>
      <c r="I7020" s="500"/>
      <c r="J7020" s="501"/>
      <c r="K7020" s="495"/>
      <c r="L7020" s="499" t="s">
        <v>266</v>
      </c>
      <c r="M7020" s="499">
        <v>17503.2</v>
      </c>
      <c r="N7020" s="502">
        <v>0.41666666666666669</v>
      </c>
      <c r="O7020" s="897" t="s">
        <v>2126</v>
      </c>
    </row>
    <row r="7021" spans="1:16" ht="19.5" thickBot="1" x14ac:dyDescent="0.3">
      <c r="A7021" s="503">
        <f t="shared" si="210"/>
        <v>4349</v>
      </c>
      <c r="B7021" s="504" t="s">
        <v>2068</v>
      </c>
      <c r="C7021" s="505" t="s">
        <v>32</v>
      </c>
      <c r="D7021" s="506">
        <v>18.096</v>
      </c>
      <c r="E7021" s="507"/>
      <c r="F7021" s="508" t="s">
        <v>16</v>
      </c>
      <c r="G7021" s="509"/>
      <c r="H7021" s="508" t="s">
        <v>2148</v>
      </c>
      <c r="I7021" s="510"/>
      <c r="J7021" s="511"/>
      <c r="K7021" s="504"/>
      <c r="L7021" s="508" t="s">
        <v>266</v>
      </c>
      <c r="M7021" s="508">
        <v>18255.400000000001</v>
      </c>
      <c r="N7021" s="512">
        <v>0.41666666666666669</v>
      </c>
      <c r="O7021" s="897" t="s">
        <v>2149</v>
      </c>
    </row>
    <row r="7022" spans="1:16" ht="19.5" thickBot="1" x14ac:dyDescent="0.3">
      <c r="A7022" s="513">
        <f t="shared" si="210"/>
        <v>4350</v>
      </c>
      <c r="B7022" s="514" t="s">
        <v>2068</v>
      </c>
      <c r="C7022" s="515" t="s">
        <v>32</v>
      </c>
      <c r="D7022" s="516">
        <v>17.931999999999999</v>
      </c>
      <c r="E7022" s="517"/>
      <c r="F7022" s="518" t="s">
        <v>16</v>
      </c>
      <c r="G7022" s="519"/>
      <c r="H7022" s="518" t="s">
        <v>2148</v>
      </c>
      <c r="I7022" s="520"/>
      <c r="J7022" s="521"/>
      <c r="K7022" s="514"/>
      <c r="L7022" s="518" t="s">
        <v>266</v>
      </c>
      <c r="M7022" s="518">
        <v>18039.280000000002</v>
      </c>
      <c r="N7022" s="522">
        <v>0.45833333333333331</v>
      </c>
      <c r="O7022" s="897" t="s">
        <v>2151</v>
      </c>
    </row>
    <row r="7023" spans="1:16" ht="19.5" thickBot="1" x14ac:dyDescent="0.3">
      <c r="A7023" s="503">
        <f t="shared" si="210"/>
        <v>4351</v>
      </c>
      <c r="B7023" s="504" t="s">
        <v>2068</v>
      </c>
      <c r="C7023" s="505" t="s">
        <v>32</v>
      </c>
      <c r="D7023" s="506">
        <v>18</v>
      </c>
      <c r="E7023" s="507"/>
      <c r="F7023" s="508" t="s">
        <v>16</v>
      </c>
      <c r="G7023" s="509"/>
      <c r="H7023" s="508" t="s">
        <v>2148</v>
      </c>
      <c r="I7023" s="510"/>
      <c r="J7023" s="511"/>
      <c r="K7023" s="504"/>
      <c r="L7023" s="508" t="s">
        <v>266</v>
      </c>
      <c r="M7023" s="508">
        <v>18018</v>
      </c>
      <c r="N7023" s="512">
        <v>0.5</v>
      </c>
      <c r="O7023" s="897" t="s">
        <v>2152</v>
      </c>
    </row>
    <row r="7024" spans="1:16" ht="19.5" thickBot="1" x14ac:dyDescent="0.3">
      <c r="A7024" s="513">
        <f t="shared" si="210"/>
        <v>4352</v>
      </c>
      <c r="B7024" s="514" t="s">
        <v>2068</v>
      </c>
      <c r="C7024" s="515" t="s">
        <v>32</v>
      </c>
      <c r="D7024" s="516">
        <v>17.8</v>
      </c>
      <c r="E7024" s="517"/>
      <c r="F7024" s="518" t="s">
        <v>16</v>
      </c>
      <c r="G7024" s="519"/>
      <c r="H7024" s="518" t="s">
        <v>2148</v>
      </c>
      <c r="I7024" s="520"/>
      <c r="J7024" s="521"/>
      <c r="K7024" s="514"/>
      <c r="L7024" s="518" t="s">
        <v>266</v>
      </c>
      <c r="M7024" s="518">
        <v>17810.400000000001</v>
      </c>
      <c r="N7024" s="522">
        <v>0.54166666666666663</v>
      </c>
      <c r="O7024" s="897" t="s">
        <v>2153</v>
      </c>
    </row>
    <row r="7025" spans="1:15" ht="19.5" thickBot="1" x14ac:dyDescent="0.3">
      <c r="A7025" s="551">
        <f t="shared" si="210"/>
        <v>4353</v>
      </c>
      <c r="B7025" s="552" t="s">
        <v>2068</v>
      </c>
      <c r="C7025" s="553" t="s">
        <v>848</v>
      </c>
      <c r="D7025" s="554">
        <v>18</v>
      </c>
      <c r="E7025" s="555"/>
      <c r="F7025" s="556" t="s">
        <v>16</v>
      </c>
      <c r="G7025" s="557"/>
      <c r="H7025" s="556" t="s">
        <v>2148</v>
      </c>
      <c r="I7025" s="558"/>
      <c r="J7025" s="559"/>
      <c r="K7025" s="552"/>
      <c r="L7025" s="556" t="s">
        <v>266</v>
      </c>
      <c r="M7025" s="556">
        <v>18144.8</v>
      </c>
      <c r="N7025" s="560">
        <v>0.58333333333333337</v>
      </c>
      <c r="O7025" s="897" t="s">
        <v>2159</v>
      </c>
    </row>
    <row r="7026" spans="1:15" ht="19.5" thickBot="1" x14ac:dyDescent="0.3">
      <c r="A7026" s="513">
        <f t="shared" si="210"/>
        <v>4354</v>
      </c>
      <c r="B7026" s="514" t="s">
        <v>2116</v>
      </c>
      <c r="C7026" s="515" t="s">
        <v>26</v>
      </c>
      <c r="D7026" s="516">
        <v>17.289000000000001</v>
      </c>
      <c r="E7026" s="517"/>
      <c r="F7026" s="518" t="s">
        <v>16</v>
      </c>
      <c r="G7026" s="519"/>
      <c r="H7026" s="518" t="s">
        <v>2162</v>
      </c>
      <c r="I7026" s="520"/>
      <c r="J7026" s="521"/>
      <c r="K7026" s="514"/>
      <c r="L7026" s="518" t="s">
        <v>265</v>
      </c>
      <c r="M7026" s="518">
        <v>17506.84</v>
      </c>
      <c r="N7026" s="522">
        <v>0.375</v>
      </c>
      <c r="O7026" s="897" t="s">
        <v>2163</v>
      </c>
    </row>
    <row r="7027" spans="1:15" ht="19.5" thickBot="1" x14ac:dyDescent="0.3">
      <c r="A7027" s="503">
        <f t="shared" si="210"/>
        <v>4355</v>
      </c>
      <c r="B7027" s="504" t="s">
        <v>2116</v>
      </c>
      <c r="C7027" s="505" t="s">
        <v>26</v>
      </c>
      <c r="D7027" s="506">
        <v>17.274000000000001</v>
      </c>
      <c r="E7027" s="507"/>
      <c r="F7027" s="508" t="s">
        <v>16</v>
      </c>
      <c r="G7027" s="509"/>
      <c r="H7027" s="508" t="s">
        <v>2162</v>
      </c>
      <c r="I7027" s="510"/>
      <c r="J7027" s="511"/>
      <c r="K7027" s="504"/>
      <c r="L7027" s="508" t="s">
        <v>265</v>
      </c>
      <c r="M7027" s="508">
        <v>17492.02</v>
      </c>
      <c r="N7027" s="512">
        <v>0.41666666666666669</v>
      </c>
      <c r="O7027" s="897" t="s">
        <v>2165</v>
      </c>
    </row>
    <row r="7028" spans="1:15" ht="19.5" thickBot="1" x14ac:dyDescent="0.3">
      <c r="A7028" s="513">
        <f t="shared" si="210"/>
        <v>4356</v>
      </c>
      <c r="B7028" s="514" t="s">
        <v>2116</v>
      </c>
      <c r="C7028" s="515" t="s">
        <v>23</v>
      </c>
      <c r="D7028" s="516">
        <v>11.18</v>
      </c>
      <c r="E7028" s="517"/>
      <c r="F7028" s="518" t="s">
        <v>30</v>
      </c>
      <c r="G7028" s="519"/>
      <c r="H7028" s="518" t="s">
        <v>2162</v>
      </c>
      <c r="I7028" s="520"/>
      <c r="J7028" s="521"/>
      <c r="K7028" s="514"/>
      <c r="L7028" s="518" t="s">
        <v>28</v>
      </c>
      <c r="M7028" s="518">
        <v>11180.84</v>
      </c>
      <c r="N7028" s="522">
        <v>0.41666666666666669</v>
      </c>
      <c r="O7028" s="897" t="s">
        <v>2168</v>
      </c>
    </row>
    <row r="7029" spans="1:15" ht="19.5" thickBot="1" x14ac:dyDescent="0.3">
      <c r="A7029" s="503">
        <f t="shared" si="210"/>
        <v>4357</v>
      </c>
      <c r="B7029" s="504" t="s">
        <v>2116</v>
      </c>
      <c r="C7029" s="505" t="s">
        <v>26</v>
      </c>
      <c r="D7029" s="506">
        <v>17.21</v>
      </c>
      <c r="E7029" s="507"/>
      <c r="F7029" s="508" t="s">
        <v>16</v>
      </c>
      <c r="G7029" s="509"/>
      <c r="H7029" s="508" t="s">
        <v>2164</v>
      </c>
      <c r="I7029" s="510"/>
      <c r="J7029" s="511"/>
      <c r="K7029" s="504"/>
      <c r="L7029" s="508" t="s">
        <v>265</v>
      </c>
      <c r="M7029" s="508">
        <v>17234.2</v>
      </c>
      <c r="N7029" s="512">
        <v>0.375</v>
      </c>
      <c r="O7029" s="897" t="s">
        <v>2166</v>
      </c>
    </row>
    <row r="7030" spans="1:15" ht="19.5" thickBot="1" x14ac:dyDescent="0.3">
      <c r="A7030" s="513">
        <f t="shared" si="210"/>
        <v>4358</v>
      </c>
      <c r="B7030" s="514" t="s">
        <v>2116</v>
      </c>
      <c r="C7030" s="515" t="s">
        <v>26</v>
      </c>
      <c r="D7030" s="516">
        <v>17.335999999999999</v>
      </c>
      <c r="E7030" s="517"/>
      <c r="F7030" s="518" t="s">
        <v>16</v>
      </c>
      <c r="G7030" s="519"/>
      <c r="H7030" s="518" t="s">
        <v>2164</v>
      </c>
      <c r="I7030" s="520"/>
      <c r="J7030" s="521"/>
      <c r="K7030" s="514"/>
      <c r="L7030" s="518" t="s">
        <v>265</v>
      </c>
      <c r="M7030" s="518">
        <v>17498</v>
      </c>
      <c r="N7030" s="522">
        <v>0.41666666666666669</v>
      </c>
      <c r="O7030" s="897" t="s">
        <v>2167</v>
      </c>
    </row>
    <row r="7031" spans="1:15" ht="19.5" thickBot="1" x14ac:dyDescent="0.3">
      <c r="A7031" s="503">
        <f t="shared" si="210"/>
        <v>4359</v>
      </c>
      <c r="B7031" s="504" t="s">
        <v>2116</v>
      </c>
      <c r="C7031" s="505" t="s">
        <v>23</v>
      </c>
      <c r="D7031" s="506">
        <v>17.605</v>
      </c>
      <c r="E7031" s="507"/>
      <c r="F7031" s="508" t="s">
        <v>16</v>
      </c>
      <c r="G7031" s="509"/>
      <c r="H7031" s="508" t="s">
        <v>2164</v>
      </c>
      <c r="I7031" s="510"/>
      <c r="J7031" s="511"/>
      <c r="K7031" s="504"/>
      <c r="L7031" s="508" t="s">
        <v>28</v>
      </c>
      <c r="M7031" s="508">
        <v>17760.07</v>
      </c>
      <c r="N7031" s="512">
        <v>0.45833333333333331</v>
      </c>
      <c r="O7031" s="897" t="s">
        <v>2169</v>
      </c>
    </row>
    <row r="7032" spans="1:15" ht="19.5" thickBot="1" x14ac:dyDescent="0.3">
      <c r="A7032" s="513">
        <f t="shared" si="210"/>
        <v>4360</v>
      </c>
      <c r="B7032" s="514" t="s">
        <v>2116</v>
      </c>
      <c r="C7032" s="515" t="s">
        <v>47</v>
      </c>
      <c r="D7032" s="516">
        <v>17.609000000000002</v>
      </c>
      <c r="E7032" s="517"/>
      <c r="F7032" s="518" t="s">
        <v>16</v>
      </c>
      <c r="G7032" s="519"/>
      <c r="H7032" s="518" t="s">
        <v>2164</v>
      </c>
      <c r="I7032" s="520"/>
      <c r="J7032" s="521"/>
      <c r="K7032" s="514"/>
      <c r="L7032" s="518" t="s">
        <v>28</v>
      </c>
      <c r="M7032" s="518">
        <v>17830.800000000003</v>
      </c>
      <c r="N7032" s="522">
        <v>0.5</v>
      </c>
      <c r="O7032" s="897" t="s">
        <v>2170</v>
      </c>
    </row>
    <row r="7033" spans="1:15" x14ac:dyDescent="0.25">
      <c r="A7033" s="676">
        <f t="shared" si="210"/>
        <v>4361</v>
      </c>
      <c r="B7033" s="676"/>
      <c r="C7033" s="473"/>
      <c r="D7033" s="474"/>
      <c r="E7033" s="475"/>
      <c r="F7033" s="676"/>
      <c r="G7033" s="476"/>
      <c r="H7033" s="676"/>
      <c r="I7033" s="477"/>
      <c r="J7033" s="478"/>
      <c r="K7033" s="676"/>
      <c r="L7033" s="676"/>
      <c r="M7033" s="676"/>
      <c r="N7033" s="676"/>
    </row>
    <row r="7034" spans="1:15" x14ac:dyDescent="0.25">
      <c r="A7034" s="676">
        <f t="shared" si="210"/>
        <v>4362</v>
      </c>
      <c r="B7034" s="676"/>
      <c r="C7034" s="473"/>
      <c r="D7034" s="474"/>
      <c r="E7034" s="475"/>
      <c r="F7034" s="676"/>
      <c r="G7034" s="476"/>
      <c r="H7034" s="676"/>
      <c r="I7034" s="477"/>
      <c r="J7034" s="478"/>
      <c r="K7034" s="676"/>
      <c r="L7034" s="676"/>
      <c r="M7034" s="676"/>
      <c r="N7034" s="676"/>
    </row>
    <row r="7035" spans="1:15" x14ac:dyDescent="0.25">
      <c r="A7035" s="676">
        <f t="shared" si="210"/>
        <v>4363</v>
      </c>
      <c r="B7035" s="676"/>
      <c r="C7035" s="473"/>
      <c r="D7035" s="474"/>
      <c r="E7035" s="475"/>
      <c r="F7035" s="676"/>
      <c r="G7035" s="476"/>
      <c r="H7035" s="676"/>
      <c r="I7035" s="477"/>
      <c r="J7035" s="478"/>
      <c r="K7035" s="676"/>
      <c r="L7035" s="676"/>
      <c r="M7035" s="676"/>
      <c r="N7035" s="676"/>
    </row>
    <row r="7036" spans="1:15" x14ac:dyDescent="0.25">
      <c r="A7036" s="676">
        <f t="shared" si="210"/>
        <v>4364</v>
      </c>
      <c r="B7036" s="676"/>
      <c r="C7036" s="473"/>
      <c r="D7036" s="474"/>
      <c r="E7036" s="475"/>
      <c r="F7036" s="676"/>
      <c r="G7036" s="476"/>
      <c r="H7036" s="676"/>
      <c r="I7036" s="477"/>
      <c r="J7036" s="478"/>
      <c r="K7036" s="676"/>
      <c r="L7036" s="676"/>
      <c r="M7036" s="676"/>
      <c r="N7036" s="676"/>
    </row>
    <row r="7037" spans="1:15" x14ac:dyDescent="0.25">
      <c r="A7037" s="676">
        <f t="shared" si="210"/>
        <v>4365</v>
      </c>
      <c r="B7037" s="676"/>
      <c r="C7037" s="473"/>
      <c r="D7037" s="474"/>
      <c r="E7037" s="475"/>
      <c r="F7037" s="676"/>
      <c r="G7037" s="476"/>
      <c r="H7037" s="676"/>
      <c r="I7037" s="477"/>
      <c r="J7037" s="478"/>
      <c r="K7037" s="676"/>
      <c r="L7037" s="676"/>
      <c r="M7037" s="676"/>
      <c r="N7037" s="676"/>
    </row>
    <row r="7038" spans="1:15" x14ac:dyDescent="0.25">
      <c r="A7038" s="676">
        <f t="shared" si="210"/>
        <v>4366</v>
      </c>
      <c r="B7038" s="676"/>
      <c r="C7038" s="473"/>
      <c r="D7038" s="474"/>
      <c r="E7038" s="475"/>
      <c r="F7038" s="676"/>
      <c r="G7038" s="476"/>
      <c r="H7038" s="676"/>
      <c r="I7038" s="477"/>
      <c r="J7038" s="478"/>
      <c r="K7038" s="676"/>
      <c r="L7038" s="676"/>
      <c r="M7038" s="676"/>
      <c r="N7038" s="676"/>
    </row>
    <row r="7039" spans="1:15" x14ac:dyDescent="0.25">
      <c r="A7039" s="676">
        <f t="shared" si="210"/>
        <v>4367</v>
      </c>
      <c r="B7039" s="676"/>
      <c r="C7039" s="473"/>
      <c r="D7039" s="474"/>
      <c r="E7039" s="475"/>
      <c r="F7039" s="676"/>
      <c r="G7039" s="476"/>
      <c r="H7039" s="676"/>
      <c r="I7039" s="477"/>
      <c r="J7039" s="478"/>
      <c r="K7039" s="676"/>
      <c r="L7039" s="676"/>
      <c r="M7039" s="676"/>
      <c r="N7039" s="676"/>
    </row>
    <row r="7040" spans="1:15" x14ac:dyDescent="0.25">
      <c r="A7040" s="676">
        <f t="shared" si="210"/>
        <v>4368</v>
      </c>
      <c r="B7040" s="676"/>
      <c r="C7040" s="473"/>
      <c r="D7040" s="474"/>
      <c r="E7040" s="475"/>
      <c r="F7040" s="676"/>
      <c r="G7040" s="476"/>
      <c r="H7040" s="676"/>
      <c r="I7040" s="477"/>
      <c r="J7040" s="478"/>
      <c r="K7040" s="676"/>
      <c r="L7040" s="676"/>
      <c r="M7040" s="676"/>
      <c r="N7040" s="676"/>
    </row>
    <row r="7041" spans="1:14" x14ac:dyDescent="0.25">
      <c r="A7041" s="676">
        <f t="shared" si="210"/>
        <v>4369</v>
      </c>
      <c r="B7041" s="676"/>
      <c r="C7041" s="473"/>
      <c r="D7041" s="474"/>
      <c r="E7041" s="475"/>
      <c r="F7041" s="676"/>
      <c r="G7041" s="476"/>
      <c r="H7041" s="676"/>
      <c r="I7041" s="477"/>
      <c r="J7041" s="478"/>
      <c r="K7041" s="676"/>
      <c r="L7041" s="676"/>
      <c r="M7041" s="676"/>
      <c r="N7041" s="676"/>
    </row>
    <row r="7042" spans="1:14" x14ac:dyDescent="0.25">
      <c r="A7042" s="676">
        <f t="shared" si="210"/>
        <v>4370</v>
      </c>
      <c r="B7042" s="676"/>
      <c r="C7042" s="473"/>
      <c r="D7042" s="474"/>
      <c r="E7042" s="475"/>
      <c r="F7042" s="676"/>
      <c r="G7042" s="476"/>
      <c r="H7042" s="676"/>
      <c r="I7042" s="477"/>
      <c r="J7042" s="478"/>
      <c r="K7042" s="676"/>
      <c r="L7042" s="676"/>
      <c r="M7042" s="676"/>
      <c r="N7042" s="676"/>
    </row>
    <row r="7043" spans="1:14" x14ac:dyDescent="0.25">
      <c r="A7043" s="676">
        <f t="shared" si="210"/>
        <v>4371</v>
      </c>
      <c r="B7043" s="676"/>
      <c r="C7043" s="473"/>
      <c r="D7043" s="474"/>
      <c r="E7043" s="475"/>
      <c r="F7043" s="676"/>
      <c r="G7043" s="476"/>
      <c r="H7043" s="676"/>
      <c r="I7043" s="477"/>
      <c r="J7043" s="478"/>
      <c r="K7043" s="676"/>
      <c r="L7043" s="676"/>
      <c r="M7043" s="676"/>
      <c r="N7043" s="676"/>
    </row>
    <row r="7044" spans="1:14" x14ac:dyDescent="0.25">
      <c r="A7044" s="676">
        <f t="shared" si="210"/>
        <v>4372</v>
      </c>
      <c r="B7044" s="676"/>
      <c r="C7044" s="473"/>
      <c r="D7044" s="474"/>
      <c r="E7044" s="475"/>
      <c r="F7044" s="676"/>
      <c r="G7044" s="476"/>
      <c r="H7044" s="676"/>
      <c r="I7044" s="477"/>
      <c r="J7044" s="478"/>
      <c r="K7044" s="676"/>
      <c r="L7044" s="676"/>
      <c r="M7044" s="676"/>
      <c r="N7044" s="676"/>
    </row>
    <row r="7045" spans="1:14" x14ac:dyDescent="0.25">
      <c r="A7045" s="676">
        <f t="shared" si="210"/>
        <v>4373</v>
      </c>
      <c r="B7045" s="676"/>
      <c r="C7045" s="473"/>
      <c r="D7045" s="474"/>
      <c r="E7045" s="475"/>
      <c r="F7045" s="676"/>
      <c r="G7045" s="476"/>
      <c r="H7045" s="676"/>
      <c r="I7045" s="477"/>
      <c r="J7045" s="478"/>
      <c r="K7045" s="676"/>
      <c r="L7045" s="676"/>
      <c r="M7045" s="676"/>
      <c r="N7045" s="676"/>
    </row>
  </sheetData>
  <autoFilter ref="A2:R7034" xr:uid="{9E4C531E-AD50-422A-AC7C-8C5AF4C19268}">
    <filterColumn colId="10">
      <filters blank="1"/>
    </filterColumn>
  </autoFilter>
  <mergeCells count="1838">
    <mergeCell ref="A7014:A7015"/>
    <mergeCell ref="G7014:G7015"/>
    <mergeCell ref="A7006:A7007"/>
    <mergeCell ref="A6996:A6998"/>
    <mergeCell ref="G5504:G5505"/>
    <mergeCell ref="A5549:A5550"/>
    <mergeCell ref="A6968:A6969"/>
    <mergeCell ref="A6992:A6995"/>
    <mergeCell ref="A6961:A6962"/>
    <mergeCell ref="A6981:A6984"/>
    <mergeCell ref="A6963:A6967"/>
    <mergeCell ref="A6970:A6974"/>
    <mergeCell ref="A6975:A6978"/>
    <mergeCell ref="A6941:A6942"/>
    <mergeCell ref="A6939:A6940"/>
    <mergeCell ref="A5121:A5122"/>
    <mergeCell ref="A5153:A5154"/>
    <mergeCell ref="A5199:A5200"/>
    <mergeCell ref="A5219:A5221"/>
    <mergeCell ref="G5363:G5364"/>
    <mergeCell ref="A5416:A5417"/>
    <mergeCell ref="A5380:A5381"/>
    <mergeCell ref="A5378:A5379"/>
    <mergeCell ref="A5302:A5304"/>
    <mergeCell ref="A5449:A5451"/>
    <mergeCell ref="A5420:A5421"/>
    <mergeCell ref="A5374:A5375"/>
    <mergeCell ref="G5416:G5417"/>
    <mergeCell ref="A5394:A5397"/>
    <mergeCell ref="A5398:A5399"/>
    <mergeCell ref="A5430:A5431"/>
    <mergeCell ref="A5432:A5433"/>
    <mergeCell ref="A5070:A5071"/>
    <mergeCell ref="A5082:A5083"/>
    <mergeCell ref="A5511:A5512"/>
    <mergeCell ref="G5515:G5516"/>
    <mergeCell ref="A6698:A6699"/>
    <mergeCell ref="A5531:A5532"/>
    <mergeCell ref="A6552:A6554"/>
    <mergeCell ref="G6560:G6561"/>
    <mergeCell ref="A5247:A5249"/>
    <mergeCell ref="A6571:A6572"/>
    <mergeCell ref="A5573:A5574"/>
    <mergeCell ref="G5402:G5403"/>
    <mergeCell ref="A5406:A5407"/>
    <mergeCell ref="A5464:A5466"/>
    <mergeCell ref="A5455:A5456"/>
    <mergeCell ref="A5439:A5440"/>
    <mergeCell ref="G6604:G6605"/>
    <mergeCell ref="G5489:G5490"/>
    <mergeCell ref="G5534:G5538"/>
    <mergeCell ref="A5542:A5546"/>
    <mergeCell ref="A5518:A5522"/>
    <mergeCell ref="A5497:A5498"/>
    <mergeCell ref="A5499:A5500"/>
    <mergeCell ref="A5575:A5576"/>
    <mergeCell ref="G5549:G5550"/>
    <mergeCell ref="A5493:A5495"/>
    <mergeCell ref="A5595:A5596"/>
    <mergeCell ref="A5196:A5197"/>
    <mergeCell ref="A5188:A5189"/>
    <mergeCell ref="A5176:A5178"/>
    <mergeCell ref="A5385:A5386"/>
    <mergeCell ref="A5387:A5388"/>
    <mergeCell ref="A5234:A5235"/>
    <mergeCell ref="A5279:A5281"/>
    <mergeCell ref="A5267:A5269"/>
    <mergeCell ref="A5311:A5312"/>
    <mergeCell ref="A5296:A5297"/>
    <mergeCell ref="A5625:A5626"/>
    <mergeCell ref="A5485:A5486"/>
    <mergeCell ref="A5476:A5478"/>
    <mergeCell ref="A5479:A5481"/>
    <mergeCell ref="A5482:A5484"/>
    <mergeCell ref="A5467:A5468"/>
    <mergeCell ref="A5470:A5471"/>
    <mergeCell ref="A5436:A5437"/>
    <mergeCell ref="A5282:A5283"/>
    <mergeCell ref="A5229:A5230"/>
    <mergeCell ref="A5342:A5343"/>
    <mergeCell ref="A5348:A5350"/>
    <mergeCell ref="A5290:A5292"/>
    <mergeCell ref="A5243:A5244"/>
    <mergeCell ref="A5262:A5263"/>
    <mergeCell ref="A5539:A5541"/>
    <mergeCell ref="A5338:A5341"/>
    <mergeCell ref="A5504:A5505"/>
    <mergeCell ref="A5577:A5578"/>
    <mergeCell ref="A5418:A5419"/>
    <mergeCell ref="A5513:A5514"/>
    <mergeCell ref="A5326:A5327"/>
    <mergeCell ref="A5452:A5453"/>
    <mergeCell ref="A5305:A5308"/>
    <mergeCell ref="A5402:A5403"/>
    <mergeCell ref="A5321:A5325"/>
    <mergeCell ref="A5331:A5334"/>
    <mergeCell ref="G5126:G5127"/>
    <mergeCell ref="A5515:A5516"/>
    <mergeCell ref="A5412:A5413"/>
    <mergeCell ref="A5534:A5538"/>
    <mergeCell ref="G5140:G5141"/>
    <mergeCell ref="A5358:A5359"/>
    <mergeCell ref="A5265:A5266"/>
    <mergeCell ref="G5321:G5325"/>
    <mergeCell ref="A5316:A5317"/>
    <mergeCell ref="A5363:A5364"/>
    <mergeCell ref="A5309:A5310"/>
    <mergeCell ref="A5156:A5159"/>
    <mergeCell ref="A5161:A5162"/>
    <mergeCell ref="A5138:A5139"/>
    <mergeCell ref="A5134:A5137"/>
    <mergeCell ref="A5210:A5211"/>
    <mergeCell ref="A5179:A5180"/>
    <mergeCell ref="A5181:A5182"/>
    <mergeCell ref="A5164:A5165"/>
    <mergeCell ref="G5436:G5437"/>
    <mergeCell ref="A5370:A5373"/>
    <mergeCell ref="G5370:G5373"/>
    <mergeCell ref="A5445:A5446"/>
    <mergeCell ref="A5441:A5442"/>
    <mergeCell ref="A5270:A5271"/>
    <mergeCell ref="A5443:A5444"/>
    <mergeCell ref="A5202:A5203"/>
    <mergeCell ref="A5507:A5508"/>
    <mergeCell ref="A5140:A5141"/>
    <mergeCell ref="G5408:G5409"/>
    <mergeCell ref="A5428:A5429"/>
    <mergeCell ref="A5272:A5273"/>
    <mergeCell ref="G5531:G5532"/>
    <mergeCell ref="G5091:G5092"/>
    <mergeCell ref="A5102:A5104"/>
    <mergeCell ref="G5116:G5117"/>
    <mergeCell ref="A5298:A5299"/>
    <mergeCell ref="A5126:A5127"/>
    <mergeCell ref="A5084:A5086"/>
    <mergeCell ref="A5087:A5088"/>
    <mergeCell ref="G5084:G5086"/>
    <mergeCell ref="A5128:A5129"/>
    <mergeCell ref="A5216:A5217"/>
    <mergeCell ref="A5123:A5125"/>
    <mergeCell ref="A5260:A5261"/>
    <mergeCell ref="A5254:A5255"/>
    <mergeCell ref="A5006:A5008"/>
    <mergeCell ref="A5009:A5011"/>
    <mergeCell ref="A5012:A5013"/>
    <mergeCell ref="A5054:A5055"/>
    <mergeCell ref="A5042:A5044"/>
    <mergeCell ref="G5042:G5044"/>
    <mergeCell ref="A5047:A5048"/>
    <mergeCell ref="G5019:G5020"/>
    <mergeCell ref="A5026:A5028"/>
    <mergeCell ref="A5049:A5052"/>
    <mergeCell ref="A5232:A5233"/>
    <mergeCell ref="A5286:A5289"/>
    <mergeCell ref="G5216:G5217"/>
    <mergeCell ref="A5222:A5225"/>
    <mergeCell ref="G5188:G5189"/>
    <mergeCell ref="A5275:A5276"/>
    <mergeCell ref="G5196:G5197"/>
    <mergeCell ref="G5275:G5276"/>
    <mergeCell ref="A5142:A5144"/>
    <mergeCell ref="A5150:A5152"/>
    <mergeCell ref="A5146:A5147"/>
    <mergeCell ref="G5202:G5203"/>
    <mergeCell ref="G5232:G5233"/>
    <mergeCell ref="A5172:A5175"/>
    <mergeCell ref="A5183:A5184"/>
    <mergeCell ref="A5250:A5251"/>
    <mergeCell ref="A5240:A5242"/>
    <mergeCell ref="A5205:A5207"/>
    <mergeCell ref="A5226:A5228"/>
    <mergeCell ref="A5192:A5195"/>
    <mergeCell ref="A5212:A5213"/>
    <mergeCell ref="A4930:A4931"/>
    <mergeCell ref="A5074:A5076"/>
    <mergeCell ref="A5079:A5080"/>
    <mergeCell ref="A5077:A5078"/>
    <mergeCell ref="A5039:A5041"/>
    <mergeCell ref="A5110:A5113"/>
    <mergeCell ref="A5001:A5002"/>
    <mergeCell ref="A5014:A5015"/>
    <mergeCell ref="G5110:G5113"/>
    <mergeCell ref="A5099:A5101"/>
    <mergeCell ref="A5116:A5117"/>
    <mergeCell ref="A5037:A5038"/>
    <mergeCell ref="A5114:A5115"/>
    <mergeCell ref="G5035:G5036"/>
    <mergeCell ref="G5065:G5066"/>
    <mergeCell ref="A5019:A5020"/>
    <mergeCell ref="A4956:A4957"/>
    <mergeCell ref="A5035:A5036"/>
    <mergeCell ref="G5047:G5048"/>
    <mergeCell ref="A5029:A5030"/>
    <mergeCell ref="A5059:A5060"/>
    <mergeCell ref="A5063:A5064"/>
    <mergeCell ref="A5065:A5069"/>
    <mergeCell ref="A4832:A4833"/>
    <mergeCell ref="A4926:A4929"/>
    <mergeCell ref="A4866:A4867"/>
    <mergeCell ref="A4986:A4987"/>
    <mergeCell ref="A4966:A4968"/>
    <mergeCell ref="A4983:A4985"/>
    <mergeCell ref="A4999:A5000"/>
    <mergeCell ref="A4881:A4884"/>
    <mergeCell ref="A4856:A4858"/>
    <mergeCell ref="A4897:A4898"/>
    <mergeCell ref="A4969:A4970"/>
    <mergeCell ref="G4903:G4904"/>
    <mergeCell ref="A4971:A4973"/>
    <mergeCell ref="A4946:A4947"/>
    <mergeCell ref="G4893:G4894"/>
    <mergeCell ref="A4908:A4910"/>
    <mergeCell ref="A4977:A4978"/>
    <mergeCell ref="A4878:A4880"/>
    <mergeCell ref="A4917:A4918"/>
    <mergeCell ref="A4900:A4902"/>
    <mergeCell ref="A4979:A4980"/>
    <mergeCell ref="G4729:G4732"/>
    <mergeCell ref="A4948:A4949"/>
    <mergeCell ref="A4950:A4951"/>
    <mergeCell ref="A4911:A4913"/>
    <mergeCell ref="G4960:G4961"/>
    <mergeCell ref="G4935:G4936"/>
    <mergeCell ref="G4999:G5000"/>
    <mergeCell ref="A4989:A4991"/>
    <mergeCell ref="A4992:A4994"/>
    <mergeCell ref="G4950:G4951"/>
    <mergeCell ref="G4838:G4839"/>
    <mergeCell ref="A4840:A4841"/>
    <mergeCell ref="G4751:G4752"/>
    <mergeCell ref="A4812:A4813"/>
    <mergeCell ref="A4808:A4811"/>
    <mergeCell ref="A4799:A4800"/>
    <mergeCell ref="A4788:A4790"/>
    <mergeCell ref="A4842:A4843"/>
    <mergeCell ref="A4905:A4906"/>
    <mergeCell ref="A4844:A4845"/>
    <mergeCell ref="A4846:A4847"/>
    <mergeCell ref="A4887:A4888"/>
    <mergeCell ref="A4838:A4839"/>
    <mergeCell ref="A4924:A4925"/>
    <mergeCell ref="A4964:A4965"/>
    <mergeCell ref="A4960:A4961"/>
    <mergeCell ref="G4977:G4978"/>
    <mergeCell ref="G4996:G4997"/>
    <mergeCell ref="A4996:A4997"/>
    <mergeCell ref="G4930:G4931"/>
    <mergeCell ref="A4942:A4943"/>
    <mergeCell ref="A4954:A4955"/>
    <mergeCell ref="A4792:A4793"/>
    <mergeCell ref="G4792:G4793"/>
    <mergeCell ref="A4794:A4795"/>
    <mergeCell ref="A4816:A4817"/>
    <mergeCell ref="A4818:A4819"/>
    <mergeCell ref="A4820:A4822"/>
    <mergeCell ref="A4774:A4775"/>
    <mergeCell ref="G4854:G4855"/>
    <mergeCell ref="A4903:A4904"/>
    <mergeCell ref="A4834:A4837"/>
    <mergeCell ref="G4830:G4831"/>
    <mergeCell ref="A4830:A4831"/>
    <mergeCell ref="A4891:A4892"/>
    <mergeCell ref="G4820:G4822"/>
    <mergeCell ref="A4933:A4934"/>
    <mergeCell ref="A4935:A4936"/>
    <mergeCell ref="A4889:A4890"/>
    <mergeCell ref="A4597:A4598"/>
    <mergeCell ref="G4866:G4867"/>
    <mergeCell ref="A4868:A4871"/>
    <mergeCell ref="A4872:A4873"/>
    <mergeCell ref="A4859:A4860"/>
    <mergeCell ref="A4854:A4855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806:A4807"/>
    <mergeCell ref="A4649:A4650"/>
    <mergeCell ref="A4627:A4628"/>
    <mergeCell ref="A4629:A4632"/>
    <mergeCell ref="A4633:A4634"/>
    <mergeCell ref="A4776:A4777"/>
    <mergeCell ref="G4776:G4777"/>
    <mergeCell ref="A4700:A4701"/>
    <mergeCell ref="A4723:A4724"/>
    <mergeCell ref="A4727:A4728"/>
    <mergeCell ref="A4687:A4690"/>
    <mergeCell ref="A4772:A4773"/>
    <mergeCell ref="G4700:G4701"/>
    <mergeCell ref="A4721:A4722"/>
    <mergeCell ref="A4214:A4216"/>
    <mergeCell ref="A4515:A4516"/>
    <mergeCell ref="A4387:A4390"/>
    <mergeCell ref="A4384:A4386"/>
    <mergeCell ref="A4374:A4375"/>
    <mergeCell ref="A4370:A4372"/>
    <mergeCell ref="A4357:A4359"/>
    <mergeCell ref="A4480:A4481"/>
    <mergeCell ref="A4729:A4732"/>
    <mergeCell ref="A4734:A4736"/>
    <mergeCell ref="A4770:A4771"/>
    <mergeCell ref="A4591:A4592"/>
    <mergeCell ref="A4593:A4595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709:A4711"/>
    <mergeCell ref="A4767:A4768"/>
    <mergeCell ref="A4719:A4720"/>
    <mergeCell ref="A4402:A4405"/>
    <mergeCell ref="A4507:A4508"/>
    <mergeCell ref="A4512:A4514"/>
    <mergeCell ref="A4745:A4747"/>
    <mergeCell ref="A4748:A4750"/>
    <mergeCell ref="A4751:A4752"/>
    <mergeCell ref="A4499:A4500"/>
    <mergeCell ref="A4298:A4299"/>
    <mergeCell ref="A4324:A4326"/>
    <mergeCell ref="A4315:A4316"/>
    <mergeCell ref="G4331:G4332"/>
    <mergeCell ref="G4579:G4581"/>
    <mergeCell ref="A4681:A4682"/>
    <mergeCell ref="A4416:A4419"/>
    <mergeCell ref="G4391:G4392"/>
    <mergeCell ref="A4400:A4401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A4393:A4395"/>
    <mergeCell ref="A4414:A4415"/>
    <mergeCell ref="A4311:A4314"/>
    <mergeCell ref="A4501:A4502"/>
    <mergeCell ref="A4543:A4544"/>
    <mergeCell ref="A4539:A4541"/>
    <mergeCell ref="G4615:G4616"/>
    <mergeCell ref="A4640:A4641"/>
    <mergeCell ref="A4643:A4645"/>
    <mergeCell ref="A4646:A4648"/>
    <mergeCell ref="A4679:A4680"/>
    <mergeCell ref="A4653:A4655"/>
    <mergeCell ref="A4635:A4636"/>
    <mergeCell ref="A4169:A4170"/>
    <mergeCell ref="A4245:A4246"/>
    <mergeCell ref="A4445:A4448"/>
    <mergeCell ref="A4473:A4475"/>
    <mergeCell ref="A4503:A4504"/>
    <mergeCell ref="A4505:A4506"/>
    <mergeCell ref="A4601:A4602"/>
    <mergeCell ref="A4622:A4623"/>
    <mergeCell ref="A4605:A4608"/>
    <mergeCell ref="A4610:A4611"/>
    <mergeCell ref="A4615:A4616"/>
    <mergeCell ref="A4529:A4530"/>
    <mergeCell ref="A4532:A4533"/>
    <mergeCell ref="A4527:A4528"/>
    <mergeCell ref="A4422:A4423"/>
    <mergeCell ref="A4424:A4425"/>
    <mergeCell ref="A4376:A4377"/>
    <mergeCell ref="A4560:A4562"/>
    <mergeCell ref="A4548:A4549"/>
    <mergeCell ref="A4231:A4232"/>
    <mergeCell ref="A4209:A4210"/>
    <mergeCell ref="A4406:A4407"/>
    <mergeCell ref="A4429:A4430"/>
    <mergeCell ref="A4489:A4492"/>
    <mergeCell ref="A4317:A4318"/>
    <mergeCell ref="A4582:A4584"/>
    <mergeCell ref="A4524:A4526"/>
    <mergeCell ref="A4517:A4518"/>
    <mergeCell ref="A4437:A4440"/>
    <mergeCell ref="A4579:A4581"/>
    <mergeCell ref="A4521:A4523"/>
    <mergeCell ref="A4334:A4335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6:A4200"/>
    <mergeCell ref="A4202:A4203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A3912:A3913"/>
    <mergeCell ref="A3945:A3946"/>
    <mergeCell ref="A3909:A3911"/>
    <mergeCell ref="A4240:A4243"/>
    <mergeCell ref="A4204:A4205"/>
    <mergeCell ref="A4251:A4254"/>
    <mergeCell ref="A4278:A4279"/>
    <mergeCell ref="A4292:A4293"/>
    <mergeCell ref="A3960:A3961"/>
    <mergeCell ref="A4082:A4084"/>
    <mergeCell ref="A4114:A4115"/>
    <mergeCell ref="A4329:A4330"/>
    <mergeCell ref="A4331:A4332"/>
    <mergeCell ref="A4345:A4346"/>
    <mergeCell ref="G3895:G3896"/>
    <mergeCell ref="A4431:A4432"/>
    <mergeCell ref="A4493:A4494"/>
    <mergeCell ref="A4453:A4454"/>
    <mergeCell ref="A4456:A4457"/>
    <mergeCell ref="A4458:A4460"/>
    <mergeCell ref="A4461:A4463"/>
    <mergeCell ref="A4305:A4307"/>
    <mergeCell ref="G3983:G3984"/>
    <mergeCell ref="G4090:G4092"/>
    <mergeCell ref="G4064:G4065"/>
    <mergeCell ref="G4055:G4056"/>
    <mergeCell ref="G4231:G4232"/>
    <mergeCell ref="G4278:G4279"/>
    <mergeCell ref="G4251:G4254"/>
    <mergeCell ref="A4182:A4183"/>
    <mergeCell ref="A4233:A4235"/>
    <mergeCell ref="A4237:A4239"/>
    <mergeCell ref="G4311:G4314"/>
    <mergeCell ref="G4493:G4494"/>
    <mergeCell ref="A4193:A4195"/>
    <mergeCell ref="A4184:A4185"/>
    <mergeCell ref="A4167:A4168"/>
    <mergeCell ref="A4164:A4166"/>
    <mergeCell ref="A4354:A4355"/>
    <mergeCell ref="A4367:A4369"/>
    <mergeCell ref="A4360:A4362"/>
    <mergeCell ref="A4339:A4344"/>
    <mergeCell ref="A3906:A3908"/>
    <mergeCell ref="A4477:A4479"/>
    <mergeCell ref="A4442:A4443"/>
    <mergeCell ref="A4427:A4428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82:A4283"/>
    <mergeCell ref="A4284:A4286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4171:A4172"/>
    <mergeCell ref="A4227:A4229"/>
    <mergeCell ref="A4212:A4213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976:A3977"/>
    <mergeCell ref="G3912:G3913"/>
    <mergeCell ref="G3949:G3950"/>
    <mergeCell ref="A3914:A3915"/>
    <mergeCell ref="A3867:A3872"/>
    <mergeCell ref="A3874:A3875"/>
    <mergeCell ref="A3837:A3838"/>
    <mergeCell ref="A3859:A3860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861:A3864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3802:A3803"/>
    <mergeCell ref="A4090:A4092"/>
    <mergeCell ref="A3992:A3995"/>
    <mergeCell ref="A4066:A4070"/>
    <mergeCell ref="A4120:A4122"/>
    <mergeCell ref="A3928:A3929"/>
    <mergeCell ref="A4055:A4056"/>
    <mergeCell ref="A4064:A4065"/>
    <mergeCell ref="A4133:A4136"/>
    <mergeCell ref="A4106:A4108"/>
    <mergeCell ref="A4131:A4132"/>
    <mergeCell ref="A3876:A3879"/>
    <mergeCell ref="A3890:A3891"/>
    <mergeCell ref="A3895:A3896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521:A1522"/>
    <mergeCell ref="A1523:A1524"/>
    <mergeCell ref="A1527:A1529"/>
    <mergeCell ref="A1530:A1531"/>
    <mergeCell ref="G1530:G1531"/>
    <mergeCell ref="A1535:A1537"/>
    <mergeCell ref="A1388:A1389"/>
    <mergeCell ref="A1390:A1391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421:A1422"/>
    <mergeCell ref="A1459:A1460"/>
    <mergeCell ref="G1459:G1460"/>
    <mergeCell ref="A1464:A1465"/>
    <mergeCell ref="A1469:A1470"/>
    <mergeCell ref="G596:G597"/>
    <mergeCell ref="A1021:A1022"/>
    <mergeCell ref="A1046:A1047"/>
    <mergeCell ref="A1075:A1077"/>
    <mergeCell ref="G654:G655"/>
    <mergeCell ref="A640:A643"/>
    <mergeCell ref="A615:A617"/>
    <mergeCell ref="J502:J506"/>
    <mergeCell ref="A1096:A1097"/>
    <mergeCell ref="A1102:A1105"/>
    <mergeCell ref="A1106:A1107"/>
    <mergeCell ref="A1115:A1116"/>
    <mergeCell ref="A1087:A1090"/>
    <mergeCell ref="A1110:A1112"/>
    <mergeCell ref="A1221:A1222"/>
    <mergeCell ref="G1030:G1031"/>
    <mergeCell ref="J734:J735"/>
    <mergeCell ref="A741:A743"/>
    <mergeCell ref="A727:A733"/>
    <mergeCell ref="A659:A662"/>
    <mergeCell ref="A734:A740"/>
    <mergeCell ref="G929:G930"/>
    <mergeCell ref="A1004:A1005"/>
    <mergeCell ref="A1006:A1007"/>
    <mergeCell ref="A1008:A1014"/>
    <mergeCell ref="A1205:A1206"/>
    <mergeCell ref="A1207:A1208"/>
    <mergeCell ref="A1209:A1210"/>
    <mergeCell ref="A1211:A1212"/>
    <mergeCell ref="A974:A976"/>
    <mergeCell ref="A959:A960"/>
    <mergeCell ref="A1117:A1120"/>
    <mergeCell ref="A637:A639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A654:A655"/>
    <mergeCell ref="J264:J265"/>
    <mergeCell ref="A379:A380"/>
    <mergeCell ref="A405:A406"/>
    <mergeCell ref="A907:A908"/>
    <mergeCell ref="A909:A911"/>
    <mergeCell ref="A801:A802"/>
    <mergeCell ref="A1026:A1027"/>
    <mergeCell ref="G815:G816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A937:A938"/>
    <mergeCell ref="A919:A920"/>
    <mergeCell ref="A931:A933"/>
    <mergeCell ref="A559:A563"/>
    <mergeCell ref="A498:A499"/>
    <mergeCell ref="A502:A503"/>
    <mergeCell ref="A716:A718"/>
    <mergeCell ref="A719:A726"/>
    <mergeCell ref="G496:G497"/>
    <mergeCell ref="A493:A494"/>
    <mergeCell ref="A486:A489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G362:G363"/>
    <mergeCell ref="A381:A382"/>
    <mergeCell ref="A383:A384"/>
    <mergeCell ref="A400:A402"/>
    <mergeCell ref="A385:A390"/>
    <mergeCell ref="A408:A409"/>
    <mergeCell ref="A490:A492"/>
    <mergeCell ref="A362:A363"/>
    <mergeCell ref="A471:A472"/>
    <mergeCell ref="A473:A476"/>
    <mergeCell ref="I420:J420"/>
    <mergeCell ref="A317:A318"/>
    <mergeCell ref="A320:A323"/>
    <mergeCell ref="A327:A330"/>
    <mergeCell ref="A334:A335"/>
    <mergeCell ref="A337:A338"/>
    <mergeCell ref="A266:A267"/>
    <mergeCell ref="A268:A269"/>
    <mergeCell ref="G268:G269"/>
    <mergeCell ref="G127:G128"/>
    <mergeCell ref="A182:A183"/>
    <mergeCell ref="A184:A185"/>
    <mergeCell ref="A137:A138"/>
    <mergeCell ref="B137:B138"/>
    <mergeCell ref="A141:A143"/>
    <mergeCell ref="A144:A145"/>
    <mergeCell ref="A213:A215"/>
    <mergeCell ref="A216:A217"/>
    <mergeCell ref="A218:A219"/>
    <mergeCell ref="A180:A181"/>
    <mergeCell ref="G167:G168"/>
    <mergeCell ref="A186:A187"/>
    <mergeCell ref="A188:A189"/>
    <mergeCell ref="A190:A192"/>
    <mergeCell ref="A240:A241"/>
    <mergeCell ref="A243:A244"/>
    <mergeCell ref="A221:A222"/>
    <mergeCell ref="A227:A230"/>
    <mergeCell ref="A258:A259"/>
    <mergeCell ref="A260:A261"/>
    <mergeCell ref="A262:A263"/>
    <mergeCell ref="A264:A265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27:B30"/>
    <mergeCell ref="B31:B34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51:B52"/>
    <mergeCell ref="A55:A56"/>
    <mergeCell ref="A73:A74"/>
    <mergeCell ref="B73:B74"/>
    <mergeCell ref="A91:A92"/>
    <mergeCell ref="B48:B50"/>
    <mergeCell ref="A51:A52"/>
    <mergeCell ref="A59:A60"/>
    <mergeCell ref="B59:B60"/>
    <mergeCell ref="A62:A66"/>
    <mergeCell ref="A67:A68"/>
    <mergeCell ref="B55:B56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108:A110"/>
    <mergeCell ref="A113:A114"/>
    <mergeCell ref="A127:A128"/>
    <mergeCell ref="B127:B128"/>
    <mergeCell ref="B75:B77"/>
    <mergeCell ref="B62:B66"/>
    <mergeCell ref="A105:A107"/>
    <mergeCell ref="B105:B107"/>
    <mergeCell ref="B67:B68"/>
    <mergeCell ref="A146:A147"/>
    <mergeCell ref="A148:A151"/>
    <mergeCell ref="A153:A154"/>
    <mergeCell ref="A196:A197"/>
    <mergeCell ref="G218:G219"/>
    <mergeCell ref="B113:B114"/>
    <mergeCell ref="A116:A117"/>
    <mergeCell ref="B116:B117"/>
    <mergeCell ref="A410:A411"/>
    <mergeCell ref="A403:A404"/>
    <mergeCell ref="A132:A135"/>
    <mergeCell ref="B132:B135"/>
    <mergeCell ref="B91:B92"/>
    <mergeCell ref="A94:A95"/>
    <mergeCell ref="B94:B95"/>
    <mergeCell ref="A139:A140"/>
    <mergeCell ref="A167:A168"/>
    <mergeCell ref="A394:A395"/>
    <mergeCell ref="A398:A399"/>
    <mergeCell ref="A231:A232"/>
    <mergeCell ref="A234:A237"/>
    <mergeCell ref="A238:A239"/>
    <mergeCell ref="A364:A367"/>
    <mergeCell ref="A371:A374"/>
    <mergeCell ref="G314:G315"/>
    <mergeCell ref="A245:A246"/>
    <mergeCell ref="A247:A251"/>
    <mergeCell ref="A158:A159"/>
    <mergeCell ref="A160:A161"/>
    <mergeCell ref="A163:A166"/>
    <mergeCell ref="A118:A120"/>
    <mergeCell ref="B118:B120"/>
    <mergeCell ref="A121:A122"/>
    <mergeCell ref="B121:B122"/>
    <mergeCell ref="A123:A124"/>
    <mergeCell ref="B123:B124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612:A613"/>
    <mergeCell ref="A376:A377"/>
    <mergeCell ref="A415:A418"/>
    <mergeCell ref="A599:A600"/>
    <mergeCell ref="A496:A497"/>
    <mergeCell ref="A504:A506"/>
    <mergeCell ref="G556:G557"/>
    <mergeCell ref="A341:A342"/>
    <mergeCell ref="G408:G409"/>
    <mergeCell ref="A480:A483"/>
    <mergeCell ref="A339:A340"/>
    <mergeCell ref="A556:A557"/>
    <mergeCell ref="A894:A896"/>
    <mergeCell ref="A710:A711"/>
    <mergeCell ref="A713:A715"/>
    <mergeCell ref="A574:A579"/>
    <mergeCell ref="A584:A585"/>
    <mergeCell ref="A587:A592"/>
    <mergeCell ref="A593:A595"/>
    <mergeCell ref="A564:A567"/>
    <mergeCell ref="A568:A570"/>
    <mergeCell ref="A648:A650"/>
    <mergeCell ref="A651:A653"/>
    <mergeCell ref="A618:A620"/>
    <mergeCell ref="A644:A646"/>
    <mergeCell ref="A551:A553"/>
    <mergeCell ref="A571:A573"/>
    <mergeCell ref="A596:A597"/>
    <mergeCell ref="A601:A603"/>
    <mergeCell ref="A607:A610"/>
    <mergeCell ref="A621:A623"/>
    <mergeCell ref="A624:A628"/>
    <mergeCell ref="A629:A630"/>
    <mergeCell ref="A791:A792"/>
    <mergeCell ref="A793:A796"/>
    <mergeCell ref="A846:A849"/>
    <mergeCell ref="A755:A760"/>
    <mergeCell ref="A823:A829"/>
    <mergeCell ref="A751:A754"/>
    <mergeCell ref="A833:A835"/>
    <mergeCell ref="A747:A750"/>
    <mergeCell ref="A804:A808"/>
    <mergeCell ref="A889:A890"/>
    <mergeCell ref="A878:A880"/>
    <mergeCell ref="A884:A886"/>
    <mergeCell ref="A921:A922"/>
    <mergeCell ref="A786:A788"/>
    <mergeCell ref="A929:A930"/>
    <mergeCell ref="A817:A819"/>
    <mergeCell ref="A842:A843"/>
    <mergeCell ref="A900:A904"/>
    <mergeCell ref="A813:A814"/>
    <mergeCell ref="A935:A936"/>
    <mergeCell ref="A862:A864"/>
    <mergeCell ref="A865:A866"/>
    <mergeCell ref="A868:A870"/>
    <mergeCell ref="A872:A874"/>
    <mergeCell ref="A925:A928"/>
    <mergeCell ref="A809:A812"/>
    <mergeCell ref="A839:A841"/>
    <mergeCell ref="A912:A914"/>
    <mergeCell ref="A915:A916"/>
    <mergeCell ref="A897:A898"/>
    <mergeCell ref="A917:A918"/>
    <mergeCell ref="A923:A924"/>
    <mergeCell ref="A789:A790"/>
    <mergeCell ref="G762:G763"/>
    <mergeCell ref="A881:A882"/>
    <mergeCell ref="A968:A969"/>
    <mergeCell ref="A971:A973"/>
    <mergeCell ref="A995:A999"/>
    <mergeCell ref="A1000:A1001"/>
    <mergeCell ref="A1002:A1003"/>
    <mergeCell ref="A836:A838"/>
    <mergeCell ref="A774:A778"/>
    <mergeCell ref="A779:A783"/>
    <mergeCell ref="A850:A852"/>
    <mergeCell ref="A855:A860"/>
    <mergeCell ref="A876:A877"/>
    <mergeCell ref="A891:A893"/>
    <mergeCell ref="A784:A785"/>
    <mergeCell ref="A815:A816"/>
    <mergeCell ref="A762:A763"/>
    <mergeCell ref="A766:A768"/>
    <mergeCell ref="A769:A771"/>
    <mergeCell ref="A943:A947"/>
    <mergeCell ref="A955:A956"/>
    <mergeCell ref="A957:A958"/>
    <mergeCell ref="A980:A982"/>
    <mergeCell ref="A983:A984"/>
    <mergeCell ref="A977:A979"/>
    <mergeCell ref="G983:G984"/>
    <mergeCell ref="A985:A987"/>
    <mergeCell ref="A939:A941"/>
    <mergeCell ref="A988:A989"/>
    <mergeCell ref="A990:A992"/>
    <mergeCell ref="A948:A949"/>
    <mergeCell ref="A951:A954"/>
    <mergeCell ref="G1202:G1203"/>
    <mergeCell ref="G1080:G1081"/>
    <mergeCell ref="A1082:A1083"/>
    <mergeCell ref="A1125:A1126"/>
    <mergeCell ref="A1127:A1128"/>
    <mergeCell ref="A1136:A1137"/>
    <mergeCell ref="A1023:A1025"/>
    <mergeCell ref="A1294:A1295"/>
    <mergeCell ref="A5091:A5092"/>
    <mergeCell ref="A4825:A4826"/>
    <mergeCell ref="A1121:A1122"/>
    <mergeCell ref="G1121:G1122"/>
    <mergeCell ref="A1092:A1093"/>
    <mergeCell ref="A1070:A1071"/>
    <mergeCell ref="A1072:A1074"/>
    <mergeCell ref="A1242:A1243"/>
    <mergeCell ref="A1235:A1236"/>
    <mergeCell ref="A1238:A1239"/>
    <mergeCell ref="A1296:A1298"/>
    <mergeCell ref="A1246:A1247"/>
    <mergeCell ref="A1248:A1249"/>
    <mergeCell ref="A1252:A1253"/>
    <mergeCell ref="A1257:A1258"/>
    <mergeCell ref="A1250:A1251"/>
    <mergeCell ref="A1043:A1045"/>
    <mergeCell ref="A1172:A1173"/>
    <mergeCell ref="A1199:A1200"/>
    <mergeCell ref="A1202:A1203"/>
    <mergeCell ref="G1167:G1168"/>
    <mergeCell ref="A1170:A1171"/>
    <mergeCell ref="A1232:A1233"/>
    <mergeCell ref="A1138:A1139"/>
    <mergeCell ref="G1377:G1378"/>
    <mergeCell ref="A963:A967"/>
    <mergeCell ref="A5094:A5097"/>
    <mergeCell ref="A4939:A4941"/>
    <mergeCell ref="A1017:A1018"/>
    <mergeCell ref="A1019:A1020"/>
    <mergeCell ref="A1068:A1069"/>
    <mergeCell ref="A1144:A1145"/>
    <mergeCell ref="A1146:A1147"/>
    <mergeCell ref="A1148:A1151"/>
    <mergeCell ref="A1154:A1156"/>
    <mergeCell ref="A1158:A1162"/>
    <mergeCell ref="A1163:A1166"/>
    <mergeCell ref="A1167:A1168"/>
    <mergeCell ref="A1030:A1031"/>
    <mergeCell ref="A1223:A1224"/>
    <mergeCell ref="A1035:A1036"/>
    <mergeCell ref="A1041:A1042"/>
    <mergeCell ref="A1140:A1141"/>
    <mergeCell ref="A1216:A1217"/>
    <mergeCell ref="A1226:A1230"/>
    <mergeCell ref="A1176:A1179"/>
    <mergeCell ref="A1180:A1181"/>
    <mergeCell ref="A1182:A1183"/>
    <mergeCell ref="A1186:A1190"/>
    <mergeCell ref="A1062:A1063"/>
    <mergeCell ref="A1065:A1067"/>
    <mergeCell ref="A1282:A1283"/>
    <mergeCell ref="A1284:A1285"/>
    <mergeCell ref="A1318:A1322"/>
    <mergeCell ref="A1324:A1325"/>
    <mergeCell ref="A1328:A1329"/>
    <mergeCell ref="A6601:A6602"/>
    <mergeCell ref="A1286:A1287"/>
    <mergeCell ref="A1289:A1290"/>
    <mergeCell ref="A1291:A1292"/>
    <mergeCell ref="A1374:A1375"/>
    <mergeCell ref="A1377:A1378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G1250:G1251"/>
    <mergeCell ref="A1244:A1245"/>
    <mergeCell ref="A1299:A1300"/>
    <mergeCell ref="A1301:A1302"/>
    <mergeCell ref="G1291:G1292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5501:A5502"/>
    <mergeCell ref="A5523:A5525"/>
    <mergeCell ref="A6555:A6556"/>
    <mergeCell ref="A6559:A6561"/>
    <mergeCell ref="A6567:A6568"/>
    <mergeCell ref="A5588:A5589"/>
    <mergeCell ref="A5590:A5592"/>
    <mergeCell ref="A5593:A5594"/>
    <mergeCell ref="A6581:A6583"/>
    <mergeCell ref="A6585:A6586"/>
    <mergeCell ref="A1218:A1219"/>
    <mergeCell ref="A1032:A1034"/>
    <mergeCell ref="A1028:A1029"/>
    <mergeCell ref="A1052:A1059"/>
    <mergeCell ref="A4893:A4894"/>
    <mergeCell ref="A1192:A1193"/>
    <mergeCell ref="A1194:A1197"/>
    <mergeCell ref="A1078:A1079"/>
    <mergeCell ref="A1080:A1081"/>
    <mergeCell ref="A1305:A1306"/>
    <mergeCell ref="A1308:A1309"/>
    <mergeCell ref="A1311:A1312"/>
    <mergeCell ref="A1259:A1260"/>
    <mergeCell ref="A1262:A1263"/>
    <mergeCell ref="A1264:A1265"/>
    <mergeCell ref="A1268:A1269"/>
    <mergeCell ref="A1270:A1271"/>
    <mergeCell ref="A1273:A1278"/>
    <mergeCell ref="A1330:A1331"/>
    <mergeCell ref="A1380:A1381"/>
    <mergeCell ref="A1382:A1383"/>
    <mergeCell ref="A1384:A1385"/>
    <mergeCell ref="A6604:A6605"/>
    <mergeCell ref="A5612:A5615"/>
    <mergeCell ref="A5617:A5618"/>
    <mergeCell ref="A6592:A6593"/>
    <mergeCell ref="A6595:A6599"/>
    <mergeCell ref="A6754:A6755"/>
    <mergeCell ref="A6691:A6692"/>
    <mergeCell ref="A6663:A6664"/>
    <mergeCell ref="A6644:A6647"/>
    <mergeCell ref="A6649:A6651"/>
    <mergeCell ref="A6709:A6712"/>
    <mergeCell ref="A6611:A6612"/>
    <mergeCell ref="A6614:A6616"/>
    <mergeCell ref="A6684:A6687"/>
    <mergeCell ref="A6632:A6634"/>
    <mergeCell ref="A5351:A5353"/>
    <mergeCell ref="A5355:A5357"/>
    <mergeCell ref="A5408:A5409"/>
    <mergeCell ref="A5551:A5552"/>
    <mergeCell ref="A5553:A5555"/>
    <mergeCell ref="A5584:A5587"/>
    <mergeCell ref="A5564:A5565"/>
    <mergeCell ref="A5570:A5572"/>
    <mergeCell ref="A5561:A5562"/>
    <mergeCell ref="A6670:A6672"/>
    <mergeCell ref="A5527:A5528"/>
    <mergeCell ref="A6608:A6609"/>
    <mergeCell ref="A5472:A5474"/>
    <mergeCell ref="A5489:A5490"/>
    <mergeCell ref="A6624:A6625"/>
    <mergeCell ref="A6629:A6631"/>
    <mergeCell ref="A5400:A5401"/>
    <mergeCell ref="A6782:A6784"/>
    <mergeCell ref="A6713:A6714"/>
    <mergeCell ref="A6750:A6752"/>
    <mergeCell ref="A6733:A6734"/>
    <mergeCell ref="A6756:A6758"/>
    <mergeCell ref="A6654:A6655"/>
    <mergeCell ref="A6617:A6618"/>
    <mergeCell ref="A6678:A6679"/>
    <mergeCell ref="A6738:A6739"/>
    <mergeCell ref="A6766:A6767"/>
    <mergeCell ref="A6741:A6743"/>
    <mergeCell ref="A6744:A6746"/>
    <mergeCell ref="A6747:A6749"/>
    <mergeCell ref="A6763:A6765"/>
    <mergeCell ref="A6771:A6774"/>
    <mergeCell ref="A6688:A6690"/>
    <mergeCell ref="A6660:A6661"/>
    <mergeCell ref="A6638:A6639"/>
    <mergeCell ref="A6640:A6642"/>
    <mergeCell ref="A6675:A6676"/>
    <mergeCell ref="A6731:A6732"/>
    <mergeCell ref="A6680:A6681"/>
    <mergeCell ref="A6682:A6683"/>
    <mergeCell ref="A6635:A6637"/>
    <mergeCell ref="A6789:A6790"/>
    <mergeCell ref="A6836:A6838"/>
    <mergeCell ref="A6833:A6835"/>
    <mergeCell ref="A6908:A6911"/>
    <mergeCell ref="A6912:A6913"/>
    <mergeCell ref="G6660:G6661"/>
    <mergeCell ref="A6759:A6762"/>
    <mergeCell ref="G6080:G6081"/>
    <mergeCell ref="A5609:A5610"/>
    <mergeCell ref="A5619:A5620"/>
    <mergeCell ref="A5621:A5622"/>
    <mergeCell ref="A5623:A5624"/>
    <mergeCell ref="A5599:A5600"/>
    <mergeCell ref="A6735:A6736"/>
    <mergeCell ref="A6695:A6697"/>
    <mergeCell ref="A6700:A6702"/>
    <mergeCell ref="G6721:G6722"/>
    <mergeCell ref="A6721:A6722"/>
    <mergeCell ref="A6723:A6724"/>
    <mergeCell ref="G6723:G6724"/>
    <mergeCell ref="A6725:A6726"/>
    <mergeCell ref="A6718:A6720"/>
    <mergeCell ref="A6693:A6694"/>
    <mergeCell ref="A6673:A6674"/>
    <mergeCell ref="A6703:A6706"/>
    <mergeCell ref="G5599:G5600"/>
    <mergeCell ref="A5602:A5603"/>
    <mergeCell ref="A6578:A6580"/>
    <mergeCell ref="G5623:G5624"/>
    <mergeCell ref="A5606:A5607"/>
    <mergeCell ref="A6785:A6786"/>
    <mergeCell ref="A6780:A6781"/>
    <mergeCell ref="A6920:A6922"/>
    <mergeCell ref="G6785:G6786"/>
    <mergeCell ref="G6787:G6788"/>
    <mergeCell ref="A6801:A6802"/>
    <mergeCell ref="A6769:A6770"/>
    <mergeCell ref="A6915:A6919"/>
    <mergeCell ref="A6887:A6888"/>
    <mergeCell ref="A6889:A6890"/>
    <mergeCell ref="A6854:A6855"/>
    <mergeCell ref="A6852:A6853"/>
    <mergeCell ref="A6896:A6898"/>
    <mergeCell ref="A6899:A6901"/>
    <mergeCell ref="A6812:A6815"/>
    <mergeCell ref="A6902:A6905"/>
    <mergeCell ref="A6870:A6872"/>
    <mergeCell ref="A6873:A6875"/>
    <mergeCell ref="A6876:A6877"/>
    <mergeCell ref="A6829:A6832"/>
    <mergeCell ref="A6808:A6811"/>
    <mergeCell ref="A6797:A6800"/>
    <mergeCell ref="A6787:A6788"/>
    <mergeCell ref="A6775:A6777"/>
    <mergeCell ref="A6864:A6865"/>
    <mergeCell ref="A6866:A6867"/>
    <mergeCell ref="A6878:A6879"/>
    <mergeCell ref="A6856:A6859"/>
    <mergeCell ref="A6817:A6821"/>
    <mergeCell ref="A6891:A6892"/>
    <mergeCell ref="A6881:A6882"/>
    <mergeCell ref="A6861:A6863"/>
    <mergeCell ref="A6822:A6828"/>
    <mergeCell ref="A6791:A6793"/>
    <mergeCell ref="A7011:A7013"/>
    <mergeCell ref="A7017:A7019"/>
    <mergeCell ref="A6999:A7003"/>
    <mergeCell ref="G6999:G7003"/>
    <mergeCell ref="A7004:A7005"/>
    <mergeCell ref="A6985:A6986"/>
    <mergeCell ref="A6987:A6988"/>
    <mergeCell ref="A6989:A6991"/>
    <mergeCell ref="G6876:G6877"/>
    <mergeCell ref="A6958:A6960"/>
    <mergeCell ref="G6718:G6720"/>
    <mergeCell ref="G6878:G6879"/>
    <mergeCell ref="G6861:G6863"/>
    <mergeCell ref="A6589:A6590"/>
    <mergeCell ref="A6668:A6669"/>
    <mergeCell ref="A6948:A6950"/>
    <mergeCell ref="G6948:G6950"/>
    <mergeCell ref="G6932:G6935"/>
    <mergeCell ref="A6928:A6931"/>
    <mergeCell ref="A6932:A6935"/>
    <mergeCell ref="A6951:A6952"/>
    <mergeCell ref="A6924:A6925"/>
    <mergeCell ref="A6926:A6927"/>
    <mergeCell ref="A6936:A6937"/>
    <mergeCell ref="A6943:A6947"/>
    <mergeCell ref="G6943:G6947"/>
    <mergeCell ref="A6893:A6895"/>
    <mergeCell ref="A6840:A6843"/>
    <mergeCell ref="A6844:A6846"/>
    <mergeCell ref="A6847:A6851"/>
    <mergeCell ref="A6727:A6728"/>
    <mergeCell ref="A6729:A6730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User</cp:lastModifiedBy>
  <cp:revision>375</cp:revision>
  <cp:lastPrinted>2026-01-29T07:41:29Z</cp:lastPrinted>
  <dcterms:created xsi:type="dcterms:W3CDTF">2015-06-05T18:19:34Z</dcterms:created>
  <dcterms:modified xsi:type="dcterms:W3CDTF">2026-08-19T15:15:12Z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