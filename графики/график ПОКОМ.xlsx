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5EB0CA9-296F-4F6F-88EE-29340D867DB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Лист1!$A$2:$N$6819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812" i="1" l="1"/>
  <c r="A6815" i="1" l="1"/>
  <c r="A6816" i="1" l="1"/>
  <c r="A6819" i="1" l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s="1"/>
  <c r="A6789" i="1" s="1"/>
  <c r="A6791" i="1" l="1"/>
  <c r="A6794" i="1" s="1"/>
  <c r="A6795" i="1" s="1"/>
  <c r="A6796" i="1" l="1"/>
  <c r="A6797" i="1" s="1"/>
  <c r="A6801" i="1" l="1"/>
  <c r="A6803" i="1" l="1"/>
  <c r="A6804" i="1" s="1"/>
  <c r="A6805" i="1" l="1"/>
  <c r="A6806" i="1" s="1"/>
  <c r="A6807" i="1" s="1"/>
  <c r="A6808" i="1" s="1"/>
  <c r="A6822" i="1" l="1"/>
  <c r="A6826" i="1" s="1"/>
  <c r="A6828" i="1" s="1"/>
  <c r="A6829" i="1" l="1"/>
  <c r="A6830" i="1" l="1"/>
  <c r="A6831" i="1" s="1"/>
  <c r="A6832" i="1" s="1"/>
  <c r="A6833" i="1" l="1"/>
  <c r="A6834" i="1" s="1"/>
  <c r="A6835" i="1" s="1"/>
</calcChain>
</file>

<file path=xl/sharedStrings.xml><?xml version="1.0" encoding="utf-8"?>
<sst xmlns="http://schemas.openxmlformats.org/spreadsheetml/2006/main" count="43131" uniqueCount="1776">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</sst>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6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6" borderId="90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35"/>
  <sheetViews>
    <sheetView tabSelected="1" zoomScale="85" zoomScaleNormal="85" workbookViewId="0">
      <pane ySplit="2" topLeftCell="A6805" activePane="bottomLeft" state="frozen"/>
      <selection pane="bottomLeft" activeCell="O6816" sqref="O681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69" customWidth="1"/>
    <col min="16" max="16" width="14.140625" style="848" customWidth="1"/>
    <col min="17" max="17" width="10.42578125" style="834" customWidth="1"/>
    <col min="18" max="1021" width="9.140625" style="2"/>
  </cols>
  <sheetData>
    <row r="1" spans="1:17" ht="19.5" customHeight="1" thickBot="1" x14ac:dyDescent="0.3">
      <c r="A1" s="950" t="s">
        <v>0</v>
      </c>
      <c r="B1" s="950"/>
      <c r="C1" s="950"/>
      <c r="D1" s="950"/>
      <c r="E1" s="950"/>
      <c r="F1" s="950"/>
      <c r="G1" s="950"/>
      <c r="H1" s="950"/>
      <c r="I1" s="950"/>
      <c r="J1" s="950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51">
        <v>1</v>
      </c>
      <c r="B3" s="95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51"/>
      <c r="B4" s="95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44">
        <v>3</v>
      </c>
      <c r="B6" s="94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44"/>
      <c r="B7" s="94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44"/>
      <c r="B8" s="94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44">
        <v>5</v>
      </c>
      <c r="B10" s="94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44"/>
      <c r="B11" s="94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49">
        <v>8</v>
      </c>
      <c r="B14" s="94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49"/>
      <c r="B15" s="94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44">
        <v>11</v>
      </c>
      <c r="B18" s="94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44"/>
      <c r="B19" s="94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44"/>
      <c r="B20" s="94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44"/>
      <c r="B21" s="94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44">
        <v>13</v>
      </c>
      <c r="B23" s="94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44"/>
      <c r="B24" s="94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49">
        <v>14</v>
      </c>
      <c r="B25" s="94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49"/>
      <c r="B26" s="94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44">
        <v>15</v>
      </c>
      <c r="B27" s="94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44"/>
      <c r="B28" s="94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44"/>
      <c r="B29" s="94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44"/>
      <c r="B30" s="94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49">
        <v>16</v>
      </c>
      <c r="B31" s="94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49"/>
      <c r="B32" s="94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49"/>
      <c r="B33" s="94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49"/>
      <c r="B34" s="94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44">
        <v>17</v>
      </c>
      <c r="B35" s="94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44"/>
      <c r="B36" s="94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44">
        <v>21</v>
      </c>
      <c r="B40" s="94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44"/>
      <c r="B41" s="94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44">
        <v>23</v>
      </c>
      <c r="B43" s="94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44"/>
      <c r="B44" s="94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44"/>
      <c r="B45" s="94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49">
        <v>24</v>
      </c>
      <c r="B46" s="94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49"/>
      <c r="B47" s="94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44">
        <v>25</v>
      </c>
      <c r="B48" s="94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44"/>
      <c r="B49" s="94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44"/>
      <c r="B50" s="94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49">
        <v>26</v>
      </c>
      <c r="B51" s="94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49"/>
      <c r="B52" s="94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44">
        <v>29</v>
      </c>
      <c r="B55" s="94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44"/>
      <c r="B56" s="94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49">
        <v>32</v>
      </c>
      <c r="B59" s="94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49"/>
      <c r="B60" s="94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49">
        <v>34</v>
      </c>
      <c r="B62" s="94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49"/>
      <c r="B63" s="94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49"/>
      <c r="B64" s="94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49"/>
      <c r="B65" s="94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49"/>
      <c r="B66" s="94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44">
        <v>35</v>
      </c>
      <c r="B67" s="94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44"/>
      <c r="B68" s="94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21">
        <v>40</v>
      </c>
      <c r="B73" s="94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21"/>
      <c r="B74" s="94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22">
        <v>41</v>
      </c>
      <c r="B75" s="94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22"/>
      <c r="B76" s="94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22"/>
      <c r="B77" s="94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21">
        <v>42</v>
      </c>
      <c r="B78" s="94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21"/>
      <c r="B79" s="94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22">
        <v>49</v>
      </c>
      <c r="B86" s="94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22"/>
      <c r="B87" s="94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22"/>
      <c r="B88" s="94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21">
        <v>50</v>
      </c>
      <c r="B89" s="94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21"/>
      <c r="B90" s="94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22">
        <v>51</v>
      </c>
      <c r="B91" s="94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22"/>
      <c r="B92" s="94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22">
        <v>53</v>
      </c>
      <c r="B94" s="94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22"/>
      <c r="B95" s="94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21">
        <v>54</v>
      </c>
      <c r="B96" s="94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21"/>
      <c r="B97" s="94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21"/>
      <c r="B98" s="94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21">
        <v>58</v>
      </c>
      <c r="B102" s="94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21"/>
      <c r="B103" s="94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21">
        <v>60</v>
      </c>
      <c r="B105" s="94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21"/>
      <c r="B106" s="94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21"/>
      <c r="B107" s="94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22">
        <v>61</v>
      </c>
      <c r="B108" s="94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22"/>
      <c r="B109" s="94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22"/>
      <c r="B110" s="94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21">
        <v>64</v>
      </c>
      <c r="B113" s="94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21"/>
      <c r="B114" s="94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21">
        <v>66</v>
      </c>
      <c r="B116" s="94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21"/>
      <c r="B117" s="94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22">
        <v>67</v>
      </c>
      <c r="B118" s="94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22"/>
      <c r="B119" s="94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22"/>
      <c r="B120" s="94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21">
        <v>68</v>
      </c>
      <c r="B121" s="94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21"/>
      <c r="B122" s="94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22">
        <v>69</v>
      </c>
      <c r="B123" s="94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22"/>
      <c r="B124" s="94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21">
        <v>72</v>
      </c>
      <c r="B127" s="949" t="s">
        <v>65</v>
      </c>
      <c r="C127" s="119" t="s">
        <v>26</v>
      </c>
      <c r="D127" s="120">
        <v>3.3</v>
      </c>
      <c r="E127" s="121"/>
      <c r="F127" s="122" t="s">
        <v>30</v>
      </c>
      <c r="G127" s="94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21"/>
      <c r="B128" s="949"/>
      <c r="C128" s="103" t="s">
        <v>26</v>
      </c>
      <c r="D128" s="88">
        <v>12.9</v>
      </c>
      <c r="E128" s="106"/>
      <c r="F128" s="107" t="s">
        <v>16</v>
      </c>
      <c r="G128" s="94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21">
        <v>76</v>
      </c>
      <c r="B132" s="94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21"/>
      <c r="B133" s="94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21"/>
      <c r="B134" s="94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21"/>
      <c r="B135" s="94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21">
        <v>78</v>
      </c>
      <c r="B137" s="94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21"/>
      <c r="B138" s="94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2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2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2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2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2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2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2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2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2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2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2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2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2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2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2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2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2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2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2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2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2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2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4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2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4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2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2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2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2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2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2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2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2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2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2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2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2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2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2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2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2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2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2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2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2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2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2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2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2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2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2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2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2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2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2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2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2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2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2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2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2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2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2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2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2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2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2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2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2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2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2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2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2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2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2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2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2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2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2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2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2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2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2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2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2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2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2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2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2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2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2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2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2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2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2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2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2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2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2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3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2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33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2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2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2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2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2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2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2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2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2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2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2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2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2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2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2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2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2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2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2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2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2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2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2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2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2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2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2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2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2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2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2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2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2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4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2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4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2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2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2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2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2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2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2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2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2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2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2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2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2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2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2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2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2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2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2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2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2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2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2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2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2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2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2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2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2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2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2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2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2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2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2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2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2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2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2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2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2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2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2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2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2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2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2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2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2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2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2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2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2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2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2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2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2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2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2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2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2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2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2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2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2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2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2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2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2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2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2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2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2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2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2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2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2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2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2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2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42" t="s">
        <v>133</v>
      </c>
      <c r="J420" s="942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2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2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2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2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2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2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2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2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2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2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2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2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2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2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2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2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2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2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2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2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2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2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2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2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2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2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2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2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2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2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2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2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2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2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2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2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2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2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2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2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2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2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2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2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2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2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2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2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2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2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2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2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2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2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2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2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2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2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2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2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2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2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2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2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2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2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2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4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2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41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2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41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2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41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2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41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2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2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2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2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2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2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2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2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2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2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2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2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2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2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2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2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2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2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2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2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2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2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2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2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2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2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2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2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2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2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2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2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2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2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2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2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2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2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2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2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2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2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2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2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2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2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2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2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2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2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2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2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2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2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2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2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2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2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2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2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2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2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2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2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2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2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2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2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2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2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2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2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2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2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2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2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2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2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2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2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2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2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2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2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2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2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2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2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2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2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2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2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2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2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2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2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2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2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2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2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2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2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2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2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2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2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2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2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2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2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2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2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2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2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2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2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2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2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2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2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2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2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2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2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2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2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2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2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3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2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38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2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2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2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2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2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2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2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2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2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2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2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2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2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2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2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2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2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2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2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2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2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2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2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2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2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2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2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2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2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2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2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2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3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3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3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2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2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2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3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3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2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2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2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3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3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2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2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2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2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2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2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2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2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2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2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2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2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2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2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2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2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2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2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2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2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2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2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4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2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40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2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2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2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2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2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2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2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2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2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2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2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2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2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2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2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2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5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5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5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5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5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5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2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2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2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2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2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2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2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2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2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2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2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2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2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2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2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2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2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2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2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2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5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5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2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2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2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2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2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2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2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2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2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2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2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2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2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2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2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2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2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2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2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2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2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2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2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2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2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2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2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2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2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2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2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2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2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2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2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2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2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2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2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2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2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2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2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2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2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2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2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2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2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2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2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2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2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2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2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2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2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2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2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2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2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2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2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2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2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2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2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2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2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2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2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2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2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2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2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2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2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2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2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2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2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2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2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2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2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2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2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2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2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2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2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2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2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2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2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2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2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2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2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2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2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2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2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2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2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2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2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2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2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2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2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2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2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2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2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2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2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2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2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2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2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2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2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2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2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2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2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2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2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2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2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2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2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2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2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2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2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2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2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2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2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2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2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2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2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5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5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2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2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2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2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2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2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2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2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2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2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2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2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2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2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2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2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2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2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2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2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2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2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2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2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2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2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2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2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2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2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2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2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2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2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2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2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2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2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2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2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2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2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2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2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2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2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2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2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2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2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2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2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2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2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2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2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2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2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2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2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2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2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2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2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2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2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2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2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2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2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2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2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2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2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2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2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2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2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2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2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2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2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2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2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2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2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2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2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2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2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2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2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2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2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2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2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2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2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2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2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2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2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2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2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2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2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2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2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2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2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2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2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2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2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2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2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2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2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2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2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2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2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2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2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2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2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2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2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2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2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2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2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2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2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2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2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2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2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2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2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2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2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2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2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2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2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2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2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2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2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2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2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2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2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2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2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2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2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2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2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2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2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2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2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2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2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2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2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2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2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2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2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2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2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2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2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2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2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2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2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2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2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2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2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2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2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2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2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2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2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2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2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2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2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2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2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2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2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2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2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2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2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2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2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2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2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2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2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2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2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2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2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2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2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2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2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2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2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2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2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2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2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2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2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2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2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2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2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2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2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2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2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2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2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2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2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2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2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2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2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2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2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2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2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2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2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2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2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2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2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2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2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2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2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2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2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2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2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2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2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2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2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2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2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2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2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2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2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2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2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2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2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2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2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2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2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2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2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2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2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2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2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2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2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2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2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2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2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2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2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2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2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2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2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2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2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2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2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2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2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2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2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2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3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2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3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2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2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2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2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2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2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2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2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2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2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2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2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2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2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2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2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2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2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2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2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2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2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2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2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2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2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2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2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2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2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2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2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2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2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2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2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2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2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2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2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2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2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2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2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2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2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2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2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2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2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2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2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2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2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2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2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2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2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2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2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2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2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2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2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2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2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2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2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2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2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2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2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2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2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2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2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2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2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2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2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2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2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2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2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2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2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2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2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2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2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2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2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2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2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2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2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2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2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2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2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2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2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2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2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2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2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2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2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2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2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2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2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2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2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2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2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2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2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2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2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2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2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2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2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2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2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2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2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2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2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2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2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2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2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2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2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2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2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2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2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2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2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2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2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2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2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2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2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2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2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2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2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2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2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2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2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2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2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2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2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2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2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2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2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2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2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2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2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2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2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2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2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2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2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2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2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2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2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2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2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2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2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2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2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2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2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2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2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2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2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2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2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2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2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2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2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2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2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2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2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2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2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2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2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2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2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2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2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2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2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2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2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2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2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2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2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2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2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2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2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2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2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2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2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2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2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2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2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2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2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2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2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2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2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2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2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2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2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2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2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2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2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2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2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2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2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2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2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2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2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2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2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2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2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2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2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2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2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2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2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2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2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2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2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2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2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2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2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2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2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2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2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2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2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2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2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2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2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2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2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2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2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2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2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2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2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2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2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2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2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2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2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2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2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2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2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2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2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2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2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2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2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2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2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2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2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2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2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2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2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2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2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2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2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2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2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2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2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2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2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2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2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2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2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2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2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2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2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2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2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2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2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2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2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2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2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2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2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2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2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2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2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2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2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2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2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2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2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2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2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2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2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2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2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2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2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2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2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2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2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2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2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2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2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2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2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2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2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2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2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2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2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2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2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2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2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2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2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2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2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2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2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2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2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2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2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2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2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2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2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2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2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2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2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2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2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2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2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2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2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2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2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2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2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2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2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2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2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2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2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2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2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2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2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2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2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2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2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2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2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2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2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2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2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2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2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2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2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2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2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2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2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2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2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2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2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2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2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2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2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2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2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2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2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2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2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2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2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2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2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2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2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2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2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2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2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2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2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2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2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2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2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2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2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2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2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2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2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2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2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2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2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2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2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2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2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2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2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2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2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2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2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2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2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2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2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2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2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2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2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2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2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2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2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2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2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2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2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2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2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2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2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2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2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2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2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2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2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2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2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2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2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2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2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2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2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2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2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2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2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2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2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2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2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2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2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2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2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2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2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2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2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2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2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2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2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2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2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2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2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2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2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2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2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2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2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2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2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2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2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2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2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3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35" t="s">
        <v>467</v>
      </c>
      <c r="H2160" s="414" t="s">
        <v>515</v>
      </c>
      <c r="I2160" s="415" t="s">
        <v>516</v>
      </c>
      <c r="J2160" s="93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3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35"/>
      <c r="H2161" s="421" t="s">
        <v>515</v>
      </c>
      <c r="I2161" s="422" t="s">
        <v>516</v>
      </c>
      <c r="J2161" s="93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3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35"/>
      <c r="H2162" s="429" t="s">
        <v>515</v>
      </c>
      <c r="I2162" s="430" t="s">
        <v>516</v>
      </c>
      <c r="J2162" s="93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3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35" t="s">
        <v>467</v>
      </c>
      <c r="H2165" s="414" t="s">
        <v>516</v>
      </c>
      <c r="I2165" s="415" t="s">
        <v>516</v>
      </c>
      <c r="J2165" s="93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3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35"/>
      <c r="H2166" s="429" t="s">
        <v>516</v>
      </c>
      <c r="I2166" s="430" t="s">
        <v>516</v>
      </c>
      <c r="J2166" s="93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2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2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2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2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2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2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2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2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2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2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2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2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2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2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2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2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2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2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2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2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2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2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2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3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2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3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2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3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2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3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2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2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2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2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2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2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2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2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2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2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2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2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2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2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2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2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2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2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2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2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2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2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2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2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2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2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2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2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2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2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2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2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2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2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2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2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2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2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2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2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2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2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2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2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2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2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2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2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2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2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2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2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2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2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2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2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2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2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2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2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2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2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2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2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2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2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2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2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2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2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2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2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2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2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2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2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2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2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2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2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2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2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2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2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2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2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2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2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2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2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2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2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2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2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2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2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2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2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2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2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2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2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2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2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2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2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2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2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2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2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2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2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2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2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2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2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2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2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2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2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2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2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2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2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2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2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2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2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2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2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2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2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2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2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2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2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2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2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2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2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2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2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2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2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2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2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2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2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2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2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2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2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2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2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2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2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2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2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2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2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2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2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2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2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2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2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2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2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2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2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2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2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2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2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2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2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2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2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2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2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2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2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2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2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2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2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2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2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2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2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2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2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2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2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2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2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2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2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2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2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2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2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2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2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2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2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2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2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2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2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2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2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2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2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2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2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2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2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2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2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2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2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2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2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3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3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3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3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2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2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2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2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2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2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2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2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2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2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2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2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2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2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2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2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2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2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2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2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2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2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2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2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2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2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2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2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2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2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2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2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2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2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2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2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2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2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2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2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2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2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2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2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2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2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2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2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2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2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2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2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2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2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2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2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2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2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2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2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2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2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2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2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2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2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2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2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2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2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2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2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2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2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2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2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2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2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2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2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2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2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2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2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2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2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2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2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2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2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2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2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2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2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2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2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2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2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2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2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2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2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2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2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2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2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2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2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2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2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2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2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2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2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2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2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2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2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2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2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2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2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2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2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2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2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2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2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2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2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2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2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2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2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2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2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2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2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2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2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2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2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2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2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2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2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2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2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2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2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2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2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2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2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2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2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2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2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2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2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2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2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2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2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2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2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2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2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2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2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2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2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2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2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2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2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2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2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2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2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2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2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2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2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2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2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2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2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2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2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2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2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2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2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2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2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2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2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2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2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2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2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2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2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2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2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2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2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2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2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2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2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2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2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2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2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2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2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2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2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2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2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2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2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2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2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2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2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2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2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2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2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2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2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2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2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2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2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2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2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2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2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2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2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2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2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2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2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2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2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2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2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2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2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2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2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2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2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2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2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2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2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2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2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2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2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2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2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2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2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2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2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2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2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2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2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2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2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2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2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2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2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2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2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2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2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2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2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2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2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2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2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2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2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2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2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2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2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2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2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2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2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2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2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2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2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2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2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2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2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2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2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2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2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2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2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2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2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2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2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2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2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2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2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2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2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2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2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2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2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2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2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2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2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2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2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2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2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2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2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2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2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2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2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2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2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2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2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2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2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2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2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2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2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2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2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2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2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2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2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2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2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2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2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2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2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2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2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2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2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2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2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2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2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2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2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2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2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2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2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2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2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2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2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2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2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2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2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2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2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2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2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2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2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2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2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2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2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2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2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2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2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2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2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2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2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2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2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2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2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2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2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2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2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2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2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2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2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2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2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2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2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2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2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2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2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2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2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2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2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2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2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2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2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2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2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2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2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2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2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2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2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2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2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2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2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2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2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2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2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2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2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2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2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2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2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2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2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2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2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2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2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2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2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2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2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2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2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2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2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2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2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2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2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2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2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2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2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2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2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2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2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2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2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2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2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2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2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2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2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2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2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2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2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2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2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2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2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2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2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2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2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2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2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2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2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2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2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2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2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2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2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2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2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2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2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2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2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2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2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2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2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2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2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2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2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2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2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2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2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2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2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2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2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2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2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2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2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2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2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2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2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2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2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2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2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2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2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2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2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2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2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2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2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2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2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2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2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2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2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2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2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2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2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2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2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2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2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2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2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2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2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2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2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2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2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2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2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2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2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2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2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2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2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2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2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2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2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2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2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2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2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2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2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2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2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2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2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2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2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2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2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2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2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2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2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2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2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2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2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2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2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2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2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2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2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2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2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2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2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2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2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2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2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2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2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2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2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2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2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2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2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2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2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2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2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2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2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2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2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2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2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2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2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2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2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2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2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2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2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2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2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2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2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2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2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2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2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2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2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2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2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2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2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2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2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2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2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2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2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2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2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2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2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2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2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2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2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2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2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2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2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2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2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2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2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2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2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2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2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2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2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2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2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2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2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2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2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2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2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2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2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2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2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2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2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2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2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2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2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2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2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2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2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2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2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2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2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2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2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2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2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2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2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2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2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2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2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2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2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2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2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2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2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2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2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2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2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2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2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2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2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2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2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2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2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2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2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2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8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0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0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8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0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0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0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0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8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1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8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1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8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0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1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1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8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8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1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8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1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8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1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8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8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0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1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1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8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1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8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0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1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1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8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1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8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8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1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8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8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8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1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8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0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1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1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8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0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1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1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8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1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8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1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8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8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1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8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1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8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1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8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1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8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8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1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8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0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1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1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8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1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8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1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8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1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8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0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1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1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8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1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8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1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8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0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1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1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8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8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1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8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1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8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0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1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1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8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1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8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1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8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1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8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8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1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8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1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8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8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8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8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1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8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0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0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1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1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8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1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8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1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8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8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0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1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1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8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1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8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1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8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1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8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1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8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8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1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8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1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8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1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8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1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8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1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8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0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1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1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8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8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1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8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1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8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1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8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1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8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1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8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8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8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1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8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1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8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1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8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1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8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1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8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1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8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8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1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8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0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1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1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8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1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8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1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8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1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8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0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0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1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1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8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0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1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1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8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1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8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1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8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8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1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8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1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8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1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8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1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8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1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8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0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1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1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8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1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8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1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8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1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8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8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8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8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1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8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8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0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1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1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8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1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8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8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1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8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1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8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1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8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1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8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1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0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1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2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8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1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8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1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8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1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8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1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8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1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8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1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8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8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8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9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8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8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8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0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9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1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8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8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0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8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0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8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8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8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8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9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8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9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8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8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8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8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0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8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0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8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8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8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8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8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9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8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8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9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8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8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8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9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8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8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8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9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8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9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8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8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9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8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8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9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8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8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8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9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8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8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8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9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8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9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8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9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8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8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8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8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8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9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8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8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8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8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8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8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8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8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9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8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8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8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9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8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0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9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1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8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8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8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8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8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9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8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9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8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0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8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0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8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9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8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9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8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8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8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9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8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8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0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8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0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8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9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8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8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8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8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8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9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8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8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9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8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8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9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8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0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0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0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9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1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8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8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8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9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8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9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8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8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8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9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8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0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8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0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8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8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8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8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8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8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8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9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8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9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8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8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8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9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8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8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8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8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8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9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8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8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8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9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8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0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0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8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9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8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8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8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8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8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8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9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8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8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8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9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8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8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8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8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8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9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8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8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9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8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9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8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9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8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8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8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8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8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9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8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8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8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8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8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8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8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9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8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9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8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0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8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9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8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8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8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9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8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8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8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9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8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9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8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8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8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9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8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8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8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9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8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8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8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9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8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8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8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8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9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8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9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8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9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8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8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8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9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8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8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8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9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8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8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8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8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8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9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8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8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8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0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0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9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1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8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8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8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8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8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8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8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9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8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9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8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8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9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8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9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8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0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9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1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8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8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8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8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8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8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9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8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8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9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8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9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8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9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8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8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8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9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8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8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8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9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8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8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8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9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8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8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1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8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8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9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8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8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8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9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8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8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8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9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8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0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9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1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8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9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8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8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8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9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8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8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8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8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8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8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8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9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8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0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8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0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8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8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8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0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8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0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8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8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9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8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8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8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0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9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1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8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9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8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8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8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8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0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0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8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8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8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8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8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9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8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8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8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0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9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1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8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9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8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8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8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0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8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0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8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9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8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8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9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8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8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9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8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8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8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9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8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0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8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0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8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9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8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0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9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1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8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8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8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9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8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0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8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0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8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9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8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8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8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9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8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8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0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9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1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8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8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9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8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0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9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1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8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8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8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9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8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8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8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9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8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8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8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9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8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8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8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0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9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1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8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8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8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8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0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0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8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8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8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8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8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9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8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9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8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9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8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8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8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0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9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1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8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9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8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0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8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0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8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8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8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8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9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8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8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8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0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9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1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8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8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8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9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8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0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8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0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8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9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8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8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8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9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8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8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8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0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8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0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8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8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8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9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8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9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8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8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8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0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8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0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8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0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8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0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8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8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9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8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8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8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9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8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8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8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0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8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0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8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8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9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8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0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8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0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8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9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8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8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8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0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0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0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8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0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8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0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1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1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8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8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8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8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0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14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8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8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8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9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8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8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8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9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8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9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8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0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8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0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8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8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0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8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0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8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8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8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8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8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9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8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0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0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0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0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8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8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8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0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9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1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8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9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8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8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8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0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9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1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8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8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9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8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8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8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0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9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1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8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8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8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8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8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8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8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8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8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8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8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8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9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8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8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8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9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8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8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8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9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8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0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0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8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8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8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8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8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0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9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1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8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9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8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0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9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1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8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9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8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8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8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9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8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0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8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0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8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8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8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8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9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8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8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8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8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8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0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9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1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8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8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8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8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8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8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9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8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8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8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9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8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8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8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9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8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9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8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8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8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8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9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8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8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8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0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8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8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8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8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8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9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8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8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8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8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8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8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9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8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8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8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8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9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8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8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8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9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8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8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0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0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0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0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0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8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8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8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8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8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8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8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8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8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8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8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9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8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8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8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8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9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8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9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8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8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8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0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8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0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8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0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8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8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8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8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9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8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8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8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9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8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9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8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8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8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8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8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8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1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8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8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1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0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0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8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8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8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0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9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1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8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8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8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0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0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8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8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8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9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8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8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8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9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8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8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8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0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9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1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8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9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8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8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8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9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8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8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8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9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8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8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8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8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8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8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8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8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9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8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9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8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8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8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8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8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8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8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9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8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8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8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8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8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0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8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0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8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9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8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9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8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8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8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9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8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0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9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1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8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9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8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8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8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9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8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0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8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0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8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8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8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8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8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8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9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8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8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0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8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0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8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0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8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8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8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8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0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8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9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8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8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8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8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8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8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0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9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1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8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8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8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9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8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9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8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9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8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8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8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8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9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8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8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8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8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9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8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8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8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9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8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8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8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9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8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0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8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0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8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8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8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9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8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9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8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9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8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9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8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8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8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9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8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0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8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0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8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9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5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5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89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0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0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8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8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89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0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9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0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9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89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0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8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8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0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8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0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6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9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6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6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6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0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0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8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8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8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8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8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8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8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8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8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8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1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8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1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8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9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8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9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8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9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8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8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8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8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8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8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8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8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9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8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8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8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8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9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8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8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8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8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8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8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8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8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8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8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8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9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8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0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8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0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8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8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0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0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9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9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9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9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5"/>
    </row>
    <row r="6674" spans="1:17" ht="18.75" hidden="1" customHeight="1" thickBot="1" x14ac:dyDescent="0.3">
      <c r="A6674" s="90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5"/>
    </row>
    <row r="6675" spans="1:17" ht="19.5" hidden="1" thickBot="1" x14ac:dyDescent="0.3">
      <c r="A6675" s="88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5"/>
    </row>
    <row r="6676" spans="1:17" ht="19.5" hidden="1" thickBot="1" x14ac:dyDescent="0.3">
      <c r="A6676" s="89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5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5"/>
    </row>
    <row r="6678" spans="1:17" ht="19.5" hidden="1" thickBot="1" x14ac:dyDescent="0.3">
      <c r="A6678" s="88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1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9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5" t="s">
        <v>1647</v>
      </c>
      <c r="Q6680" s="834" t="s">
        <v>1648</v>
      </c>
    </row>
    <row r="6681" spans="1:17" ht="18.75" hidden="1" customHeight="1" thickBot="1" x14ac:dyDescent="0.3">
      <c r="A6681" s="90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5"/>
    </row>
    <row r="6682" spans="1:17" ht="19.5" hidden="1" thickBot="1" x14ac:dyDescent="0.3">
      <c r="A6682" s="89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5" t="s">
        <v>1651</v>
      </c>
      <c r="Q6682" s="834" t="s">
        <v>1652</v>
      </c>
    </row>
    <row r="6683" spans="1:17" ht="18.75" hidden="1" customHeight="1" thickBot="1" x14ac:dyDescent="0.3">
      <c r="A6683" s="89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1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5"/>
    </row>
    <row r="6684" spans="1:17" ht="19.5" hidden="1" thickBot="1" x14ac:dyDescent="0.3">
      <c r="A6684" s="89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93"/>
      <c r="B6685" s="825" t="s">
        <v>1595</v>
      </c>
      <c r="C6685" s="821" t="s">
        <v>24</v>
      </c>
      <c r="D6685" s="822">
        <v>11.436999999999999</v>
      </c>
      <c r="E6685" s="823">
        <v>10.012</v>
      </c>
      <c r="F6685" s="820" t="s">
        <v>16</v>
      </c>
      <c r="G6685" s="824"/>
      <c r="H6685" s="820" t="s">
        <v>1615</v>
      </c>
      <c r="I6685" s="782" t="s">
        <v>1635</v>
      </c>
      <c r="J6685" s="826"/>
      <c r="K6685" s="820" t="str">
        <f t="shared" si="202"/>
        <v>07,26</v>
      </c>
      <c r="L6685" s="820" t="s">
        <v>28</v>
      </c>
      <c r="M6685" s="820">
        <v>11590.22</v>
      </c>
      <c r="N6685" s="812">
        <v>0.45833333333333331</v>
      </c>
      <c r="O6685" s="758" t="s">
        <v>1679</v>
      </c>
    </row>
    <row r="6686" spans="1:17" ht="19.5" hidden="1" thickBot="1" x14ac:dyDescent="0.3">
      <c r="A6686" s="893"/>
      <c r="B6686" s="814" t="s">
        <v>1615</v>
      </c>
      <c r="C6686" s="815" t="s">
        <v>15</v>
      </c>
      <c r="D6686" s="816">
        <v>0.7</v>
      </c>
      <c r="E6686" s="816">
        <v>0.71299999999999997</v>
      </c>
      <c r="F6686" s="817" t="s">
        <v>16</v>
      </c>
      <c r="G6686" s="818" t="s">
        <v>76</v>
      </c>
      <c r="H6686" s="817" t="s">
        <v>1615</v>
      </c>
      <c r="I6686" s="817" t="s">
        <v>1635</v>
      </c>
      <c r="J6686" s="819"/>
      <c r="K6686" s="817" t="str">
        <f t="shared" si="202"/>
        <v>07,26</v>
      </c>
      <c r="L6686" s="817" t="s">
        <v>28</v>
      </c>
      <c r="M6686" s="817">
        <v>720</v>
      </c>
      <c r="N6686" s="812">
        <v>0.45833333333333331</v>
      </c>
      <c r="O6686" s="758" t="s">
        <v>1680</v>
      </c>
    </row>
    <row r="6687" spans="1:17" ht="19.5" hidden="1" thickBot="1" x14ac:dyDescent="0.3">
      <c r="A6687" s="902"/>
      <c r="B6687" s="827" t="s">
        <v>1615</v>
      </c>
      <c r="C6687" s="828" t="s">
        <v>24</v>
      </c>
      <c r="D6687" s="829">
        <v>1</v>
      </c>
      <c r="E6687" s="829">
        <v>1.0109999999999999</v>
      </c>
      <c r="F6687" s="830" t="s">
        <v>16</v>
      </c>
      <c r="G6687" s="831" t="s">
        <v>76</v>
      </c>
      <c r="H6687" s="830" t="s">
        <v>1615</v>
      </c>
      <c r="I6687" s="830" t="s">
        <v>1635</v>
      </c>
      <c r="J6687" s="832"/>
      <c r="K6687" s="830" t="str">
        <f t="shared" si="202"/>
        <v>07,26</v>
      </c>
      <c r="L6687" s="830" t="s">
        <v>28</v>
      </c>
      <c r="M6687" s="830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9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9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5"/>
    </row>
    <row r="6690" spans="1:16" ht="19.5" hidden="1" thickBot="1" x14ac:dyDescent="0.3">
      <c r="A6690" s="89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5"/>
    </row>
    <row r="6691" spans="1:16" ht="19.5" hidden="1" thickBot="1" x14ac:dyDescent="0.3">
      <c r="A6691" s="89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0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9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9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1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9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5"/>
    </row>
    <row r="6696" spans="1:16" ht="19.5" hidden="1" thickBot="1" x14ac:dyDescent="0.3">
      <c r="A6696" s="893"/>
      <c r="B6696" s="814" t="s">
        <v>1614</v>
      </c>
      <c r="C6696" s="815" t="s">
        <v>26</v>
      </c>
      <c r="D6696" s="816">
        <v>3.5</v>
      </c>
      <c r="E6696" s="816">
        <v>1.8009999999999999</v>
      </c>
      <c r="F6696" s="817" t="s">
        <v>16</v>
      </c>
      <c r="G6696" s="818" t="s">
        <v>76</v>
      </c>
      <c r="H6696" s="817" t="s">
        <v>1620</v>
      </c>
      <c r="I6696" s="817" t="s">
        <v>1620</v>
      </c>
      <c r="J6696" s="819"/>
      <c r="K6696" s="817" t="str">
        <f t="shared" si="202"/>
        <v>07,26</v>
      </c>
      <c r="L6696" s="817" t="s">
        <v>265</v>
      </c>
      <c r="M6696" s="817">
        <v>3510</v>
      </c>
      <c r="N6696" s="812">
        <v>0.375</v>
      </c>
      <c r="O6696" s="758" t="s">
        <v>1655</v>
      </c>
      <c r="P6696" s="835"/>
    </row>
    <row r="6697" spans="1:16" ht="19.5" hidden="1" thickBot="1" x14ac:dyDescent="0.3">
      <c r="A6697" s="902"/>
      <c r="B6697" s="813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5"/>
    </row>
    <row r="6698" spans="1:16" ht="19.5" hidden="1" thickBot="1" x14ac:dyDescent="0.3">
      <c r="A6698" s="89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5"/>
    </row>
    <row r="6699" spans="1:16" ht="18.75" hidden="1" customHeight="1" thickBot="1" x14ac:dyDescent="0.3">
      <c r="A6699" s="89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1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5"/>
    </row>
    <row r="6700" spans="1:16" ht="19.5" hidden="1" thickBot="1" x14ac:dyDescent="0.3">
      <c r="A6700" s="89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5"/>
    </row>
    <row r="6701" spans="1:16" ht="19.5" hidden="1" thickBot="1" x14ac:dyDescent="0.3">
      <c r="A6701" s="893"/>
      <c r="B6701" s="814" t="s">
        <v>1614</v>
      </c>
      <c r="C6701" s="815" t="s">
        <v>23</v>
      </c>
      <c r="D6701" s="816">
        <v>4</v>
      </c>
      <c r="E6701" s="816">
        <v>4.0439999999999996</v>
      </c>
      <c r="F6701" s="817" t="s">
        <v>16</v>
      </c>
      <c r="G6701" s="818"/>
      <c r="H6701" s="817" t="s">
        <v>1620</v>
      </c>
      <c r="I6701" s="817" t="s">
        <v>1620</v>
      </c>
      <c r="J6701" s="819"/>
      <c r="K6701" s="817" t="str">
        <f t="shared" si="202"/>
        <v>07,26</v>
      </c>
      <c r="L6701" s="817" t="s">
        <v>28</v>
      </c>
      <c r="M6701" s="817">
        <v>4022.4</v>
      </c>
      <c r="N6701" s="812">
        <v>0.45833333333333331</v>
      </c>
      <c r="O6701" s="758" t="s">
        <v>1638</v>
      </c>
    </row>
    <row r="6702" spans="1:16" ht="19.5" hidden="1" thickBot="1" x14ac:dyDescent="0.3">
      <c r="A6702" s="902"/>
      <c r="B6702" s="813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8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9" t="s">
        <v>1666</v>
      </c>
    </row>
    <row r="6704" spans="1:16" ht="19.5" hidden="1" thickBot="1" x14ac:dyDescent="0.3">
      <c r="A6704" s="891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9" t="s">
        <v>1667</v>
      </c>
    </row>
    <row r="6705" spans="1:16" ht="19.5" hidden="1" thickBot="1" x14ac:dyDescent="0.3">
      <c r="A6705" s="891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9" t="s">
        <v>1668</v>
      </c>
    </row>
    <row r="6706" spans="1:16" ht="19.5" hidden="1" thickBot="1" x14ac:dyDescent="0.3">
      <c r="A6706" s="891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1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9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9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9" t="s">
        <v>1659</v>
      </c>
    </row>
    <row r="6709" spans="1:16" ht="19.5" hidden="1" thickBot="1" x14ac:dyDescent="0.3">
      <c r="A6709" s="88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9" t="s">
        <v>1673</v>
      </c>
      <c r="P6709" s="848" t="s">
        <v>1675</v>
      </c>
    </row>
    <row r="6710" spans="1:16" ht="19.5" hidden="1" thickBot="1" x14ac:dyDescent="0.3">
      <c r="A6710" s="88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9" t="s">
        <v>1671</v>
      </c>
    </row>
    <row r="6711" spans="1:16" ht="19.5" hidden="1" thickBot="1" x14ac:dyDescent="0.3">
      <c r="A6711" s="88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9" t="s">
        <v>1672</v>
      </c>
    </row>
    <row r="6712" spans="1:16" ht="19.5" hidden="1" thickBot="1" x14ac:dyDescent="0.3">
      <c r="A6712" s="888"/>
      <c r="B6712" s="833" t="s">
        <v>1615</v>
      </c>
      <c r="C6712" s="828" t="s">
        <v>26</v>
      </c>
      <c r="D6712" s="829">
        <v>2</v>
      </c>
      <c r="E6712" s="829">
        <v>2.0179999999999998</v>
      </c>
      <c r="F6712" s="830" t="s">
        <v>16</v>
      </c>
      <c r="G6712" s="831" t="s">
        <v>76</v>
      </c>
      <c r="H6712" s="830" t="s">
        <v>1631</v>
      </c>
      <c r="I6712" s="830" t="s">
        <v>1635</v>
      </c>
      <c r="J6712" s="832"/>
      <c r="K6712" s="830" t="str">
        <f t="shared" si="202"/>
        <v>07,26</v>
      </c>
      <c r="L6712" s="830" t="s">
        <v>265</v>
      </c>
      <c r="M6712" s="830">
        <v>2010</v>
      </c>
      <c r="N6712" s="644">
        <v>0.375</v>
      </c>
      <c r="O6712" s="869" t="s">
        <v>1674</v>
      </c>
    </row>
    <row r="6713" spans="1:16" ht="19.5" hidden="1" thickBot="1" x14ac:dyDescent="0.3">
      <c r="A6713" s="89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9" t="s">
        <v>1698</v>
      </c>
    </row>
    <row r="6714" spans="1:16" ht="19.5" hidden="1" thickBot="1" x14ac:dyDescent="0.3">
      <c r="A6714" s="89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1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9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9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9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9" t="s">
        <v>1664</v>
      </c>
      <c r="P6717" s="848" t="s">
        <v>1665</v>
      </c>
    </row>
    <row r="6718" spans="1:16" ht="19.5" hidden="1" thickBot="1" x14ac:dyDescent="0.3">
      <c r="A6718" s="89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5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9" t="s">
        <v>1690</v>
      </c>
    </row>
    <row r="6719" spans="1:16" ht="19.5" hidden="1" thickBot="1" x14ac:dyDescent="0.3">
      <c r="A6719" s="89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5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9" t="s">
        <v>1689</v>
      </c>
    </row>
    <row r="6720" spans="1:16" ht="19.5" hidden="1" thickBot="1" x14ac:dyDescent="0.3">
      <c r="A6720" s="89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57"/>
      <c r="H6720" s="808" t="s">
        <v>1631</v>
      </c>
      <c r="I6720" s="808" t="s">
        <v>1635</v>
      </c>
      <c r="J6720" s="811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9" t="s">
        <v>1691</v>
      </c>
    </row>
    <row r="6721" spans="1:17" ht="19.5" hidden="1" thickBot="1" x14ac:dyDescent="0.3">
      <c r="A6721" s="88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9" t="s">
        <v>1682</v>
      </c>
    </row>
    <row r="6722" spans="1:17" ht="19.5" hidden="1" thickBot="1" x14ac:dyDescent="0.3">
      <c r="A6722" s="888"/>
      <c r="B6722" s="837" t="s">
        <v>1631</v>
      </c>
      <c r="C6722" s="838" t="s">
        <v>47</v>
      </c>
      <c r="D6722" s="839">
        <v>0.9</v>
      </c>
      <c r="E6722" s="839">
        <v>0.92400000000000004</v>
      </c>
      <c r="F6722" s="840" t="s">
        <v>16</v>
      </c>
      <c r="G6722" s="912"/>
      <c r="H6722" s="840" t="s">
        <v>1631</v>
      </c>
      <c r="I6722" s="840" t="s">
        <v>1635</v>
      </c>
      <c r="J6722" s="841"/>
      <c r="K6722" s="840" t="str">
        <f t="shared" si="202"/>
        <v>07,26</v>
      </c>
      <c r="L6722" s="840" t="s">
        <v>28</v>
      </c>
      <c r="M6722" s="840">
        <v>918</v>
      </c>
      <c r="N6722" s="598">
        <v>0.5</v>
      </c>
      <c r="O6722" s="869" t="s">
        <v>1683</v>
      </c>
    </row>
    <row r="6723" spans="1:17" ht="19.5" hidden="1" thickBot="1" x14ac:dyDescent="0.3">
      <c r="A6723" s="89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0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9" t="s">
        <v>1669</v>
      </c>
    </row>
    <row r="6724" spans="1:17" ht="19.5" hidden="1" thickBot="1" x14ac:dyDescent="0.3">
      <c r="A6724" s="895"/>
      <c r="B6724" s="842" t="s">
        <v>1631</v>
      </c>
      <c r="C6724" s="843" t="s">
        <v>23</v>
      </c>
      <c r="D6724" s="844">
        <v>1.7</v>
      </c>
      <c r="E6724" s="844">
        <v>1.722</v>
      </c>
      <c r="F6724" s="845" t="s">
        <v>16</v>
      </c>
      <c r="G6724" s="904"/>
      <c r="H6724" s="845" t="s">
        <v>1631</v>
      </c>
      <c r="I6724" s="845" t="s">
        <v>1635</v>
      </c>
      <c r="J6724" s="846"/>
      <c r="K6724" s="845" t="str">
        <f t="shared" si="202"/>
        <v>07,26</v>
      </c>
      <c r="L6724" s="845" t="s">
        <v>28</v>
      </c>
      <c r="M6724" s="845">
        <v>1728</v>
      </c>
      <c r="N6724" s="847">
        <v>0.54166666666666663</v>
      </c>
      <c r="O6724" s="869" t="s">
        <v>1670</v>
      </c>
      <c r="Q6724" s="836"/>
    </row>
    <row r="6725" spans="1:17" ht="19.5" hidden="1" thickBot="1" x14ac:dyDescent="0.3">
      <c r="A6725" s="89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9" t="s">
        <v>1685</v>
      </c>
      <c r="P6725" s="835"/>
    </row>
    <row r="6726" spans="1:17" ht="19.5" hidden="1" thickBot="1" x14ac:dyDescent="0.3">
      <c r="A6726" s="90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9" t="s">
        <v>1686</v>
      </c>
      <c r="P6726" s="835"/>
    </row>
    <row r="6727" spans="1:17" ht="19.5" hidden="1" thickBot="1" x14ac:dyDescent="0.3">
      <c r="A6727" s="88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9" t="s">
        <v>1687</v>
      </c>
    </row>
    <row r="6728" spans="1:17" ht="19.5" hidden="1" thickBot="1" x14ac:dyDescent="0.3">
      <c r="A6728" s="89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9" t="s">
        <v>1688</v>
      </c>
    </row>
    <row r="6729" spans="1:17" ht="19.5" hidden="1" thickBot="1" x14ac:dyDescent="0.3">
      <c r="A6729" s="88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9" t="s">
        <v>1696</v>
      </c>
    </row>
    <row r="6730" spans="1:17" ht="19.5" hidden="1" thickBot="1" x14ac:dyDescent="0.3">
      <c r="A6730" s="88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9" t="s">
        <v>1697</v>
      </c>
      <c r="P6730" s="835"/>
    </row>
    <row r="6731" spans="1:17" ht="19.5" hidden="1" thickBot="1" x14ac:dyDescent="0.3">
      <c r="A6731" s="88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9" t="s">
        <v>1694</v>
      </c>
    </row>
    <row r="6732" spans="1:17" ht="19.5" hidden="1" thickBot="1" x14ac:dyDescent="0.3">
      <c r="A6732" s="891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9" t="s">
        <v>1695</v>
      </c>
      <c r="P6732" s="835"/>
    </row>
    <row r="6733" spans="1:17" ht="19.5" hidden="1" thickBot="1" x14ac:dyDescent="0.3">
      <c r="A6733" s="90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70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9" t="s">
        <v>1692</v>
      </c>
      <c r="P6733" s="835"/>
    </row>
    <row r="6734" spans="1:17" ht="19.5" hidden="1" thickBot="1" x14ac:dyDescent="0.3">
      <c r="A6734" s="906"/>
      <c r="B6734" s="849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9" t="s">
        <v>1693</v>
      </c>
      <c r="P6734" s="835"/>
    </row>
    <row r="6735" spans="1:17" ht="19.5" hidden="1" thickBot="1" x14ac:dyDescent="0.3">
      <c r="A6735" s="894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9" t="s">
        <v>1709</v>
      </c>
      <c r="P6735" s="835"/>
    </row>
    <row r="6736" spans="1:17" ht="19.5" hidden="1" thickBot="1" x14ac:dyDescent="0.3">
      <c r="A6736" s="89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1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9" t="s">
        <v>1710</v>
      </c>
      <c r="P6736" s="835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9" t="s">
        <v>1706</v>
      </c>
      <c r="P6737" s="835"/>
    </row>
    <row r="6738" spans="1:16" ht="19.5" hidden="1" thickBot="1" x14ac:dyDescent="0.3">
      <c r="A6738" s="894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9" t="s">
        <v>1707</v>
      </c>
      <c r="P6738" s="835"/>
    </row>
    <row r="6739" spans="1:16" ht="19.5" hidden="1" thickBot="1" x14ac:dyDescent="0.3">
      <c r="A6739" s="89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1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9" t="s">
        <v>1708</v>
      </c>
      <c r="P6739" s="835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9" t="s">
        <v>1716</v>
      </c>
    </row>
    <row r="6741" spans="1:16" ht="19.5" hidden="1" thickBot="1" x14ac:dyDescent="0.3">
      <c r="A6741" s="894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9" t="s">
        <v>1728</v>
      </c>
      <c r="P6741" s="848" t="s">
        <v>1731</v>
      </c>
    </row>
    <row r="6742" spans="1:16" ht="19.5" hidden="1" thickBot="1" x14ac:dyDescent="0.3">
      <c r="A6742" s="896"/>
      <c r="B6742" s="842" t="s">
        <v>1701</v>
      </c>
      <c r="C6742" s="843" t="s">
        <v>26</v>
      </c>
      <c r="D6742" s="844">
        <v>0.2</v>
      </c>
      <c r="E6742" s="844">
        <v>0.20899999999999999</v>
      </c>
      <c r="F6742" s="845" t="s">
        <v>16</v>
      </c>
      <c r="G6742" s="853" t="s">
        <v>76</v>
      </c>
      <c r="H6742" s="845" t="s">
        <v>1701</v>
      </c>
      <c r="I6742" s="845" t="s">
        <v>1701</v>
      </c>
      <c r="J6742" s="846"/>
      <c r="K6742" s="845" t="str">
        <f t="shared" si="203"/>
        <v>07,26</v>
      </c>
      <c r="L6742" s="845" t="s">
        <v>265</v>
      </c>
      <c r="M6742" s="845">
        <v>210</v>
      </c>
      <c r="N6742" s="502">
        <v>0.375</v>
      </c>
      <c r="O6742" s="869" t="s">
        <v>1730</v>
      </c>
    </row>
    <row r="6743" spans="1:16" ht="19.5" hidden="1" thickBot="1" x14ac:dyDescent="0.3">
      <c r="A6743" s="895"/>
      <c r="B6743" s="842" t="s">
        <v>1700</v>
      </c>
      <c r="C6743" s="843" t="s">
        <v>26</v>
      </c>
      <c r="D6743" s="844">
        <v>1.2</v>
      </c>
      <c r="E6743" s="844">
        <v>1.222</v>
      </c>
      <c r="F6743" s="845" t="s">
        <v>16</v>
      </c>
      <c r="G6743" s="853" t="s">
        <v>76</v>
      </c>
      <c r="H6743" s="845" t="s">
        <v>1701</v>
      </c>
      <c r="I6743" s="845" t="s">
        <v>1701</v>
      </c>
      <c r="J6743" s="846"/>
      <c r="K6743" s="845" t="str">
        <f t="shared" si="203"/>
        <v>07,26</v>
      </c>
      <c r="L6743" s="845" t="s">
        <v>265</v>
      </c>
      <c r="M6743" s="845">
        <v>1200</v>
      </c>
      <c r="N6743" s="847">
        <v>0.375</v>
      </c>
      <c r="O6743" s="869" t="s">
        <v>1729</v>
      </c>
    </row>
    <row r="6744" spans="1:16" ht="19.5" hidden="1" thickBot="1" x14ac:dyDescent="0.3">
      <c r="A6744" s="88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9" t="s">
        <v>1712</v>
      </c>
      <c r="P6744" s="848" t="s">
        <v>1715</v>
      </c>
    </row>
    <row r="6745" spans="1:16" ht="19.5" hidden="1" thickBot="1" x14ac:dyDescent="0.3">
      <c r="A6745" s="887"/>
      <c r="B6745" s="854" t="s">
        <v>1701</v>
      </c>
      <c r="C6745" s="838" t="s">
        <v>26</v>
      </c>
      <c r="D6745" s="839">
        <v>0.5</v>
      </c>
      <c r="E6745" s="839">
        <v>0.50700000000000001</v>
      </c>
      <c r="F6745" s="840" t="s">
        <v>16</v>
      </c>
      <c r="G6745" s="852" t="s">
        <v>76</v>
      </c>
      <c r="H6745" s="840" t="s">
        <v>1701</v>
      </c>
      <c r="I6745" s="840" t="s">
        <v>1701</v>
      </c>
      <c r="J6745" s="841"/>
      <c r="K6745" s="840" t="str">
        <f t="shared" si="203"/>
        <v>07,26</v>
      </c>
      <c r="L6745" s="840" t="s">
        <v>265</v>
      </c>
      <c r="M6745" s="840">
        <v>510</v>
      </c>
      <c r="N6745" s="598">
        <v>0.41666666666666669</v>
      </c>
      <c r="O6745" s="869" t="s">
        <v>1714</v>
      </c>
    </row>
    <row r="6746" spans="1:16" ht="19.5" hidden="1" thickBot="1" x14ac:dyDescent="0.3">
      <c r="A6746" s="88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9" t="s">
        <v>1713</v>
      </c>
      <c r="P6746" s="848" t="s">
        <v>1720</v>
      </c>
    </row>
    <row r="6747" spans="1:16" ht="19.5" hidden="1" thickBot="1" x14ac:dyDescent="0.3">
      <c r="A6747" s="88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9" t="s">
        <v>1717</v>
      </c>
    </row>
    <row r="6748" spans="1:16" ht="19.5" hidden="1" thickBot="1" x14ac:dyDescent="0.3">
      <c r="A6748" s="891"/>
      <c r="B6748" s="842" t="s">
        <v>1701</v>
      </c>
      <c r="C6748" s="843" t="s">
        <v>26</v>
      </c>
      <c r="D6748" s="844">
        <v>0.76</v>
      </c>
      <c r="E6748" s="844">
        <v>0.76700000000000002</v>
      </c>
      <c r="F6748" s="845" t="s">
        <v>16</v>
      </c>
      <c r="G6748" s="853" t="s">
        <v>76</v>
      </c>
      <c r="H6748" s="845" t="s">
        <v>1701</v>
      </c>
      <c r="I6748" s="845" t="s">
        <v>1701</v>
      </c>
      <c r="J6748" s="846"/>
      <c r="K6748" s="845" t="str">
        <f t="shared" si="203"/>
        <v>07,26</v>
      </c>
      <c r="L6748" s="845" t="s">
        <v>265</v>
      </c>
      <c r="M6748" s="845">
        <v>765</v>
      </c>
      <c r="N6748" s="502">
        <v>0.45833333333333331</v>
      </c>
      <c r="O6748" s="869" t="s">
        <v>1719</v>
      </c>
    </row>
    <row r="6749" spans="1:16" ht="19.5" hidden="1" thickBot="1" x14ac:dyDescent="0.3">
      <c r="A6749" s="89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1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9" t="s">
        <v>1718</v>
      </c>
    </row>
    <row r="6750" spans="1:16" ht="19.5" hidden="1" thickBot="1" x14ac:dyDescent="0.3">
      <c r="A6750" s="88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9" t="s">
        <v>1747</v>
      </c>
    </row>
    <row r="6751" spans="1:16" ht="19.5" hidden="1" thickBot="1" x14ac:dyDescent="0.3">
      <c r="A6751" s="88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9" t="s">
        <v>1748</v>
      </c>
    </row>
    <row r="6752" spans="1:16" ht="19.5" hidden="1" thickBot="1" x14ac:dyDescent="0.3">
      <c r="A6752" s="88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9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9" t="s">
        <v>1711</v>
      </c>
    </row>
    <row r="6754" spans="1:15" ht="19.5" hidden="1" thickBot="1" x14ac:dyDescent="0.3">
      <c r="A6754" s="88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9" t="s">
        <v>1736</v>
      </c>
    </row>
    <row r="6755" spans="1:15" ht="19.5" hidden="1" thickBot="1" x14ac:dyDescent="0.3">
      <c r="A6755" s="888"/>
      <c r="B6755" s="837" t="s">
        <v>1701</v>
      </c>
      <c r="C6755" s="838" t="s">
        <v>26</v>
      </c>
      <c r="D6755" s="839">
        <v>4.4000000000000004</v>
      </c>
      <c r="E6755" s="839">
        <v>4.4219999999999997</v>
      </c>
      <c r="F6755" s="840" t="s">
        <v>16</v>
      </c>
      <c r="G6755" s="852" t="s">
        <v>76</v>
      </c>
      <c r="H6755" s="840" t="s">
        <v>1703</v>
      </c>
      <c r="I6755" s="840" t="s">
        <v>1703</v>
      </c>
      <c r="J6755" s="841"/>
      <c r="K6755" s="840" t="str">
        <f t="shared" si="203"/>
        <v>07,26</v>
      </c>
      <c r="L6755" s="840" t="s">
        <v>265</v>
      </c>
      <c r="M6755" s="840">
        <v>4410</v>
      </c>
      <c r="N6755" s="804">
        <v>0.375</v>
      </c>
      <c r="O6755" s="869" t="s">
        <v>1737</v>
      </c>
    </row>
    <row r="6756" spans="1:15" ht="19.5" hidden="1" thickBot="1" x14ac:dyDescent="0.3">
      <c r="A6756" s="894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9" t="s">
        <v>1738</v>
      </c>
    </row>
    <row r="6757" spans="1:15" ht="19.5" hidden="1" thickBot="1" x14ac:dyDescent="0.3">
      <c r="A6757" s="896"/>
      <c r="B6757" s="866" t="s">
        <v>1703</v>
      </c>
      <c r="C6757" s="863" t="s">
        <v>26</v>
      </c>
      <c r="D6757" s="864">
        <v>0.3</v>
      </c>
      <c r="E6757" s="864">
        <v>0.29899999999999999</v>
      </c>
      <c r="F6757" s="862" t="s">
        <v>16</v>
      </c>
      <c r="G6757" s="865"/>
      <c r="H6757" s="862" t="s">
        <v>1703</v>
      </c>
      <c r="I6757" s="862" t="s">
        <v>1703</v>
      </c>
      <c r="J6757" s="867"/>
      <c r="K6757" s="862" t="str">
        <f t="shared" si="203"/>
        <v>07,26</v>
      </c>
      <c r="L6757" s="862" t="s">
        <v>265</v>
      </c>
      <c r="M6757" s="862">
        <v>300</v>
      </c>
      <c r="N6757" s="770">
        <v>0.41666666666666669</v>
      </c>
      <c r="O6757" s="869" t="s">
        <v>1740</v>
      </c>
    </row>
    <row r="6758" spans="1:15" ht="19.5" hidden="1" thickBot="1" x14ac:dyDescent="0.3">
      <c r="A6758" s="895"/>
      <c r="B6758" s="855" t="s">
        <v>1701</v>
      </c>
      <c r="C6758" s="856" t="s">
        <v>26</v>
      </c>
      <c r="D6758" s="857">
        <v>4</v>
      </c>
      <c r="E6758" s="857">
        <v>4.0330000000000004</v>
      </c>
      <c r="F6758" s="858" t="s">
        <v>16</v>
      </c>
      <c r="G6758" s="859" t="s">
        <v>76</v>
      </c>
      <c r="H6758" s="858" t="s">
        <v>1703</v>
      </c>
      <c r="I6758" s="858" t="s">
        <v>1703</v>
      </c>
      <c r="J6758" s="860"/>
      <c r="K6758" s="858" t="str">
        <f t="shared" si="203"/>
        <v>07,26</v>
      </c>
      <c r="L6758" s="858" t="s">
        <v>265</v>
      </c>
      <c r="M6758" s="858">
        <v>4020</v>
      </c>
      <c r="N6758" s="653">
        <v>0.41666666666666669</v>
      </c>
      <c r="O6758" s="869" t="s">
        <v>1739</v>
      </c>
    </row>
    <row r="6759" spans="1:15" ht="19.5" hidden="1" thickBot="1" x14ac:dyDescent="0.3">
      <c r="A6759" s="89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9" t="s">
        <v>1732</v>
      </c>
    </row>
    <row r="6760" spans="1:15" ht="19.5" hidden="1" thickBot="1" x14ac:dyDescent="0.3">
      <c r="A6760" s="893"/>
      <c r="B6760" s="825" t="s">
        <v>1700</v>
      </c>
      <c r="C6760" s="821" t="s">
        <v>24</v>
      </c>
      <c r="D6760" s="822">
        <v>7.4669999999999996</v>
      </c>
      <c r="E6760" s="823">
        <v>4.0369999999999999</v>
      </c>
      <c r="F6760" s="820" t="s">
        <v>16</v>
      </c>
      <c r="G6760" s="824"/>
      <c r="H6760" s="820" t="s">
        <v>1703</v>
      </c>
      <c r="I6760" s="782" t="s">
        <v>1703</v>
      </c>
      <c r="J6760" s="826"/>
      <c r="K6760" s="820" t="str">
        <f t="shared" si="203"/>
        <v>07,26</v>
      </c>
      <c r="L6760" s="820" t="s">
        <v>28</v>
      </c>
      <c r="M6760" s="820">
        <v>7637.880000000001</v>
      </c>
      <c r="N6760" s="812">
        <v>0.45833333333333331</v>
      </c>
      <c r="O6760" s="869" t="s">
        <v>1733</v>
      </c>
    </row>
    <row r="6761" spans="1:15" ht="19.5" hidden="1" thickBot="1" x14ac:dyDescent="0.3">
      <c r="A6761" s="893"/>
      <c r="B6761" s="814" t="s">
        <v>1684</v>
      </c>
      <c r="C6761" s="815" t="s">
        <v>15</v>
      </c>
      <c r="D6761" s="816">
        <v>2</v>
      </c>
      <c r="E6761" s="816">
        <v>2.0310000000000001</v>
      </c>
      <c r="F6761" s="817" t="s">
        <v>16</v>
      </c>
      <c r="G6761" s="818" t="s">
        <v>76</v>
      </c>
      <c r="H6761" s="817" t="s">
        <v>1703</v>
      </c>
      <c r="I6761" s="817" t="s">
        <v>1703</v>
      </c>
      <c r="J6761" s="819"/>
      <c r="K6761" s="817" t="str">
        <f t="shared" si="203"/>
        <v>07,26</v>
      </c>
      <c r="L6761" s="817" t="s">
        <v>28</v>
      </c>
      <c r="M6761" s="817">
        <v>2010</v>
      </c>
      <c r="N6761" s="812">
        <v>0.45833333333333331</v>
      </c>
      <c r="O6761" s="869" t="s">
        <v>1734</v>
      </c>
    </row>
    <row r="6762" spans="1:15" ht="19.5" hidden="1" thickBot="1" x14ac:dyDescent="0.3">
      <c r="A6762" s="902"/>
      <c r="B6762" s="827" t="s">
        <v>1684</v>
      </c>
      <c r="C6762" s="828" t="s">
        <v>24</v>
      </c>
      <c r="D6762" s="829">
        <v>3.5</v>
      </c>
      <c r="E6762" s="829">
        <v>3.5350000000000001</v>
      </c>
      <c r="F6762" s="830" t="s">
        <v>16</v>
      </c>
      <c r="G6762" s="831" t="s">
        <v>76</v>
      </c>
      <c r="H6762" s="830" t="s">
        <v>1703</v>
      </c>
      <c r="I6762" s="830" t="s">
        <v>1703</v>
      </c>
      <c r="J6762" s="832"/>
      <c r="K6762" s="830" t="str">
        <f t="shared" si="203"/>
        <v>07,26</v>
      </c>
      <c r="L6762" s="830" t="s">
        <v>28</v>
      </c>
      <c r="M6762" s="830">
        <v>3510</v>
      </c>
      <c r="N6762" s="784">
        <v>0.45833333333333331</v>
      </c>
      <c r="O6762" s="869" t="s">
        <v>1735</v>
      </c>
    </row>
    <row r="6763" spans="1:15" ht="19.5" hidden="1" thickBot="1" x14ac:dyDescent="0.3">
      <c r="A6763" s="894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9" t="s">
        <v>1725</v>
      </c>
    </row>
    <row r="6764" spans="1:15" ht="19.5" hidden="1" thickBot="1" x14ac:dyDescent="0.3">
      <c r="A6764" s="89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9" t="s">
        <v>1726</v>
      </c>
    </row>
    <row r="6765" spans="1:15" ht="19.5" hidden="1" thickBot="1" x14ac:dyDescent="0.3">
      <c r="A6765" s="89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9" t="s">
        <v>1727</v>
      </c>
    </row>
    <row r="6766" spans="1:15" ht="19.5" hidden="1" thickBot="1" x14ac:dyDescent="0.3">
      <c r="A6766" s="88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9" t="s">
        <v>1741</v>
      </c>
    </row>
    <row r="6767" spans="1:15" ht="19.5" hidden="1" thickBot="1" x14ac:dyDescent="0.3">
      <c r="A6767" s="887"/>
      <c r="B6767" s="837" t="s">
        <v>1684</v>
      </c>
      <c r="C6767" s="838" t="s">
        <v>47</v>
      </c>
      <c r="D6767" s="839">
        <v>4.3</v>
      </c>
      <c r="E6767" s="839">
        <v>2.915</v>
      </c>
      <c r="F6767" s="840" t="s">
        <v>16</v>
      </c>
      <c r="G6767" s="852" t="s">
        <v>76</v>
      </c>
      <c r="H6767" s="840" t="s">
        <v>1703</v>
      </c>
      <c r="I6767" s="840" t="s">
        <v>1703</v>
      </c>
      <c r="J6767" s="841"/>
      <c r="K6767" s="840" t="str">
        <f t="shared" si="203"/>
        <v>07,26</v>
      </c>
      <c r="L6767" s="840" t="s">
        <v>28</v>
      </c>
      <c r="M6767" s="840">
        <v>4320</v>
      </c>
      <c r="N6767" s="804">
        <v>0.54166666666666663</v>
      </c>
      <c r="O6767" s="869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70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9" t="s">
        <v>1749</v>
      </c>
    </row>
    <row r="6769" spans="1:15" ht="19.5" hidden="1" thickBot="1" x14ac:dyDescent="0.3">
      <c r="A6769" s="88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9" t="s">
        <v>1753</v>
      </c>
    </row>
    <row r="6770" spans="1:15" ht="19.5" hidden="1" thickBot="1" x14ac:dyDescent="0.3">
      <c r="A6770" s="88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9" t="s">
        <v>1752</v>
      </c>
    </row>
    <row r="6771" spans="1:15" x14ac:dyDescent="0.25">
      <c r="A6771" s="894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79"/>
      <c r="L6771" s="483" t="s">
        <v>265</v>
      </c>
      <c r="M6771" s="483">
        <v>15056.58</v>
      </c>
      <c r="N6771" s="486">
        <v>0.375</v>
      </c>
      <c r="O6771" s="869" t="s">
        <v>1743</v>
      </c>
    </row>
    <row r="6772" spans="1:15" x14ac:dyDescent="0.25">
      <c r="A6772" s="896"/>
      <c r="B6772" s="868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3"/>
      <c r="L6772" s="527" t="s">
        <v>265</v>
      </c>
      <c r="M6772" s="527">
        <v>834.54000000000008</v>
      </c>
      <c r="N6772" s="530">
        <v>0.375</v>
      </c>
      <c r="O6772" s="869" t="s">
        <v>1745</v>
      </c>
    </row>
    <row r="6773" spans="1:15" x14ac:dyDescent="0.25">
      <c r="A6773" s="89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91"/>
      <c r="L6773" s="763" t="s">
        <v>265</v>
      </c>
      <c r="M6773" s="763">
        <v>1693.38</v>
      </c>
      <c r="N6773" s="770">
        <v>0.375</v>
      </c>
      <c r="O6773" s="869" t="s">
        <v>1744</v>
      </c>
    </row>
    <row r="6774" spans="1:15" ht="19.5" thickBot="1" x14ac:dyDescent="0.3">
      <c r="A6774" s="895"/>
      <c r="B6774" s="855" t="s">
        <v>1703</v>
      </c>
      <c r="C6774" s="856" t="s">
        <v>26</v>
      </c>
      <c r="D6774" s="857">
        <v>2.9</v>
      </c>
      <c r="E6774" s="857">
        <v>2.9129999999999998</v>
      </c>
      <c r="F6774" s="858" t="s">
        <v>16</v>
      </c>
      <c r="G6774" s="859" t="s">
        <v>76</v>
      </c>
      <c r="H6774" s="858" t="s">
        <v>1704</v>
      </c>
      <c r="I6774" s="858" t="s">
        <v>1704</v>
      </c>
      <c r="J6774" s="860"/>
      <c r="K6774" s="861"/>
      <c r="L6774" s="858" t="s">
        <v>265</v>
      </c>
      <c r="M6774" s="858">
        <v>2910</v>
      </c>
      <c r="N6774" s="653">
        <v>0.375</v>
      </c>
      <c r="O6774" s="869" t="s">
        <v>1746</v>
      </c>
    </row>
    <row r="6775" spans="1:15" x14ac:dyDescent="0.25">
      <c r="A6775" s="89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1"/>
      <c r="L6775" s="535" t="s">
        <v>266</v>
      </c>
      <c r="M6775" s="535">
        <v>2616.8999999999996</v>
      </c>
      <c r="N6775" s="539">
        <v>0.41666666666666669</v>
      </c>
      <c r="O6775" s="869" t="s">
        <v>1754</v>
      </c>
    </row>
    <row r="6776" spans="1:15" x14ac:dyDescent="0.25">
      <c r="A6776" s="893"/>
      <c r="B6776" s="825" t="s">
        <v>1684</v>
      </c>
      <c r="C6776" s="821" t="s">
        <v>23</v>
      </c>
      <c r="D6776" s="822">
        <v>14.505000000000001</v>
      </c>
      <c r="E6776" s="823">
        <v>9.5500000000000007</v>
      </c>
      <c r="F6776" s="820" t="s">
        <v>16</v>
      </c>
      <c r="G6776" s="824"/>
      <c r="H6776" s="820" t="s">
        <v>1704</v>
      </c>
      <c r="I6776" s="782" t="s">
        <v>1704</v>
      </c>
      <c r="J6776" s="826"/>
      <c r="K6776" s="850"/>
      <c r="L6776" s="820" t="s">
        <v>28</v>
      </c>
      <c r="M6776" s="820">
        <v>14596.900000000001</v>
      </c>
      <c r="N6776" s="812">
        <v>0.41666666666666669</v>
      </c>
      <c r="O6776" s="869" t="s">
        <v>1755</v>
      </c>
    </row>
    <row r="6777" spans="1:15" ht="19.5" thickBot="1" x14ac:dyDescent="0.3">
      <c r="A6777" s="893"/>
      <c r="B6777" s="827" t="s">
        <v>1703</v>
      </c>
      <c r="C6777" s="828" t="s">
        <v>23</v>
      </c>
      <c r="D6777" s="829">
        <v>4.7</v>
      </c>
      <c r="E6777" s="829">
        <v>4.7089999999999996</v>
      </c>
      <c r="F6777" s="830" t="s">
        <v>16</v>
      </c>
      <c r="G6777" s="831" t="s">
        <v>76</v>
      </c>
      <c r="H6777" s="830" t="s">
        <v>1704</v>
      </c>
      <c r="I6777" s="830" t="s">
        <v>1704</v>
      </c>
      <c r="J6777" s="832"/>
      <c r="K6777" s="833"/>
      <c r="L6777" s="830" t="s">
        <v>28</v>
      </c>
      <c r="M6777" s="830">
        <v>4710</v>
      </c>
      <c r="N6777" s="644">
        <v>0.41666666666666669</v>
      </c>
      <c r="O6777" s="869" t="s">
        <v>1756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4"/>
      <c r="L6778" s="518" t="s">
        <v>266</v>
      </c>
      <c r="M6778" s="518">
        <v>9332.9999999999982</v>
      </c>
      <c r="N6778" s="522">
        <v>0.45833333333333331</v>
      </c>
      <c r="O6778" s="869" t="s">
        <v>1757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4"/>
      <c r="L6779" s="508" t="s">
        <v>265</v>
      </c>
      <c r="M6779" s="508">
        <v>12856.319999999998</v>
      </c>
      <c r="N6779" s="512">
        <v>0.375</v>
      </c>
      <c r="O6779" s="869" t="s">
        <v>1751</v>
      </c>
    </row>
    <row r="6780" spans="1:15" x14ac:dyDescent="0.25">
      <c r="A6780" s="894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79"/>
      <c r="L6780" s="483" t="s">
        <v>265</v>
      </c>
      <c r="M6780" s="483">
        <v>17646</v>
      </c>
      <c r="N6780" s="486">
        <v>0.375</v>
      </c>
      <c r="O6780" s="869" t="s">
        <v>1760</v>
      </c>
    </row>
    <row r="6781" spans="1:15" ht="19.5" thickBot="1" x14ac:dyDescent="0.3">
      <c r="A6781" s="89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1"/>
      <c r="K6781" s="810"/>
      <c r="L6781" s="808" t="s">
        <v>265</v>
      </c>
      <c r="M6781" s="808">
        <v>1830</v>
      </c>
      <c r="N6781" s="778">
        <v>0.375</v>
      </c>
      <c r="O6781" s="869" t="s">
        <v>1761</v>
      </c>
    </row>
    <row r="6782" spans="1:15" x14ac:dyDescent="0.25">
      <c r="A6782" s="89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1"/>
      <c r="L6782" s="535" t="s">
        <v>266</v>
      </c>
      <c r="M6782" s="535">
        <v>9687.74</v>
      </c>
      <c r="N6782" s="539">
        <v>0.41666666666666669</v>
      </c>
      <c r="O6782" s="869" t="s">
        <v>1762</v>
      </c>
    </row>
    <row r="6783" spans="1:15" x14ac:dyDescent="0.25">
      <c r="A6783" s="893"/>
      <c r="B6783" s="825" t="s">
        <v>1701</v>
      </c>
      <c r="C6783" s="821" t="s">
        <v>23</v>
      </c>
      <c r="D6783" s="822">
        <v>7.9219999999999997</v>
      </c>
      <c r="E6783" s="823">
        <v>5.52</v>
      </c>
      <c r="F6783" s="820" t="s">
        <v>16</v>
      </c>
      <c r="G6783" s="824"/>
      <c r="H6783" s="820" t="s">
        <v>1721</v>
      </c>
      <c r="I6783" s="782" t="s">
        <v>1721</v>
      </c>
      <c r="J6783" s="826"/>
      <c r="K6783" s="850"/>
      <c r="L6783" s="820" t="s">
        <v>28</v>
      </c>
      <c r="M6783" s="820">
        <v>8010.5199999999995</v>
      </c>
      <c r="N6783" s="812">
        <v>0.41666666666666669</v>
      </c>
      <c r="O6783" s="869" t="s">
        <v>1763</v>
      </c>
    </row>
    <row r="6784" spans="1:15" ht="19.5" thickBot="1" x14ac:dyDescent="0.3">
      <c r="A6784" s="893"/>
      <c r="B6784" s="854" t="s">
        <v>1721</v>
      </c>
      <c r="C6784" s="838" t="s">
        <v>23</v>
      </c>
      <c r="D6784" s="839">
        <v>2.4</v>
      </c>
      <c r="E6784" s="839">
        <v>2.4249999999999998</v>
      </c>
      <c r="F6784" s="840" t="s">
        <v>16</v>
      </c>
      <c r="G6784" s="852"/>
      <c r="H6784" s="840" t="s">
        <v>1721</v>
      </c>
      <c r="I6784" s="840" t="s">
        <v>1721</v>
      </c>
      <c r="J6784" s="841"/>
      <c r="K6784" s="837"/>
      <c r="L6784" s="840" t="s">
        <v>28</v>
      </c>
      <c r="M6784" s="840">
        <v>2415</v>
      </c>
      <c r="N6784" s="598">
        <v>0.41666666666666669</v>
      </c>
      <c r="O6784" s="869" t="s">
        <v>1764</v>
      </c>
    </row>
    <row r="6785" spans="1:15" ht="18.75" customHeight="1" x14ac:dyDescent="0.25">
      <c r="A6785" s="894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03" t="s">
        <v>1634</v>
      </c>
      <c r="H6785" s="483" t="s">
        <v>1721</v>
      </c>
      <c r="I6785" s="484" t="s">
        <v>1721</v>
      </c>
      <c r="J6785" s="485"/>
      <c r="K6785" s="479"/>
      <c r="L6785" s="483" t="s">
        <v>28</v>
      </c>
      <c r="M6785" s="483">
        <v>15695.96</v>
      </c>
      <c r="N6785" s="486">
        <v>0.45833333333333331</v>
      </c>
      <c r="O6785" s="869" t="s">
        <v>1767</v>
      </c>
    </row>
    <row r="6786" spans="1:15" ht="19.5" thickBot="1" x14ac:dyDescent="0.3">
      <c r="A6786" s="89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13"/>
      <c r="H6786" s="808" t="s">
        <v>1721</v>
      </c>
      <c r="I6786" s="808" t="s">
        <v>1721</v>
      </c>
      <c r="J6786" s="811"/>
      <c r="K6786" s="810"/>
      <c r="L6786" s="808" t="s">
        <v>28</v>
      </c>
      <c r="M6786" s="808">
        <v>2520</v>
      </c>
      <c r="N6786" s="778">
        <v>0.45833333333333331</v>
      </c>
      <c r="O6786" s="869" t="s">
        <v>1768</v>
      </c>
    </row>
    <row r="6787" spans="1:15" ht="49.5" customHeight="1" x14ac:dyDescent="0.25">
      <c r="A6787" s="88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/>
      <c r="F6787" s="535" t="s">
        <v>16</v>
      </c>
      <c r="G6787" s="908" t="s">
        <v>1722</v>
      </c>
      <c r="H6787" s="535" t="s">
        <v>1721</v>
      </c>
      <c r="I6787" s="537"/>
      <c r="J6787" s="538"/>
      <c r="K6787" s="531"/>
      <c r="L6787" s="535" t="s">
        <v>28</v>
      </c>
      <c r="M6787" s="535">
        <v>13721.14</v>
      </c>
      <c r="N6787" s="539">
        <v>0.5</v>
      </c>
    </row>
    <row r="6788" spans="1:15" ht="49.5" customHeight="1" thickBot="1" x14ac:dyDescent="0.3">
      <c r="A6788" s="887"/>
      <c r="B6788" s="837" t="s">
        <v>1721</v>
      </c>
      <c r="C6788" s="838" t="s">
        <v>24</v>
      </c>
      <c r="D6788" s="839">
        <v>2.1</v>
      </c>
      <c r="E6788" s="839"/>
      <c r="F6788" s="840" t="s">
        <v>16</v>
      </c>
      <c r="G6788" s="909"/>
      <c r="H6788" s="840" t="s">
        <v>1721</v>
      </c>
      <c r="I6788" s="840"/>
      <c r="J6788" s="841"/>
      <c r="K6788" s="837"/>
      <c r="L6788" s="840" t="s">
        <v>28</v>
      </c>
      <c r="M6788" s="840">
        <v>2115</v>
      </c>
      <c r="N6788" s="804">
        <v>0.5</v>
      </c>
    </row>
    <row r="6789" spans="1:15" x14ac:dyDescent="0.25">
      <c r="A6789" s="88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79"/>
      <c r="L6789" s="483" t="s">
        <v>28</v>
      </c>
      <c r="M6789" s="483">
        <v>5919.48</v>
      </c>
      <c r="N6789" s="486">
        <v>0.41666666666666669</v>
      </c>
      <c r="O6789" s="869" t="s">
        <v>1765</v>
      </c>
    </row>
    <row r="6790" spans="1:15" ht="19.5" thickBot="1" x14ac:dyDescent="0.3">
      <c r="A6790" s="89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5"/>
      <c r="L6790" s="649" t="s">
        <v>28</v>
      </c>
      <c r="M6790" s="649">
        <v>5871.7199999999993</v>
      </c>
      <c r="N6790" s="653">
        <v>0.41666666666666669</v>
      </c>
      <c r="O6790" s="869" t="s">
        <v>1766</v>
      </c>
    </row>
    <row r="6791" spans="1:15" x14ac:dyDescent="0.25">
      <c r="A6791" s="88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/>
      <c r="J6791" s="538"/>
      <c r="K6791" s="531"/>
      <c r="L6791" s="535" t="s">
        <v>265</v>
      </c>
      <c r="M6791" s="535">
        <v>17478.29</v>
      </c>
      <c r="N6791" s="539">
        <v>0.375</v>
      </c>
      <c r="O6791" s="869" t="s">
        <v>1772</v>
      </c>
    </row>
    <row r="6792" spans="1:15" x14ac:dyDescent="0.25">
      <c r="A6792" s="887"/>
      <c r="B6792" s="814" t="s">
        <v>1723</v>
      </c>
      <c r="C6792" s="815" t="s">
        <v>26</v>
      </c>
      <c r="D6792" s="816">
        <v>0.15</v>
      </c>
      <c r="E6792" s="816" t="s">
        <v>1496</v>
      </c>
      <c r="F6792" s="817" t="s">
        <v>16</v>
      </c>
      <c r="G6792" s="818" t="s">
        <v>1024</v>
      </c>
      <c r="H6792" s="817" t="s">
        <v>1723</v>
      </c>
      <c r="I6792" s="817" t="s">
        <v>1496</v>
      </c>
      <c r="J6792" s="819"/>
      <c r="K6792" s="851"/>
      <c r="L6792" s="817" t="s">
        <v>265</v>
      </c>
      <c r="M6792" s="817">
        <v>150</v>
      </c>
      <c r="N6792" s="812">
        <v>0.375</v>
      </c>
      <c r="O6792" s="869" t="s">
        <v>1024</v>
      </c>
    </row>
    <row r="6793" spans="1:15" ht="19.5" thickBot="1" x14ac:dyDescent="0.3">
      <c r="A6793" s="887"/>
      <c r="B6793" s="837" t="s">
        <v>1721</v>
      </c>
      <c r="C6793" s="838" t="s">
        <v>26</v>
      </c>
      <c r="D6793" s="839">
        <v>1.1000000000000001</v>
      </c>
      <c r="E6793" s="839">
        <v>1.119</v>
      </c>
      <c r="F6793" s="840" t="s">
        <v>16</v>
      </c>
      <c r="G6793" s="852"/>
      <c r="H6793" s="840" t="s">
        <v>1723</v>
      </c>
      <c r="I6793" s="840"/>
      <c r="J6793" s="841"/>
      <c r="K6793" s="837"/>
      <c r="L6793" s="840" t="s">
        <v>265</v>
      </c>
      <c r="M6793" s="840">
        <v>1110</v>
      </c>
      <c r="N6793" s="804">
        <v>0.375</v>
      </c>
      <c r="O6793" s="869" t="s">
        <v>1773</v>
      </c>
    </row>
    <row r="6794" spans="1:15" ht="38.25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/>
      <c r="F6794" s="518" t="s">
        <v>16</v>
      </c>
      <c r="G6794" s="519" t="s">
        <v>1724</v>
      </c>
      <c r="H6794" s="518" t="s">
        <v>1723</v>
      </c>
      <c r="I6794" s="520"/>
      <c r="J6794" s="521"/>
      <c r="K6794" s="514"/>
      <c r="L6794" s="518" t="s">
        <v>28</v>
      </c>
      <c r="M6794" s="518">
        <v>14641.119999999999</v>
      </c>
      <c r="N6794" s="522">
        <v>0.41666666666666669</v>
      </c>
    </row>
    <row r="6795" spans="1:15" ht="19.5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4"/>
      <c r="L6795" s="508" t="s">
        <v>28</v>
      </c>
      <c r="M6795" s="508">
        <v>17585.059999999998</v>
      </c>
      <c r="N6795" s="512">
        <v>0.45833333333333331</v>
      </c>
      <c r="O6795" s="869" t="s">
        <v>1771</v>
      </c>
    </row>
    <row r="6796" spans="1:15" ht="19.5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/>
      <c r="F6796" s="577" t="s">
        <v>16</v>
      </c>
      <c r="G6796" s="578"/>
      <c r="H6796" s="577" t="s">
        <v>1723</v>
      </c>
      <c r="I6796" s="579"/>
      <c r="J6796" s="580"/>
      <c r="K6796" s="573"/>
      <c r="L6796" s="577" t="s">
        <v>266</v>
      </c>
      <c r="M6796" s="577">
        <v>18026.280000000002</v>
      </c>
      <c r="N6796" s="581">
        <v>0.5</v>
      </c>
    </row>
    <row r="6797" spans="1:15" x14ac:dyDescent="0.25">
      <c r="A6797" s="89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/>
      <c r="F6797" s="535" t="s">
        <v>16</v>
      </c>
      <c r="G6797" s="536"/>
      <c r="H6797" s="535" t="s">
        <v>1723</v>
      </c>
      <c r="I6797" s="537"/>
      <c r="J6797" s="538"/>
      <c r="K6797" s="531"/>
      <c r="L6797" s="535" t="s">
        <v>265</v>
      </c>
      <c r="M6797" s="535">
        <v>17476.72</v>
      </c>
      <c r="N6797" s="539">
        <v>0.58333333333333337</v>
      </c>
    </row>
    <row r="6798" spans="1:15" x14ac:dyDescent="0.25">
      <c r="A6798" s="893"/>
      <c r="B6798" s="814" t="s">
        <v>1721</v>
      </c>
      <c r="C6798" s="815" t="s">
        <v>26</v>
      </c>
      <c r="D6798" s="816">
        <v>1.6</v>
      </c>
      <c r="E6798" s="816"/>
      <c r="F6798" s="817" t="s">
        <v>16</v>
      </c>
      <c r="G6798" s="818"/>
      <c r="H6798" s="817" t="s">
        <v>1723</v>
      </c>
      <c r="I6798" s="817"/>
      <c r="J6798" s="819"/>
      <c r="K6798" s="851"/>
      <c r="L6798" s="817" t="s">
        <v>265</v>
      </c>
      <c r="M6798" s="817">
        <v>1620</v>
      </c>
      <c r="N6798" s="812">
        <v>0.58333333333333337</v>
      </c>
    </row>
    <row r="6799" spans="1:15" x14ac:dyDescent="0.25">
      <c r="A6799" s="893"/>
      <c r="B6799" s="814" t="s">
        <v>1759</v>
      </c>
      <c r="C6799" s="815" t="s">
        <v>26</v>
      </c>
      <c r="D6799" s="816">
        <v>0.2</v>
      </c>
      <c r="E6799" s="816"/>
      <c r="F6799" s="817" t="s">
        <v>16</v>
      </c>
      <c r="G6799" s="818"/>
      <c r="H6799" s="817" t="s">
        <v>1723</v>
      </c>
      <c r="I6799" s="817"/>
      <c r="J6799" s="819"/>
      <c r="K6799" s="851"/>
      <c r="L6799" s="817" t="s">
        <v>265</v>
      </c>
      <c r="M6799" s="817">
        <v>210</v>
      </c>
      <c r="N6799" s="812">
        <v>0.58333333333333337</v>
      </c>
    </row>
    <row r="6800" spans="1:15" ht="19.5" thickBot="1" x14ac:dyDescent="0.3">
      <c r="A6800" s="893"/>
      <c r="B6800" s="827" t="s">
        <v>1721</v>
      </c>
      <c r="C6800" s="828" t="s">
        <v>26</v>
      </c>
      <c r="D6800" s="829">
        <v>1.2</v>
      </c>
      <c r="E6800" s="829"/>
      <c r="F6800" s="830" t="s">
        <v>16</v>
      </c>
      <c r="G6800" s="831"/>
      <c r="H6800" s="830" t="s">
        <v>1723</v>
      </c>
      <c r="I6800" s="830"/>
      <c r="J6800" s="832"/>
      <c r="K6800" s="833"/>
      <c r="L6800" s="830" t="s">
        <v>265</v>
      </c>
      <c r="M6800" s="830">
        <v>1205.2</v>
      </c>
      <c r="N6800" s="644">
        <v>0.58333333333333337</v>
      </c>
    </row>
    <row r="6801" spans="1:14" x14ac:dyDescent="0.25">
      <c r="A6801" s="88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/>
      <c r="F6801" s="483" t="s">
        <v>16</v>
      </c>
      <c r="G6801" s="549" t="s">
        <v>844</v>
      </c>
      <c r="H6801" s="483" t="s">
        <v>1759</v>
      </c>
      <c r="I6801" s="484"/>
      <c r="J6801" s="485"/>
      <c r="K6801" s="479"/>
      <c r="L6801" s="483" t="s">
        <v>266</v>
      </c>
      <c r="M6801" s="483">
        <v>2601.0499999999997</v>
      </c>
      <c r="N6801" s="486">
        <v>0.5</v>
      </c>
    </row>
    <row r="6802" spans="1:14" ht="19.5" thickBot="1" x14ac:dyDescent="0.3">
      <c r="A6802" s="891"/>
      <c r="B6802" s="495" t="s">
        <v>1721</v>
      </c>
      <c r="C6802" s="496" t="s">
        <v>55</v>
      </c>
      <c r="D6802" s="497">
        <v>11.616</v>
      </c>
      <c r="E6802" s="498"/>
      <c r="F6802" s="499" t="s">
        <v>16</v>
      </c>
      <c r="G6802" s="562" t="s">
        <v>845</v>
      </c>
      <c r="H6802" s="499" t="s">
        <v>1759</v>
      </c>
      <c r="I6802" s="500"/>
      <c r="J6802" s="501"/>
      <c r="K6802" s="495"/>
      <c r="L6802" s="499" t="s">
        <v>266</v>
      </c>
      <c r="M6802" s="499">
        <v>11756.989999999996</v>
      </c>
      <c r="N6802" s="502">
        <v>0.5</v>
      </c>
    </row>
    <row r="6803" spans="1:14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4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/>
      <c r="F6804" s="518" t="s">
        <v>16</v>
      </c>
      <c r="G6804" s="519"/>
      <c r="H6804" s="518" t="s">
        <v>1769</v>
      </c>
      <c r="I6804" s="520"/>
      <c r="J6804" s="521"/>
      <c r="K6804" s="514"/>
      <c r="L6804" s="518" t="s">
        <v>266</v>
      </c>
      <c r="M6804" s="518">
        <v>18171.45</v>
      </c>
      <c r="N6804" s="522">
        <v>0.45833333333333331</v>
      </c>
    </row>
    <row r="6805" spans="1:14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4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4" ht="19.5" thickBot="1" x14ac:dyDescent="0.3">
      <c r="A6807" s="872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/>
      <c r="F6807" s="556" t="s">
        <v>16</v>
      </c>
      <c r="G6807" s="873"/>
      <c r="H6807" s="556" t="s">
        <v>1769</v>
      </c>
      <c r="I6807" s="558"/>
      <c r="J6807" s="559"/>
      <c r="K6807" s="552"/>
      <c r="L6807" s="556" t="s">
        <v>266</v>
      </c>
      <c r="M6807" s="556">
        <v>18167.34</v>
      </c>
      <c r="N6807" s="560">
        <v>0.58333333333333337</v>
      </c>
    </row>
    <row r="6808" spans="1:14" ht="56.25" x14ac:dyDescent="0.25">
      <c r="A6808" s="88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/>
      <c r="F6808" s="483" t="s">
        <v>16</v>
      </c>
      <c r="G6808" s="874" t="s">
        <v>794</v>
      </c>
      <c r="H6808" s="483" t="s">
        <v>1769</v>
      </c>
      <c r="I6808" s="484"/>
      <c r="J6808" s="485"/>
      <c r="K6808" s="479"/>
      <c r="L6808" s="483" t="s">
        <v>28</v>
      </c>
      <c r="M6808" s="483">
        <v>1104.48</v>
      </c>
      <c r="N6808" s="486">
        <v>0.625</v>
      </c>
    </row>
    <row r="6809" spans="1:14" x14ac:dyDescent="0.25">
      <c r="A6809" s="891"/>
      <c r="B6809" s="791" t="s">
        <v>1723</v>
      </c>
      <c r="C6809" s="764" t="s">
        <v>587</v>
      </c>
      <c r="D6809" s="765">
        <v>8.8089999999999993</v>
      </c>
      <c r="E6809" s="766"/>
      <c r="F6809" s="763" t="s">
        <v>16</v>
      </c>
      <c r="G6809" s="875" t="s">
        <v>47</v>
      </c>
      <c r="H6809" s="763" t="s">
        <v>1769</v>
      </c>
      <c r="I6809" s="768"/>
      <c r="J6809" s="779"/>
      <c r="K6809" s="791"/>
      <c r="L6809" s="763" t="s">
        <v>28</v>
      </c>
      <c r="M6809" s="763">
        <v>8809.7200000000012</v>
      </c>
      <c r="N6809" s="770">
        <v>0.625</v>
      </c>
    </row>
    <row r="6810" spans="1:14" x14ac:dyDescent="0.25">
      <c r="A6810" s="891"/>
      <c r="B6810" s="791" t="s">
        <v>1723</v>
      </c>
      <c r="C6810" s="764" t="s">
        <v>47</v>
      </c>
      <c r="D6810" s="765">
        <v>8.032</v>
      </c>
      <c r="E6810" s="766"/>
      <c r="F6810" s="763" t="s">
        <v>16</v>
      </c>
      <c r="G6810" s="875"/>
      <c r="H6810" s="763" t="s">
        <v>1769</v>
      </c>
      <c r="I6810" s="768"/>
      <c r="J6810" s="779"/>
      <c r="K6810" s="791"/>
      <c r="L6810" s="763" t="s">
        <v>28</v>
      </c>
      <c r="M6810" s="763">
        <v>8130.0599999999995</v>
      </c>
      <c r="N6810" s="770">
        <v>0.625</v>
      </c>
    </row>
    <row r="6811" spans="1:14" ht="19.5" thickBot="1" x14ac:dyDescent="0.3">
      <c r="A6811" s="890"/>
      <c r="B6811" s="861" t="s">
        <v>1759</v>
      </c>
      <c r="C6811" s="806" t="s">
        <v>47</v>
      </c>
      <c r="D6811" s="857">
        <v>5.7</v>
      </c>
      <c r="E6811" s="857"/>
      <c r="F6811" s="808" t="s">
        <v>16</v>
      </c>
      <c r="G6811" s="859" t="s">
        <v>76</v>
      </c>
      <c r="H6811" s="808" t="s">
        <v>1769</v>
      </c>
      <c r="I6811" s="858"/>
      <c r="J6811" s="860"/>
      <c r="K6811" s="861"/>
      <c r="L6811" s="808" t="s">
        <v>28</v>
      </c>
      <c r="M6811" s="858">
        <v>5715</v>
      </c>
      <c r="N6811" s="778">
        <v>0.625</v>
      </c>
    </row>
    <row r="6812" spans="1:14" x14ac:dyDescent="0.25">
      <c r="A6812" s="88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/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</row>
    <row r="6813" spans="1:14" x14ac:dyDescent="0.25">
      <c r="A6813" s="887"/>
      <c r="B6813" s="850" t="s">
        <v>1759</v>
      </c>
      <c r="C6813" s="821" t="s">
        <v>1358</v>
      </c>
      <c r="D6813" s="822">
        <v>2.4279999999999999</v>
      </c>
      <c r="E6813" s="823"/>
      <c r="F6813" s="820" t="s">
        <v>16</v>
      </c>
      <c r="G6813" s="824" t="s">
        <v>844</v>
      </c>
      <c r="H6813" s="820" t="s">
        <v>1774</v>
      </c>
      <c r="I6813" s="782"/>
      <c r="J6813" s="826"/>
      <c r="K6813" s="850"/>
      <c r="L6813" s="820" t="s">
        <v>265</v>
      </c>
      <c r="M6813" s="820">
        <v>2539.8399999999997</v>
      </c>
      <c r="N6813" s="812">
        <v>0.375</v>
      </c>
    </row>
    <row r="6814" spans="1:14" ht="19.5" thickBot="1" x14ac:dyDescent="0.3">
      <c r="A6814" s="888"/>
      <c r="B6814" s="878" t="s">
        <v>1759</v>
      </c>
      <c r="C6814" s="879" t="s">
        <v>1358</v>
      </c>
      <c r="D6814" s="880">
        <v>1.173</v>
      </c>
      <c r="E6814" s="881"/>
      <c r="F6814" s="882" t="s">
        <v>16</v>
      </c>
      <c r="G6814" s="883" t="s">
        <v>845</v>
      </c>
      <c r="H6814" s="882" t="s">
        <v>1774</v>
      </c>
      <c r="I6814" s="884"/>
      <c r="J6814" s="885"/>
      <c r="K6814" s="878"/>
      <c r="L6814" s="882" t="s">
        <v>265</v>
      </c>
      <c r="M6814" s="882">
        <v>1265.2599999999995</v>
      </c>
      <c r="N6814" s="784">
        <v>0.375</v>
      </c>
    </row>
    <row r="6815" spans="1:14" ht="19.5" thickBot="1" x14ac:dyDescent="0.3">
      <c r="A6815" s="513">
        <f>MAX(A6785:A6814)+1</f>
        <v>4264</v>
      </c>
      <c r="B6815" s="514" t="s">
        <v>1759</v>
      </c>
      <c r="C6815" s="515" t="s">
        <v>764</v>
      </c>
      <c r="D6815" s="516">
        <v>11.131</v>
      </c>
      <c r="E6815" s="517"/>
      <c r="F6815" s="518" t="s">
        <v>30</v>
      </c>
      <c r="G6815" s="519"/>
      <c r="H6815" s="518" t="s">
        <v>1774</v>
      </c>
      <c r="I6815" s="520"/>
      <c r="J6815" s="521"/>
      <c r="K6815" s="514"/>
      <c r="L6815" s="518" t="s">
        <v>28</v>
      </c>
      <c r="M6815" s="518">
        <v>11131.199999999999</v>
      </c>
      <c r="N6815" s="522">
        <v>0.41666666666666669</v>
      </c>
    </row>
    <row r="6816" spans="1:14" x14ac:dyDescent="0.25">
      <c r="A6816" s="886">
        <f>MAX(A6786:A6815)+1</f>
        <v>4265</v>
      </c>
      <c r="B6816" s="531" t="s">
        <v>1759</v>
      </c>
      <c r="C6816" s="532" t="s">
        <v>41</v>
      </c>
      <c r="D6816" s="533">
        <v>10.404</v>
      </c>
      <c r="E6816" s="534"/>
      <c r="F6816" s="535" t="s">
        <v>16</v>
      </c>
      <c r="G6816" s="536"/>
      <c r="H6816" s="535" t="s">
        <v>1774</v>
      </c>
      <c r="I6816" s="537"/>
      <c r="J6816" s="538"/>
      <c r="K6816" s="531"/>
      <c r="L6816" s="535" t="s">
        <v>266</v>
      </c>
      <c r="M6816" s="535">
        <v>10512.859999999997</v>
      </c>
      <c r="N6816" s="539">
        <v>0.41666666666666669</v>
      </c>
    </row>
    <row r="6817" spans="1:14" x14ac:dyDescent="0.25">
      <c r="A6817" s="887"/>
      <c r="B6817" s="850" t="s">
        <v>1759</v>
      </c>
      <c r="C6817" s="821" t="s">
        <v>32</v>
      </c>
      <c r="D6817" s="822">
        <v>1.7490000000000001</v>
      </c>
      <c r="E6817" s="823"/>
      <c r="F6817" s="820" t="s">
        <v>16</v>
      </c>
      <c r="G6817" s="824" t="s">
        <v>1702</v>
      </c>
      <c r="H6817" s="820" t="s">
        <v>1774</v>
      </c>
      <c r="I6817" s="782"/>
      <c r="J6817" s="826"/>
      <c r="K6817" s="850"/>
      <c r="L6817" s="820" t="s">
        <v>266</v>
      </c>
      <c r="M6817" s="820">
        <v>1752.3000000000002</v>
      </c>
      <c r="N6817" s="812">
        <v>0.41666666666666669</v>
      </c>
    </row>
    <row r="6818" spans="1:14" ht="19.5" thickBot="1" x14ac:dyDescent="0.3">
      <c r="A6818" s="888"/>
      <c r="B6818" s="878" t="s">
        <v>1759</v>
      </c>
      <c r="C6818" s="879" t="s">
        <v>32</v>
      </c>
      <c r="D6818" s="880">
        <v>5.7</v>
      </c>
      <c r="E6818" s="881"/>
      <c r="F6818" s="882" t="s">
        <v>16</v>
      </c>
      <c r="G6818" s="883"/>
      <c r="H6818" s="882" t="s">
        <v>1774</v>
      </c>
      <c r="I6818" s="884"/>
      <c r="J6818" s="885"/>
      <c r="K6818" s="878"/>
      <c r="L6818" s="882" t="s">
        <v>266</v>
      </c>
      <c r="M6818" s="882">
        <v>5701.8</v>
      </c>
      <c r="N6818" s="784">
        <v>0.41666666666666669</v>
      </c>
    </row>
    <row r="6819" spans="1:14" x14ac:dyDescent="0.25">
      <c r="A6819" s="962">
        <f>MAX(A6789:A6818)+1</f>
        <v>4266</v>
      </c>
      <c r="B6819" s="479" t="s">
        <v>1723</v>
      </c>
      <c r="C6819" s="480" t="s">
        <v>1382</v>
      </c>
      <c r="D6819" s="481">
        <v>4</v>
      </c>
      <c r="E6819" s="482"/>
      <c r="F6819" s="483" t="s">
        <v>16</v>
      </c>
      <c r="G6819" s="874"/>
      <c r="H6819" s="483" t="s">
        <v>1770</v>
      </c>
      <c r="I6819" s="484"/>
      <c r="J6819" s="485"/>
      <c r="K6819" s="479"/>
      <c r="L6819" s="483" t="s">
        <v>266</v>
      </c>
      <c r="M6819" s="483">
        <v>4005</v>
      </c>
      <c r="N6819" s="486">
        <v>0.45833333333333331</v>
      </c>
    </row>
    <row r="6820" spans="1:14" x14ac:dyDescent="0.25">
      <c r="A6820" s="964"/>
      <c r="B6820" s="791" t="s">
        <v>1723</v>
      </c>
      <c r="C6820" s="764" t="s">
        <v>1382</v>
      </c>
      <c r="D6820" s="765">
        <v>1.4139999999999999</v>
      </c>
      <c r="E6820" s="766"/>
      <c r="F6820" s="763" t="s">
        <v>16</v>
      </c>
      <c r="G6820" s="875"/>
      <c r="H6820" s="763" t="s">
        <v>1770</v>
      </c>
      <c r="I6820" s="768"/>
      <c r="J6820" s="779"/>
      <c r="K6820" s="791"/>
      <c r="L6820" s="763" t="s">
        <v>28</v>
      </c>
      <c r="M6820" s="763">
        <v>1472.01</v>
      </c>
      <c r="N6820" s="770">
        <v>0.45833333333333331</v>
      </c>
    </row>
    <row r="6821" spans="1:14" ht="19.5" thickBot="1" x14ac:dyDescent="0.3">
      <c r="A6821" s="963"/>
      <c r="B6821" s="877" t="s">
        <v>1723</v>
      </c>
      <c r="C6821" s="772" t="s">
        <v>23</v>
      </c>
      <c r="D6821" s="773">
        <v>12.407999999999999</v>
      </c>
      <c r="E6821" s="774"/>
      <c r="F6821" s="775" t="s">
        <v>16</v>
      </c>
      <c r="G6821" s="876" t="s">
        <v>1775</v>
      </c>
      <c r="H6821" s="775" t="s">
        <v>1770</v>
      </c>
      <c r="I6821" s="777"/>
      <c r="J6821" s="780"/>
      <c r="K6821" s="877"/>
      <c r="L6821" s="775" t="s">
        <v>28</v>
      </c>
      <c r="M6821" s="775">
        <v>12426.6</v>
      </c>
      <c r="N6821" s="778">
        <v>0.45833333333333331</v>
      </c>
    </row>
    <row r="6822" spans="1:14" x14ac:dyDescent="0.25">
      <c r="A6822" s="886">
        <f>MAX(A6787:A6821)+1</f>
        <v>4267</v>
      </c>
      <c r="B6822" s="531" t="s">
        <v>1723</v>
      </c>
      <c r="C6822" s="532" t="s">
        <v>15</v>
      </c>
      <c r="D6822" s="533">
        <v>5.3819999999999997</v>
      </c>
      <c r="E6822" s="534"/>
      <c r="F6822" s="535" t="s">
        <v>16</v>
      </c>
      <c r="G6822" s="536" t="s">
        <v>1775</v>
      </c>
      <c r="H6822" s="535" t="s">
        <v>1770</v>
      </c>
      <c r="I6822" s="537"/>
      <c r="J6822" s="538"/>
      <c r="K6822" s="531"/>
      <c r="L6822" s="535" t="s">
        <v>28</v>
      </c>
      <c r="M6822" s="535">
        <v>5401.7999999999993</v>
      </c>
      <c r="N6822" s="539">
        <v>0.5</v>
      </c>
    </row>
    <row r="6823" spans="1:14" x14ac:dyDescent="0.25">
      <c r="A6823" s="887"/>
      <c r="B6823" s="850" t="s">
        <v>1759</v>
      </c>
      <c r="C6823" s="821" t="s">
        <v>15</v>
      </c>
      <c r="D6823" s="822">
        <v>2.6219999999999999</v>
      </c>
      <c r="E6823" s="823"/>
      <c r="F6823" s="820" t="s">
        <v>16</v>
      </c>
      <c r="G6823" s="824"/>
      <c r="H6823" s="820" t="s">
        <v>1770</v>
      </c>
      <c r="I6823" s="782"/>
      <c r="J6823" s="826"/>
      <c r="K6823" s="850"/>
      <c r="L6823" s="820" t="s">
        <v>28</v>
      </c>
      <c r="M6823" s="820">
        <v>2720.36</v>
      </c>
      <c r="N6823" s="812">
        <v>0.5</v>
      </c>
    </row>
    <row r="6824" spans="1:14" x14ac:dyDescent="0.25">
      <c r="A6824" s="887"/>
      <c r="B6824" s="850" t="s">
        <v>1723</v>
      </c>
      <c r="C6824" s="821" t="s">
        <v>24</v>
      </c>
      <c r="D6824" s="822">
        <v>5.4240000000000004</v>
      </c>
      <c r="E6824" s="823"/>
      <c r="F6824" s="820" t="s">
        <v>16</v>
      </c>
      <c r="G6824" s="824" t="s">
        <v>1775</v>
      </c>
      <c r="H6824" s="820" t="s">
        <v>1770</v>
      </c>
      <c r="I6824" s="782"/>
      <c r="J6824" s="826"/>
      <c r="K6824" s="850"/>
      <c r="L6824" s="820" t="s">
        <v>28</v>
      </c>
      <c r="M6824" s="820">
        <v>5454.6</v>
      </c>
      <c r="N6824" s="812">
        <v>0.54166666666666663</v>
      </c>
    </row>
    <row r="6825" spans="1:14" ht="19.5" thickBot="1" x14ac:dyDescent="0.3">
      <c r="A6825" s="888"/>
      <c r="B6825" s="878" t="s">
        <v>1759</v>
      </c>
      <c r="C6825" s="879" t="s">
        <v>24</v>
      </c>
      <c r="D6825" s="880">
        <v>4.1840000000000002</v>
      </c>
      <c r="E6825" s="881"/>
      <c r="F6825" s="882" t="s">
        <v>16</v>
      </c>
      <c r="G6825" s="883"/>
      <c r="H6825" s="882" t="s">
        <v>1770</v>
      </c>
      <c r="I6825" s="884"/>
      <c r="J6825" s="885"/>
      <c r="K6825" s="878"/>
      <c r="L6825" s="882" t="s">
        <v>28</v>
      </c>
      <c r="M6825" s="882">
        <v>4295.45</v>
      </c>
      <c r="N6825" s="784">
        <v>0.54166666666666663</v>
      </c>
    </row>
    <row r="6826" spans="1:14" x14ac:dyDescent="0.25">
      <c r="A6826" s="889">
        <f>MAX(A6789:A6825)+1</f>
        <v>4268</v>
      </c>
      <c r="B6826" s="479" t="s">
        <v>1723</v>
      </c>
      <c r="C6826" s="480" t="s">
        <v>47</v>
      </c>
      <c r="D6826" s="481">
        <v>15.48</v>
      </c>
      <c r="E6826" s="482"/>
      <c r="F6826" s="483" t="s">
        <v>16</v>
      </c>
      <c r="G6826" s="874" t="s">
        <v>1775</v>
      </c>
      <c r="H6826" s="483" t="s">
        <v>1770</v>
      </c>
      <c r="I6826" s="484"/>
      <c r="J6826" s="485"/>
      <c r="K6826" s="479"/>
      <c r="L6826" s="483" t="s">
        <v>28</v>
      </c>
      <c r="M6826" s="483">
        <v>15500.699999999999</v>
      </c>
      <c r="N6826" s="486">
        <v>0.58333333333333337</v>
      </c>
    </row>
    <row r="6827" spans="1:14" ht="19.5" thickBot="1" x14ac:dyDescent="0.3">
      <c r="A6827" s="890"/>
      <c r="B6827" s="645" t="s">
        <v>1759</v>
      </c>
      <c r="C6827" s="772" t="s">
        <v>47</v>
      </c>
      <c r="D6827" s="647">
        <v>2.2669999999999999</v>
      </c>
      <c r="E6827" s="648"/>
      <c r="F6827" s="775" t="s">
        <v>16</v>
      </c>
      <c r="G6827" s="650"/>
      <c r="H6827" s="775" t="s">
        <v>1770</v>
      </c>
      <c r="I6827" s="651"/>
      <c r="J6827" s="652"/>
      <c r="K6827" s="645"/>
      <c r="L6827" s="775" t="s">
        <v>28</v>
      </c>
      <c r="M6827" s="649">
        <v>2371.2200000000003</v>
      </c>
      <c r="N6827" s="778">
        <v>0.58333333333333337</v>
      </c>
    </row>
    <row r="6828" spans="1:14" ht="19.5" thickBot="1" x14ac:dyDescent="0.3">
      <c r="A6828" s="503">
        <f>MAX(A6790:A6827)+1</f>
        <v>4269</v>
      </c>
      <c r="B6828" s="504" t="s">
        <v>1759</v>
      </c>
      <c r="C6828" s="505" t="s">
        <v>26</v>
      </c>
      <c r="D6828" s="506">
        <v>17.286999999999999</v>
      </c>
      <c r="E6828" s="507"/>
      <c r="F6828" s="508" t="s">
        <v>16</v>
      </c>
      <c r="G6828" s="509"/>
      <c r="H6828" s="508" t="s">
        <v>1770</v>
      </c>
      <c r="I6828" s="510"/>
      <c r="J6828" s="511"/>
      <c r="K6828" s="504"/>
      <c r="L6828" s="508" t="s">
        <v>265</v>
      </c>
      <c r="M6828" s="508">
        <v>17441.560000000001</v>
      </c>
      <c r="N6828" s="512">
        <v>0.375</v>
      </c>
    </row>
    <row r="6829" spans="1:14" ht="19.5" thickBot="1" x14ac:dyDescent="0.3">
      <c r="A6829" s="513">
        <f>MAX(A6791:A6828)+1</f>
        <v>4270</v>
      </c>
      <c r="B6829" s="514" t="s">
        <v>1759</v>
      </c>
      <c r="C6829" s="515" t="s">
        <v>23</v>
      </c>
      <c r="D6829" s="516">
        <v>17.472000000000001</v>
      </c>
      <c r="E6829" s="517"/>
      <c r="F6829" s="518" t="s">
        <v>16</v>
      </c>
      <c r="G6829" s="519"/>
      <c r="H6829" s="518" t="s">
        <v>1770</v>
      </c>
      <c r="I6829" s="520"/>
      <c r="J6829" s="521"/>
      <c r="K6829" s="514"/>
      <c r="L6829" s="518" t="s">
        <v>28</v>
      </c>
      <c r="M6829" s="518">
        <v>17649.77</v>
      </c>
      <c r="N6829" s="522">
        <v>0.625</v>
      </c>
    </row>
    <row r="6830" spans="1:14" x14ac:dyDescent="0.25">
      <c r="A6830" s="676">
        <f t="shared" ref="A6830:A6835" si="205">MAX(A6793:A6829)+1</f>
        <v>4271</v>
      </c>
      <c r="B6830" s="676"/>
      <c r="C6830" s="473"/>
      <c r="D6830" s="474"/>
      <c r="E6830" s="475"/>
      <c r="F6830" s="676"/>
      <c r="G6830" s="476"/>
      <c r="H6830" s="676"/>
      <c r="I6830" s="477"/>
      <c r="J6830" s="871"/>
      <c r="K6830" s="676"/>
      <c r="L6830" s="676"/>
      <c r="M6830" s="676"/>
      <c r="N6830" s="676"/>
    </row>
    <row r="6831" spans="1:14" x14ac:dyDescent="0.25">
      <c r="A6831" s="676">
        <f t="shared" si="205"/>
        <v>4272</v>
      </c>
      <c r="B6831" s="676"/>
      <c r="C6831" s="473"/>
      <c r="D6831" s="474"/>
      <c r="E6831" s="475"/>
      <c r="F6831" s="676"/>
      <c r="G6831" s="476"/>
      <c r="H6831" s="676"/>
      <c r="I6831" s="477"/>
      <c r="J6831" s="871"/>
      <c r="K6831" s="676"/>
      <c r="L6831" s="676"/>
      <c r="M6831" s="676"/>
      <c r="N6831" s="676"/>
    </row>
    <row r="6832" spans="1:14" x14ac:dyDescent="0.25">
      <c r="A6832" s="676">
        <f t="shared" si="205"/>
        <v>4273</v>
      </c>
      <c r="B6832" s="676"/>
      <c r="C6832" s="473"/>
      <c r="D6832" s="474"/>
      <c r="E6832" s="475"/>
      <c r="F6832" s="676"/>
      <c r="G6832" s="476"/>
      <c r="H6832" s="676"/>
      <c r="I6832" s="477"/>
      <c r="J6832" s="871"/>
      <c r="K6832" s="676"/>
      <c r="L6832" s="676"/>
      <c r="M6832" s="676"/>
      <c r="N6832" s="676"/>
    </row>
    <row r="6833" spans="1:14" x14ac:dyDescent="0.25">
      <c r="A6833" s="676">
        <f t="shared" si="205"/>
        <v>4274</v>
      </c>
      <c r="B6833" s="676"/>
      <c r="C6833" s="473"/>
      <c r="D6833" s="474"/>
      <c r="E6833" s="475"/>
      <c r="F6833" s="676"/>
      <c r="G6833" s="476"/>
      <c r="H6833" s="676"/>
      <c r="I6833" s="477"/>
      <c r="J6833" s="871"/>
      <c r="K6833" s="676"/>
      <c r="L6833" s="676"/>
      <c r="M6833" s="676"/>
      <c r="N6833" s="676"/>
    </row>
    <row r="6834" spans="1:14" x14ac:dyDescent="0.25">
      <c r="A6834" s="676">
        <f t="shared" si="205"/>
        <v>4275</v>
      </c>
      <c r="B6834" s="676"/>
      <c r="C6834" s="473"/>
      <c r="D6834" s="474"/>
      <c r="E6834" s="475"/>
      <c r="F6834" s="676"/>
      <c r="G6834" s="476"/>
      <c r="H6834" s="676"/>
      <c r="I6834" s="477"/>
      <c r="J6834" s="871"/>
      <c r="K6834" s="676"/>
      <c r="L6834" s="676"/>
      <c r="M6834" s="676"/>
      <c r="N6834" s="676"/>
    </row>
    <row r="6835" spans="1:14" x14ac:dyDescent="0.25">
      <c r="A6835" s="676">
        <f t="shared" si="205"/>
        <v>4276</v>
      </c>
      <c r="B6835" s="676"/>
      <c r="C6835" s="473"/>
      <c r="D6835" s="474"/>
      <c r="E6835" s="475"/>
      <c r="F6835" s="676"/>
      <c r="G6835" s="476"/>
      <c r="H6835" s="676"/>
      <c r="I6835" s="477"/>
      <c r="J6835" s="871"/>
      <c r="K6835" s="676"/>
      <c r="L6835" s="676"/>
      <c r="M6835" s="676"/>
      <c r="N6835" s="676"/>
    </row>
  </sheetData>
  <autoFilter ref="A2:N6819" xr:uid="{00000000-0009-0000-0000-000000000000}">
    <filterColumn colId="10">
      <filters blank="1"/>
    </filterColumn>
  </autoFilter>
  <mergeCells count="1776">
    <mergeCell ref="A6819:A6821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564:A5565"/>
    <mergeCell ref="A5570:A5572"/>
    <mergeCell ref="A6718:A6720"/>
    <mergeCell ref="G6718:G6720"/>
    <mergeCell ref="G5321:G5325"/>
    <mergeCell ref="A5316:A5317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5412:A5413"/>
    <mergeCell ref="A5247:A5249"/>
    <mergeCell ref="G5232:G5233"/>
    <mergeCell ref="A5232:A5233"/>
    <mergeCell ref="A5286:A5289"/>
    <mergeCell ref="A5290:A5292"/>
    <mergeCell ref="A5321:A5325"/>
    <mergeCell ref="G5531:G5532"/>
    <mergeCell ref="G5534:G5538"/>
    <mergeCell ref="A5542:A5546"/>
    <mergeCell ref="A5518:A5522"/>
    <mergeCell ref="G5436:G5437"/>
    <mergeCell ref="A5439:A5440"/>
    <mergeCell ref="A5441:A5442"/>
    <mergeCell ref="A5443:A5444"/>
    <mergeCell ref="A5445:A5446"/>
    <mergeCell ref="A5511:A5512"/>
    <mergeCell ref="A5513:A5514"/>
    <mergeCell ref="A5363:A5364"/>
    <mergeCell ref="A5270:A5271"/>
    <mergeCell ref="A5272:A5273"/>
    <mergeCell ref="A5275:A5276"/>
    <mergeCell ref="G5275:G5276"/>
    <mergeCell ref="A5326:A5327"/>
    <mergeCell ref="A5331:A5334"/>
    <mergeCell ref="A5515:A5516"/>
    <mergeCell ref="A5378:A5379"/>
    <mergeCell ref="A5380:A5381"/>
    <mergeCell ref="A5523:A5525"/>
    <mergeCell ref="A5531:A5532"/>
    <mergeCell ref="G5408:G5409"/>
    <mergeCell ref="A5199:A5200"/>
    <mergeCell ref="G5202:G5203"/>
    <mergeCell ref="G5549:G5550"/>
    <mergeCell ref="A5549:A5550"/>
    <mergeCell ref="A5534:A5538"/>
    <mergeCell ref="A5539:A5541"/>
    <mergeCell ref="A5561:A5562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4560:A4562"/>
    <mergeCell ref="A4548:A4549"/>
    <mergeCell ref="A5183:A5184"/>
    <mergeCell ref="A5202:A5203"/>
    <mergeCell ref="A5070:A5071"/>
    <mergeCell ref="A5234:A5235"/>
    <mergeCell ref="A5279:A5281"/>
    <mergeCell ref="A5267:A5269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1199:A1200"/>
    <mergeCell ref="A1202:A1203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A4776:A4777"/>
    <mergeCell ref="A4825:A4826"/>
    <mergeCell ref="A5128:A5129"/>
    <mergeCell ref="A5123:A5125"/>
    <mergeCell ref="A4893:A4894"/>
    <mergeCell ref="A5063:A5064"/>
    <mergeCell ref="A5065:A5069"/>
    <mergeCell ref="A4579:A4581"/>
    <mergeCell ref="A4521:A4523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A1032:A1034"/>
    <mergeCell ref="A1028:A1029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G4579:G4581"/>
    <mergeCell ref="A4582:A4584"/>
    <mergeCell ref="A4681:A4682"/>
    <mergeCell ref="A4524:A4526"/>
    <mergeCell ref="A4517:A4518"/>
    <mergeCell ref="A4437:A4440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1232:A1233"/>
    <mergeCell ref="A1235:A1236"/>
    <mergeCell ref="A1238:A1239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A601:A603"/>
    <mergeCell ref="A607:A610"/>
    <mergeCell ref="G815:G816"/>
    <mergeCell ref="A4416:A4419"/>
    <mergeCell ref="A1070:A1071"/>
    <mergeCell ref="A1072:A1074"/>
    <mergeCell ref="G929:G930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1:A1022"/>
    <mergeCell ref="G4391:G4392"/>
    <mergeCell ref="G4331:G4332"/>
    <mergeCell ref="A1242:A1243"/>
    <mergeCell ref="A755:A760"/>
    <mergeCell ref="A823:A829"/>
    <mergeCell ref="A836:A838"/>
    <mergeCell ref="A571:A573"/>
    <mergeCell ref="A596:A597"/>
    <mergeCell ref="A850:A852"/>
    <mergeCell ref="A855:A860"/>
    <mergeCell ref="A813:A814"/>
    <mergeCell ref="A959:A960"/>
    <mergeCell ref="A762:A763"/>
    <mergeCell ref="A766:A768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629:A630"/>
    <mergeCell ref="A769:A771"/>
    <mergeCell ref="A925:A928"/>
    <mergeCell ref="A809:A812"/>
    <mergeCell ref="A939:A941"/>
    <mergeCell ref="A943:A947"/>
    <mergeCell ref="A839:A841"/>
    <mergeCell ref="A948:A949"/>
    <mergeCell ref="A951:A95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659:A662"/>
    <mergeCell ref="G983:G984"/>
    <mergeCell ref="A985:A987"/>
    <mergeCell ref="A988:A989"/>
    <mergeCell ref="A990:A992"/>
    <mergeCell ref="A1026:A1027"/>
    <mergeCell ref="A897:A898"/>
    <mergeCell ref="G1167:G1168"/>
    <mergeCell ref="A1170:A1171"/>
    <mergeCell ref="A1172:A1173"/>
    <mergeCell ref="A917:A918"/>
    <mergeCell ref="A923:A924"/>
    <mergeCell ref="A789:A790"/>
    <mergeCell ref="A791:A792"/>
    <mergeCell ref="A793:A796"/>
    <mergeCell ref="A846:A849"/>
    <mergeCell ref="A815:A816"/>
    <mergeCell ref="A774:A778"/>
    <mergeCell ref="A779:A783"/>
    <mergeCell ref="A1078:A1079"/>
    <mergeCell ref="A1080:A1081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250:A1251"/>
    <mergeCell ref="G1250:G1251"/>
    <mergeCell ref="A1244:A1245"/>
    <mergeCell ref="A1246:A1247"/>
    <mergeCell ref="A1248:A1249"/>
    <mergeCell ref="A1205:A1206"/>
    <mergeCell ref="A1207:A1208"/>
    <mergeCell ref="A1209:A1210"/>
    <mergeCell ref="A1211:A1212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252:A1253"/>
    <mergeCell ref="A1257:A1258"/>
    <mergeCell ref="A1221:A1222"/>
    <mergeCell ref="A1223:A1224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529:A4530"/>
    <mergeCell ref="A4532:A4533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4422:A4423"/>
    <mergeCell ref="A4424:A4425"/>
    <mergeCell ref="A4376:A4377"/>
    <mergeCell ref="A4477:A4479"/>
    <mergeCell ref="A4442:A4443"/>
    <mergeCell ref="A4427:A4428"/>
    <mergeCell ref="A4480:A4481"/>
    <mergeCell ref="A3960:A3961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543:A4544"/>
    <mergeCell ref="A4539:A4541"/>
    <mergeCell ref="A4214:A4216"/>
    <mergeCell ref="A4515:A4516"/>
    <mergeCell ref="A4387:A4390"/>
    <mergeCell ref="A4384:A4386"/>
    <mergeCell ref="A4374:A4375"/>
    <mergeCell ref="A4370:A4372"/>
    <mergeCell ref="A4357:A4359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A4806:A4807"/>
    <mergeCell ref="A4977:A4978"/>
    <mergeCell ref="A4878:A4880"/>
    <mergeCell ref="A4917:A4918"/>
    <mergeCell ref="A4900:A4902"/>
    <mergeCell ref="A5019:A5020"/>
    <mergeCell ref="A4842:A4843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5001:A5002"/>
    <mergeCell ref="A5014:A5015"/>
    <mergeCell ref="G4999:G5000"/>
    <mergeCell ref="A4989:A4991"/>
    <mergeCell ref="A4992:A4994"/>
    <mergeCell ref="A4924:A4925"/>
    <mergeCell ref="A4964:A4965"/>
    <mergeCell ref="A4960:A4961"/>
    <mergeCell ref="A4996:A4997"/>
    <mergeCell ref="G4930:G4931"/>
    <mergeCell ref="A4942:A4943"/>
    <mergeCell ref="A4954:A4955"/>
    <mergeCell ref="A4792:A4793"/>
    <mergeCell ref="G4792:G4793"/>
    <mergeCell ref="A4794:A4795"/>
    <mergeCell ref="G5065:G5066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846:A4847"/>
    <mergeCell ref="A4887:A4888"/>
    <mergeCell ref="A4838:A4839"/>
    <mergeCell ref="G4838:G4839"/>
    <mergeCell ref="A4840:A4841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A5114:A5115"/>
    <mergeCell ref="G5116:G5117"/>
    <mergeCell ref="G4977:G4978"/>
    <mergeCell ref="G4996:G4997"/>
    <mergeCell ref="G5110:G5113"/>
    <mergeCell ref="A5099:A5101"/>
    <mergeCell ref="A5116:A5117"/>
    <mergeCell ref="A5037:A5038"/>
    <mergeCell ref="A5039:A5041"/>
    <mergeCell ref="G4935:G4936"/>
    <mergeCell ref="A5265:A5266"/>
    <mergeCell ref="A5150:A5152"/>
    <mergeCell ref="A5146:A5147"/>
    <mergeCell ref="G5126:G5127"/>
    <mergeCell ref="A5121:A5122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5035:A5036"/>
    <mergeCell ref="G5047:G5048"/>
    <mergeCell ref="A4905:A4906"/>
    <mergeCell ref="A4844:A4845"/>
    <mergeCell ref="G6721:G6722"/>
    <mergeCell ref="A6680:A6681"/>
    <mergeCell ref="A6682:A6683"/>
    <mergeCell ref="A6709:A6712"/>
    <mergeCell ref="A6698:A6699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348:A5350"/>
    <mergeCell ref="G5196:G5197"/>
    <mergeCell ref="G5188:G5189"/>
    <mergeCell ref="A5226:A5228"/>
    <mergeCell ref="A5192:A5195"/>
    <mergeCell ref="A5216:A5217"/>
    <mergeCell ref="A5219:A5221"/>
    <mergeCell ref="A5140:A5141"/>
    <mergeCell ref="A5212:A5213"/>
    <mergeCell ref="A5262:A5263"/>
    <mergeCell ref="A6721:A6722"/>
    <mergeCell ref="A6723:A6724"/>
    <mergeCell ref="G6723:G6724"/>
    <mergeCell ref="A6725:A6726"/>
    <mergeCell ref="A6750:A6752"/>
    <mergeCell ref="A6733:A6734"/>
    <mergeCell ref="A6589:A6590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1:A6692"/>
    <mergeCell ref="A6693:A6694"/>
    <mergeCell ref="A6673:A6674"/>
    <mergeCell ref="A6695:A6697"/>
    <mergeCell ref="A6700:A6702"/>
    <mergeCell ref="A6812:A6814"/>
    <mergeCell ref="A6816:A6818"/>
    <mergeCell ref="A6822:A6825"/>
    <mergeCell ref="A6826:A6827"/>
    <mergeCell ref="A6808:A6811"/>
    <mergeCell ref="A6797:A6800"/>
    <mergeCell ref="A6780:A6781"/>
    <mergeCell ref="A6754:A6755"/>
    <mergeCell ref="A6756:A6758"/>
    <mergeCell ref="A6782:A6784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2026-07-29T13:35:07Z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