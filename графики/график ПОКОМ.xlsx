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CF0293DF-7712-4669-98B1-A9F0C8AE97D0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Лист1!$A$2:$R$7185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070" i="1" l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s="1"/>
  <c r="A7088" i="1" s="1"/>
  <c r="A7089" i="1" s="1"/>
  <c r="A7090" i="1" s="1"/>
  <c r="A7091" i="1" s="1"/>
  <c r="A7092" i="1" s="1"/>
  <c r="A7093" i="1" s="1"/>
  <c r="A7095" i="1" s="1"/>
  <c r="A7097" i="1" s="1"/>
  <c r="A7103" i="1" s="1"/>
  <c r="A7104" i="1" s="1"/>
  <c r="A7106" i="1" s="1"/>
  <c r="A7110" i="1" s="1"/>
  <c r="A7112" i="1" s="1"/>
  <c r="A7115" i="1" s="1"/>
  <c r="A7119" i="1" s="1"/>
  <c r="A7120" i="1" s="1"/>
  <c r="A7124" i="1" s="1"/>
  <c r="A7125" i="1" s="1"/>
  <c r="A7126" i="1" s="1"/>
  <c r="A7127" i="1" s="1"/>
  <c r="A7129" i="1" l="1"/>
  <c r="A7131" i="1" s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8" i="1" s="1"/>
  <c r="A7170" i="1" s="1"/>
  <c r="A7171" i="1" s="1"/>
  <c r="A7175" i="1" s="1"/>
  <c r="A7177" i="1" s="1"/>
  <c r="A7179" i="1" s="1"/>
  <c r="A7180" i="1" s="1"/>
  <c r="A7181" i="1" s="1"/>
  <c r="A7182" i="1" s="1"/>
  <c r="A7183" i="1" s="1"/>
  <c r="A7185" i="1" l="1"/>
  <c r="A7186" i="1" s="1"/>
  <c r="A7189" i="1" l="1"/>
  <c r="A7190" i="1" l="1"/>
  <c r="A7191" i="1" l="1"/>
  <c r="A7192" i="1" s="1"/>
  <c r="A7193" i="1" l="1"/>
  <c r="A7194" i="1" s="1"/>
  <c r="A7195" i="1" l="1"/>
  <c r="A7196" i="1" s="1"/>
  <c r="A7197" i="1" l="1"/>
  <c r="A7198" i="1" s="1"/>
  <c r="A7199" i="1" s="1"/>
  <c r="A7200" i="1" s="1"/>
  <c r="A7201" i="1" l="1"/>
  <c r="A7202" i="1" s="1"/>
  <c r="A7203" i="1" s="1"/>
</calcChain>
</file>

<file path=xl/sharedStrings.xml><?xml version="1.0" encoding="utf-8"?>
<sst xmlns="http://schemas.openxmlformats.org/spreadsheetml/2006/main" count="46139" uniqueCount="2478">
  <si>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</si>
  <si>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</si>
  <si>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</si>
  <si>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</si>
  <si>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</si>
  <si>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</si>
  <si>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</si>
  <si>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</si>
  <si>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</si>
  <si>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</si>
  <si>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</si>
  <si>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</si>
  <si>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</si>
  <si>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</si>
  <si>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</si>
  <si>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</si>
  <si>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</si>
  <si>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</si>
  <si>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</si>
  <si>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</si>
  <si>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</si>
  <si>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</si>
  <si>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</si>
  <si>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</si>
  <si>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</si>
  <si>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</si>
  <si>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</si>
  <si>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</si>
  <si>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</si>
  <si>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</si>
  <si>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</si>
  <si>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</si>
  <si>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</si>
  <si>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</si>
  <si>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</si>
  <si>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</si>
  <si>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</si>
  <si>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</si>
  <si>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</si>
  <si>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</si>
  <si>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</si>
  <si>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</si>
  <si>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</si>
  <si>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</si>
  <si>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</si>
  <si>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</si>
  <si>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</si>
  <si>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</si>
  <si>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</si>
  <si>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</si>
  <si>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</si>
  <si>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</si>
  <si>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</si>
  <si>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</si>
  <si>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</si>
  <si>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</si>
  <si>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</si>
  <si>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</si>
  <si>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</si>
  <si>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</si>
  <si>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</si>
  <si>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</si>
  <si>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</si>
  <si>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</si>
  <si>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</si>
  <si>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</si>
  <si>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</si>
  <si>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</si>
  <si>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</si>
  <si>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</si>
  <si>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</si>
  <si>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</si>
  <si>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</si>
  <si>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</si>
  <si>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</si>
  <si>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</si>
  <si>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</si>
  <si>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</si>
  <si>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</si>
  <si>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</si>
  <si>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</si>
  <si>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</si>
  <si>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</si>
  <si>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</si>
  <si>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</si>
  <si>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</si>
  <si>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</si>
  <si>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</si>
  <si>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</si>
  <si>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</si>
  <si>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</si>
  <si>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</si>
  <si>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</si>
  <si>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</si>
  <si>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</si>
  <si>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</si>
  <si>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</si>
  <si>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</si>
  <si>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</si>
  <si>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</si>
  <si>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</si>
  <si>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</si>
  <si>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</si>
  <si>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</si>
  <si>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</si>
  <si>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</si>
  <si>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</si>
  <si>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</si>
  <si>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</si>
  <si>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</si>
  <si>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</si>
  <si>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</si>
  <si>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</si>
  <si>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</si>
  <si>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</si>
  <si>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</si>
  <si>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</si>
  <si>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</si>
  <si>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</si>
  <si>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</si>
  <si>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</si>
  <si>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</si>
  <si>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</si>
  <si>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</si>
  <si>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</si>
  <si>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</si>
  <si>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</si>
  <si>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</si>
  <si>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</si>
  <si>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</si>
  <si>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</si>
  <si>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</si>
  <si>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</si>
  <si>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</si>
  <si>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</si>
  <si>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</si>
  <si>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</si>
  <si>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</si>
  <si>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</si>
  <si>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</si>
  <si>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</si>
  <si>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</si>
  <si>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</si>
  <si>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</si>
  <si>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</si>
  <si>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</si>
  <si>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</si>
  <si>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</si>
  <si>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</si>
  <si>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</si>
  <si>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</si>
  <si>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</si>
  <si>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</si>
  <si>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</si>
  <si>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</si>
  <si>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</si>
  <si>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</si>
  <si>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</si>
  <si>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</si>
  <si>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</si>
  <si>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</si>
  <si>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</si>
  <si>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</si>
  <si>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</si>
  <si>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</si>
  <si>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</si>
  <si>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</si>
  <si>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</si>
  <si>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</si>
  <si>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</si>
  <si>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</si>
  <si>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</si>
  <si>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</si>
  <si>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</si>
  <si>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</si>
  <si>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</si>
  <si>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</si>
  <si>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</si>
  <si>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</si>
  <si>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</si>
  <si>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</si>
  <si>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</si>
  <si>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</si>
  <si>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</si>
  <si>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</si>
  <si>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</si>
  <si>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</si>
  <si>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</si>
  <si>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</si>
  <si>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</si>
  <si>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</si>
  <si>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</si>
  <si>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</si>
  <si>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</si>
  <si>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</si>
  <si>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</si>
  <si>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</si>
  <si>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</si>
  <si>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</si>
  <si>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</si>
  <si>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</si>
  <si>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</si>
  <si>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</si>
  <si>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</si>
  <si>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</si>
  <si>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</si>
  <si>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</si>
  <si>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</si>
  <si>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</si>
  <si>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</si>
  <si>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</si>
  <si>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</si>
  <si>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</si>
  <si>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</si>
  <si>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</si>
  <si>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</si>
  <si>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</si>
  <si>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</si>
  <si>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</si>
  <si>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</si>
  <si>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</si>
  <si>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</si>
  <si>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</si>
  <si>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</si>
  <si>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</si>
  <si>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</si>
  <si>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</si>
  <si>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</si>
  <si>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</si>
  <si>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</si>
  <si>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</si>
  <si>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</si>
  <si>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</si>
  <si>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</si>
  <si>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</si>
  <si>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</si>
  <si>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</si>
  <si>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</si>
  <si>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</si>
  <si>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</si>
  <si>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</si>
  <si>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</si>
  <si>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</si>
  <si>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</si>
  <si>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</si>
  <si>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</si>
  <si>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</si>
  <si>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</si>
  <si>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</si>
  <si>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</si>
  <si>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</si>
  <si>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</si>
  <si>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</si>
  <si>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</si>
  <si>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</si>
  <si>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</si>
  <si>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</si>
  <si>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</si>
  <si>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</si>
  <si>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</si>
  <si>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</si>
  <si>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</si>
  <si>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</si>
  <si>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</si>
  <si>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</si>
  <si>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</si>
  <si>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</si>
  <si>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</si>
  <si>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</si>
  <si>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</si>
  <si>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</si>
  <si>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</si>
  <si>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</si>
  <si>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</si>
  <si>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</si>
  <si>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</si>
  <si>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</si>
  <si>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</si>
  <si>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</si>
  <si>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</si>
  <si>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</si>
  <si>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</si>
  <si>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</si>
  <si>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</si>
  <si>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</si>
  <si>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</si>
  <si>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</si>
  <si>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</si>
  <si>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</si>
  <si>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</si>
  <si>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</si>
  <si>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</si>
  <si>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</si>
  <si>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</si>
  <si>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</si>
  <si>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</si>
  <si>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</si>
  <si>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</si>
  <si>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</si>
  <si>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</si>
  <si>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</si>
  <si>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</si>
  <si>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</si>
  <si>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</si>
  <si>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</si>
  <si>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</si>
  <si>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</si>
  <si>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</si>
  <si>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</si>
  <si>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</si>
  <si>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</si>
  <si>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</si>
  <si>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</si>
  <si>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</si>
  <si>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</si>
  <si>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</si>
  <si>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</si>
  <si>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</si>
  <si>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</si>
  <si>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</si>
  <si>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</si>
  <si>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</si>
  <si>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</si>
  <si>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</si>
  <si>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</si>
  <si>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</si>
  <si>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</si>
  <si>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</si>
  <si>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</si>
  <si>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</si>
  <si>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</si>
  <si>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</si>
  <si>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</si>
  <si>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</si>
  <si>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</si>
  <si>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</si>
  <si>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</si>
  <si>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</si>
  <si>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</si>
  <si>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</si>
  <si>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</si>
  <si>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</si>
  <si>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</si>
  <si>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</si>
  <si>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</si>
  <si>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</si>
  <si>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</si>
  <si>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</si>
  <si>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</si>
  <si>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</si>
  <si>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</si>
  <si>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</si>
  <si>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</si>
  <si>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</si>
  <si>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</si>
  <si>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</si>
  <si>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</si>
  <si>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</si>
  <si>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</si>
  <si>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</si>
  <si>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</si>
  <si>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</si>
  <si>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</si>
  <si>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</si>
  <si>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</si>
  <si>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</si>
  <si>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</si>
  <si>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</si>
  <si>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</si>
  <si>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</si>
  <si>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</si>
  <si>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</si>
  <si>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</si>
  <si>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</si>
  <si>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</si>
  <si>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</si>
  <si>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</si>
  <si>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</si>
  <si>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</si>
  <si>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</si>
  <si>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</si>
  <si>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</si>
  <si>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</si>
  <si>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</si>
  <si>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</si>
  <si>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</si>
  <si>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</si>
  <si>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</si>
  <si>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</si>
  <si>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</si>
  <si>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</si>
  <si>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</si>
  <si>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</si>
  <si>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</si>
  <si>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</si>
  <si>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</si>
  <si>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</si>
  <si>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</si>
  <si>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</si>
  <si>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</si>
  <si>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</si>
  <si>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</si>
  <si>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</si>
  <si>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</si>
  <si>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</si>
  <si>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</si>
  <si>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</si>
  <si>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</si>
  <si>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</si>
  <si>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</si>
  <si>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</si>
  <si>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</si>
  <si>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</si>
  <si>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</si>
  <si>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</si>
  <si>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</si>
  <si>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</si>
  <si>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</si>
  <si>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</si>
  <si>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</si>
  <si>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</si>
  <si>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</si>
  <si>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</si>
  <si>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</si>
  <si>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</si>
  <si>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</si>
  <si>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</si>
  <si>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</si>
  <si>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</si>
  <si>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</si>
  <si>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</si>
  <si>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</si>
  <si>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</si>
  <si>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</si>
  <si>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</si>
  <si>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</si>
  <si>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</si>
  <si>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</si>
  <si>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</si>
  <si>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</si>
  <si>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</si>
  <si>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</si>
  <si>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</si>
  <si>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</si>
  <si>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</si>
  <si>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</si>
  <si>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</si>
  <si>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</si>
  <si>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</si>
  <si>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</si>
  <si>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</si>
  <si>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</si>
  <si>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</si>
  <si>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</si>
  <si>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</si>
  <si>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</si>
  <si>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</si>
  <si>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</si>
  <si>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</si>
  <si>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</si>
  <si>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</si>
  <si>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</si>
  <si>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</si>
  <si>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</si>
  <si>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</si>
  <si>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</si>
  <si>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</si>
  <si>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</si>
  <si>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</si>
  <si>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</si>
  <si>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</si>
  <si>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</si>
  <si>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</si>
  <si>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</si>
  <si>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</si>
  <si>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</si>
  <si>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</si>
  <si>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</si>
  <si>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</si>
  <si>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</si>
  <si>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</si>
  <si>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</si>
  <si>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</si>
  <si>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</si>
  <si>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</si>
  <si>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</si>
  <si>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</si>
  <si>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</si>
  <si>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</si>
  <si>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</si>
  <si>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</si>
  <si>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</si>
  <si>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</si>
  <si>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</si>
  <si>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</si>
  <si>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</si>
  <si>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</si>
  <si>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</si>
  <si>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</si>
  <si>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</si>
  <si>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</si>
  <si>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</si>
  <si>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</si>
  <si>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</si>
  <si>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</si>
  <si>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</si>
  <si>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</si>
  <si>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</si>
  <si>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</si>
  <si>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</si>
  <si>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</si>
  <si>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</si>
  <si>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</si>
  <si>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</si>
  <si>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</si>
  <si>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</si>
  <si>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</si>
  <si>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</si>
  <si>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</si>
  <si>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</si>
  <si>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</si>
  <si>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</si>
  <si>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</si>
  <si>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</si>
  <si>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</si>
  <si>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</si>
  <si>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</si>
  <si>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</si>
  <si>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</si>
  <si>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</si>
  <si>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</si>
  <si>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</si>
  <si>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</si>
  <si>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</si>
  <si>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</si>
  <si>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</si>
  <si>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</si>
  <si>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</si>
  <si>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</si>
  <si>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</si>
  <si>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</si>
  <si>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</si>
  <si>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</si>
  <si>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</si>
  <si>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</si>
  <si>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</si>
  <si>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</si>
  <si>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</si>
  <si>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</si>
  <si>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</si>
  <si>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</si>
  <si>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</si>
  <si>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</si>
  <si>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</si>
  <si>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</si>
  <si>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</si>
  <si>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</si>
  <si>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</si>
  <si>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</si>
  <si>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</si>
  <si>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</si>
  <si>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</si>
  <si>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</si>
  <si>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</si>
  <si>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</si>
  <si>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</si>
  <si>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</si>
  <si>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</si>
  <si>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</si>
  <si>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</si>
  <si>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</si>
  <si>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</si>
  <si>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</si>
  <si>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</si>
  <si>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</si>
  <si>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</si>
  <si>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</si>
  <si>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</si>
  <si>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</si>
  <si>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</si>
  <si>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</si>
  <si>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</si>
  <si>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</si>
  <si>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</si>
  <si>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</si>
  <si>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</si>
  <si>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</si>
  <si>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</si>
  <si>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</si>
  <si>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</si>
  <si>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</si>
  <si>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</si>
  <si>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</si>
  <si>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</si>
  <si>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</si>
  <si>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</si>
  <si>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</si>
  <si>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</si>
  <si>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</si>
  <si>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</si>
  <si>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</si>
  <si>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</si>
  <si>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</si>
  <si>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</si>
  <si>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</si>
  <si>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</si>
  <si>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</si>
  <si>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</si>
  <si>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</si>
  <si>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</si>
  <si>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</si>
  <si>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</si>
  <si>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</si>
  <si>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</si>
  <si>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</si>
  <si>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</si>
  <si>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</si>
  <si>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</si>
  <si>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</si>
  <si>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</si>
  <si>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</si>
  <si>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</si>
  <si>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</si>
  <si>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</si>
  <si>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</si>
  <si>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</si>
  <si>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</si>
  <si>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</si>
  <si>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</si>
  <si>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</si>
  <si>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</si>
  <si>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</si>
  <si>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</si>
  <si>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</si>
  <si>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</si>
  <si>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</si>
  <si>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</si>
  <si>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</si>
  <si>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</si>
  <si>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</si>
  <si>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</si>
  <si>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</si>
  <si>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</si>
  <si>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</si>
  <si>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</si>
  <si>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</si>
  <si>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</si>
  <si>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</si>
  <si>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</si>
  <si>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</si>
  <si>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</si>
  <si>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</si>
  <si>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</si>
  <si>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</si>
  <si>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</si>
  <si>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</si>
  <si>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</si>
  <si>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</si>
  <si>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</si>
  <si>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</si>
  <si>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</si>
  <si>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</si>
  <si>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</si>
  <si>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</si>
  <si>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</si>
  <si>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</si>
  <si>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</si>
  <si>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</si>
  <si>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</si>
  <si>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</si>
  <si>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</si>
  <si>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</si>
  <si>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</si>
  <si>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</si>
  <si>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</si>
  <si>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</si>
  <si>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</si>
  <si>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</si>
  <si>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</si>
  <si>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</si>
  <si>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</si>
  <si>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</si>
  <si>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</si>
  <si>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</si>
  <si>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</si>
  <si>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</si>
  <si>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</si>
  <si>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</si>
  <si>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</si>
  <si>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</si>
  <si>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</si>
  <si>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</si>
  <si>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</si>
  <si>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</si>
  <si>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</si>
  <si>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</si>
  <si>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</si>
  <si>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</si>
  <si>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</si>
  <si>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</si>
  <si>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</si>
  <si>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</si>
  <si>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</si>
  <si>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</si>
  <si>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</si>
  <si>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</si>
  <si>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</si>
  <si>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</si>
  <si>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</si>
  <si>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</si>
  <si>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</si>
  <si>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</si>
  <si>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</si>
  <si>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</si>
  <si>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</si>
  <si>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</si>
  <si>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</si>
  <si>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</si>
  <si>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</si>
  <si>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</si>
  <si>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</si>
  <si>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</si>
  <si>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</si>
  <si>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</si>
  <si>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</si>
  <si>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</si>
  <si>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</si>
  <si>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</si>
  <si>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</si>
  <si>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</si>
  <si>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</si>
  <si>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</si>
  <si>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</si>
  <si>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</si>
  <si>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</si>
  <si>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</si>
  <si>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</si>
  <si>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</si>
  <si>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</si>
  <si>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</si>
  <si>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</si>
  <si>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</si>
  <si>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</si>
  <si>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</si>
  <si>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</si>
  <si>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</si>
  <si>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</si>
  <si>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</si>
  <si>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</si>
  <si>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</si>
  <si>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</si>
  <si>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</si>
  <si>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</si>
  <si>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</si>
  <si>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</si>
  <si>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</si>
  <si>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</si>
  <si>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</si>
  <si>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</si>
  <si>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</si>
  <si>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</si>
  <si>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</si>
  <si>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</si>
  <si>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</si>
  <si>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</si>
  <si>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</si>
  <si>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</si>
  <si>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</si>
  <si>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</si>
  <si>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</si>
  <si>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</si>
  <si>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</si>
  <si>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</si>
  <si>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</si>
  <si>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</si>
  <si>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</si>
  <si>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</si>
  <si>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</si>
  <si>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</si>
  <si>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</si>
  <si>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</si>
  <si>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</si>
  <si>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</si>
  <si>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</si>
  <si>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</si>
  <si>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</si>
  <si>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</si>
  <si>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</si>
  <si>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</si>
  <si>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</si>
  <si>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</si>
  <si>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</si>
  <si>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</si>
  <si>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</si>
  <si>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</si>
  <si>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</si>
  <si>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</si>
  <si>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</si>
  <si>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</si>
  <si>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</si>
  <si>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</si>
  <si>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</si>
  <si>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</si>
  <si>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</si>
  <si>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</si>
  <si>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</si>
  <si>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</si>
  <si>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</si>
  <si>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</si>
  <si>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</si>
  <si>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</si>
  <si>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</si>
  <si>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</si>
  <si>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</si>
  <si>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</si>
  <si>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</si>
  <si>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</si>
  <si>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</si>
  <si>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</si>
  <si>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</si>
  <si>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</si>
  <si>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</si>
  <si>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</si>
  <si>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</si>
  <si>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</si>
  <si>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</si>
  <si>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</si>
  <si>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</si>
  <si>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</si>
  <si>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</si>
  <si>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</si>
  <si>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</si>
  <si>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</si>
  <si>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</si>
  <si>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</si>
  <si>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</si>
  <si>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</si>
  <si>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</si>
  <si>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</si>
  <si>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</si>
  <si>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</si>
  <si>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</si>
  <si>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</si>
  <si>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</si>
  <si>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</si>
  <si>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</si>
  <si>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</si>
  <si>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</si>
  <si>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</si>
  <si>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</si>
  <si>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</si>
  <si>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</si>
  <si>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</si>
  <si>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</si>
  <si>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</si>
  <si>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</si>
  <si>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</si>
  <si>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</si>
  <si>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</si>
  <si>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</si>
  <si>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</si>
  <si>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</si>
  <si>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</si>
  <si>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</si>
  <si>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</si>
  <si>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</si>
  <si>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</si>
  <si>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</si>
  <si>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</si>
  <si>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</si>
  <si>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</si>
  <si>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</si>
  <si>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</si>
  <si>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</si>
  <si>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</si>
  <si>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</si>
  <si>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</si>
  <si>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</si>
  <si>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</si>
  <si>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</si>
  <si>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</si>
  <si>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</si>
  <si>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</si>
  <si>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</si>
  <si>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</si>
  <si>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</si>
  <si>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</si>
  <si>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</si>
  <si>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</si>
  <si>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</si>
  <si>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</si>
  <si>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</si>
  <si>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</si>
  <si>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</si>
  <si>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</si>
  <si>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</si>
  <si>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</si>
  <si>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</si>
  <si>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</si>
  <si>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</si>
  <si>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</si>
  <si>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</si>
  <si>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</si>
  <si>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</si>
  <si>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</si>
  <si>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</si>
  <si>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</si>
  <si>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</si>
  <si>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</si>
  <si>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</si>
  <si>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</si>
  <si>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</si>
  <si>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</si>
  <si>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</si>
  <si>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</si>
  <si>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</si>
  <si>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</si>
  <si>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</si>
  <si>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</si>
  <si>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</si>
  <si>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</si>
  <si>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</si>
  <si>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</si>
  <si>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</si>
  <si>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</si>
  <si>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</si>
  <si>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</si>
  <si>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</si>
  <si>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</si>
  <si>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</si>
  <si>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</si>
  <si>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</si>
  <si>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</si>
  <si>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</si>
  <si>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</si>
  <si>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</si>
  <si>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</si>
  <si>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</si>
  <si>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</si>
  <si>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</si>
  <si>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</si>
  <si>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</si>
  <si>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</si>
  <si>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</si>
  <si>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</si>
  <si>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</si>
  <si>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</si>
  <si>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</si>
  <si>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</si>
  <si>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</si>
  <si>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</si>
  <si>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</si>
  <si>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</si>
  <si>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</si>
  <si>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</si>
  <si>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</si>
  <si>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</si>
  <si>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</si>
  <si>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</si>
  <si>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</si>
  <si>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</si>
  <si>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</si>
  <si>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</si>
  <si>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</si>
  <si>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</si>
  <si>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</si>
  <si>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</si>
  <si>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</si>
  <si>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</si>
  <si>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</si>
  <si>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</si>
  <si>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</si>
  <si>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</si>
  <si>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</si>
  <si>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</si>
  <si>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</si>
  <si>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</si>
  <si>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</si>
  <si>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</si>
  <si>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</si>
  <si>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</si>
  <si>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</si>
  <si>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</si>
  <si>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</si>
  <si>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</si>
  <si>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</si>
  <si>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</si>
  <si>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</si>
  <si>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</si>
  <si>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</si>
  <si>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</si>
  <si>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</si>
  <si>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</si>
  <si>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</si>
  <si>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</si>
  <si>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</si>
  <si>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</si>
  <si>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</si>
  <si>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</si>
  <si>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</si>
  <si>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</si>
  <si>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</si>
  <si>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</si>
  <si>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</si>
  <si>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</si>
  <si>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</si>
  <si>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</si>
  <si>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</si>
  <si>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</si>
  <si>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</si>
  <si>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</si>
  <si>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</si>
  <si>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</si>
  <si>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</si>
  <si>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</si>
  <si>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</si>
  <si>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</si>
  <si>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</si>
  <si>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</si>
  <si>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</si>
  <si>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</si>
  <si>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</si>
  <si>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</si>
  <si>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</si>
  <si>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</si>
  <si>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</si>
  <si>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</si>
  <si>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</si>
  <si>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</si>
  <si>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</si>
  <si>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</si>
  <si>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</si>
  <si>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</si>
  <si>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</si>
  <si>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</si>
  <si>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</si>
  <si>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</si>
  <si>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</si>
  <si>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</si>
  <si>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</si>
  <si>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</si>
  <si>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</si>
  <si>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</si>
  <si>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</si>
  <si>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</si>
  <si>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</si>
  <si>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</si>
  <si>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</si>
  <si>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</si>
  <si>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</si>
  <si>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</si>
  <si>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</si>
  <si>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</si>
  <si>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</si>
  <si>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</si>
  <si>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</si>
  <si>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</si>
  <si>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</si>
  <si>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</si>
  <si>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</si>
  <si>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</si>
  <si>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</si>
  <si>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</si>
  <si>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</si>
  <si>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</si>
  <si>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</si>
  <si>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</si>
  <si>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</si>
  <si>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</si>
  <si>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</si>
  <si>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</si>
  <si>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</si>
  <si>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</si>
  <si>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</si>
  <si>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</si>
  <si>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</si>
  <si>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</si>
  <si>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</si>
  <si>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</si>
  <si>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</si>
  <si>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</si>
  <si>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</si>
  <si>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</si>
  <si>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</si>
  <si>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</si>
  <si>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</si>
  <si>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</si>
  <si>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</si>
  <si>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</si>
  <si>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</si>
  <si>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</si>
  <si>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</si>
  <si>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</si>
  <si>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</si>
  <si>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</si>
  <si>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</si>
  <si>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</si>
  <si>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</si>
  <si>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</si>
  <si>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</si>
  <si>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</si>
  <si>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</si>
  <si>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</si>
  <si>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</si>
  <si>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</si>
  <si>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</si>
  <si>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</si>
  <si>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</si>
  <si>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</si>
  <si>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</si>
  <si>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</si>
  <si>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</si>
  <si>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</si>
  <si>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</si>
  <si>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</si>
  <si>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</si>
  <si>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</si>
  <si>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</si>
  <si>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</si>
  <si>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</si>
  <si>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</si>
  <si>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</si>
  <si>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</si>
  <si>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</si>
  <si>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</si>
  <si>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</si>
  <si>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</si>
  <si>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</si>
  <si>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</si>
  <si>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</si>
  <si>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</si>
  <si>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</si>
  <si>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</si>
  <si>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</si>
  <si>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</si>
  <si>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</si>
  <si>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</si>
  <si>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</si>
  <si>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</si>
  <si>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</si>
  <si>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</si>
  <si>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</si>
  <si>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</si>
  <si>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</si>
  <si>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</si>
  <si>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</si>
  <si>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</si>
  <si>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</si>
  <si>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</si>
  <si>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</si>
  <si>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</si>
  <si>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</si>
  <si>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</si>
  <si>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</si>
  <si>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</si>
  <si>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</si>
  <si>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</si>
  <si>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</si>
  <si>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</si>
  <si>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</si>
  <si>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</si>
  <si>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</si>
  <si>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</si>
  <si>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</si>
  <si>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</si>
  <si>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</si>
  <si>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</si>
  <si>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</si>
  <si>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</si>
  <si>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</si>
  <si>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</si>
  <si>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</si>
  <si>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</si>
  <si>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</si>
  <si>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</si>
  <si>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</si>
  <si>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</si>
  <si>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</si>
  <si>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</si>
  <si>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</si>
  <si>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</si>
  <si>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</si>
  <si>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</si>
  <si>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</si>
  <si>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</si>
  <si>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</si>
  <si>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</si>
  <si>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</si>
  <si>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</si>
  <si>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</si>
  <si>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</si>
  <si>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</si>
  <si>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</si>
  <si>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</si>
  <si>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</si>
  <si>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</si>
  <si>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</si>
  <si>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</si>
  <si>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</si>
  <si>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</si>
  <si>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</si>
  <si>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</si>
  <si>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</si>
  <si>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</si>
  <si>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</si>
  <si>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</si>
  <si>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</si>
  <si>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</si>
  <si>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</si>
  <si>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</si>
  <si>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</si>
  <si>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</si>
  <si>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</si>
  <si>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</si>
  <si>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</si>
  <si>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</si>
  <si>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</si>
  <si>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</si>
  <si>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</si>
  <si>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</si>
  <si>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</si>
  <si>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</si>
  <si>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</si>
  <si>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</si>
  <si>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</si>
  <si>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</si>
  <si>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</si>
  <si>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</si>
  <si>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</si>
  <si>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</si>
  <si>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</si>
  <si>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</si>
  <si>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</si>
  <si>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</si>
  <si>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</si>
  <si>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</si>
  <si>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</si>
  <si>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</si>
  <si>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</si>
  <si>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</si>
  <si>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</si>
  <si>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</si>
  <si>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</si>
  <si>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</si>
  <si>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</si>
  <si>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</si>
  <si>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</si>
  <si>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</si>
  <si>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</si>
  <si>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</si>
  <si>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</si>
  <si>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</si>
  <si>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</si>
  <si>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</si>
  <si>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</si>
  <si>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</si>
  <si>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</si>
  <si>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</si>
  <si>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</si>
  <si>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</si>
  <si>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</si>
  <si>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</si>
  <si>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</si>
  <si>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</si>
  <si>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</si>
  <si>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</si>
  <si>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</si>
  <si>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</si>
  <si>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</si>
  <si>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</si>
  <si>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</si>
  <si>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</si>
  <si>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</si>
  <si>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</si>
  <si>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</si>
  <si>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</si>
  <si>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</si>
  <si>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</si>
  <si>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</si>
  <si>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</si>
  <si>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</si>
  <si>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</si>
  <si>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</si>
  <si>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</si>
  <si>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</si>
  <si>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</si>
  <si>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</si>
  <si>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</si>
  <si>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</si>
  <si>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</si>
  <si>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</si>
  <si>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</si>
  <si>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</si>
  <si>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</si>
  <si>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</si>
  <si>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</si>
  <si>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</si>
  <si>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</si>
  <si>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</si>
  <si>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</si>
  <si>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</si>
  <si>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</si>
  <si>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</si>
  <si>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</si>
  <si>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</si>
  <si>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</si>
  <si>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</si>
  <si>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</si>
  <si>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</si>
  <si>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</si>
  <si>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</si>
  <si>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</si>
  <si>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</si>
  <si>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</si>
  <si>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</si>
  <si>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</si>
  <si>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</si>
  <si>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</si>
  <si>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</si>
  <si>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</si>
  <si>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</si>
  <si>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</si>
  <si>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</si>
  <si>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</si>
  <si>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</si>
  <si>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</si>
  <si>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</si>
  <si>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</si>
  <si>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</si>
  <si>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</si>
  <si>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</si>
  <si>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</si>
  <si>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</si>
  <si>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</si>
  <si>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</si>
  <si>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</si>
  <si>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</si>
  <si>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</si>
  <si>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</si>
  <si>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</si>
  <si>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</si>
  <si>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</si>
  <si>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</si>
  <si>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</si>
  <si>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</si>
  <si>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</si>
  <si>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</si>
  <si>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</si>
  <si>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</si>
  <si>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</si>
  <si>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</si>
  <si>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</si>
  <si>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</si>
  <si>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</si>
  <si>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</si>
  <si>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</si>
  <si>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</si>
  <si>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</si>
  <si>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</si>
  <si>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</si>
  <si>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</si>
  <si>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</si>
  <si>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</si>
  <si>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</si>
  <si>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</si>
  <si>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</si>
  <si>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</si>
  <si>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</si>
  <si>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</si>
  <si>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</si>
  <si>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</si>
  <si>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</si>
  <si>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</si>
  <si>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</si>
  <si>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</si>
  <si>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</si>
  <si>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</si>
  <si>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</si>
  <si>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</si>
  <si>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</si>
  <si>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</si>
  <si>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</si>
  <si>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</si>
  <si>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</si>
  <si>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</si>
  <si>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</si>
  <si>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</si>
  <si>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</si>
  <si>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</si>
  <si>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</si>
  <si>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</si>
  <si>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</si>
  <si>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</si>
  <si>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</si>
  <si>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</si>
  <si>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</si>
  <si>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</si>
  <si>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</si>
  <si>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</si>
  <si>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</si>
  <si>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</si>
  <si>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</si>
  <si>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</si>
  <si>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</si>
  <si>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</si>
  <si>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</si>
  <si>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</si>
  <si>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</si>
  <si>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</si>
  <si>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</si>
  <si>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</si>
  <si>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</si>
  <si>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</si>
  <si>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</si>
  <si>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</si>
  <si>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</si>
  <si>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</si>
  <si>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</si>
  <si>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</si>
  <si>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</si>
  <si>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</si>
  <si>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</si>
  <si>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</si>
  <si>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</si>
  <si>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</si>
  <si>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</si>
  <si>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</si>
  <si>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</si>
  <si>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</si>
  <si>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</si>
  <si>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</si>
  <si>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</si>
  <si>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</si>
  <si>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</si>
  <si>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</si>
  <si>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</si>
  <si>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</si>
  <si>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</si>
  <si>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</si>
  <si>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</si>
  <si>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</si>
  <si>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</si>
  <si>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</si>
  <si>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</si>
  <si>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</si>
  <si>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</si>
  <si>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</si>
  <si>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</si>
  <si>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</si>
  <si>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</si>
  <si>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</si>
  <si>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</si>
  <si>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</si>
  <si>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</si>
  <si>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</si>
  <si>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</si>
  <si>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</si>
  <si>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</si>
  <si>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</si>
  <si>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</si>
  <si>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</si>
  <si>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</si>
  <si>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</si>
  <si>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</si>
  <si>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</si>
  <si>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</si>
  <si>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</si>
  <si>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</si>
  <si>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</si>
  <si>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</si>
  <si>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</si>
  <si>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</si>
  <si>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</si>
  <si>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</si>
  <si>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</si>
  <si>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</si>
  <si>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</si>
  <si>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</si>
  <si>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</si>
  <si>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</si>
  <si>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</si>
  <si>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</si>
  <si>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</si>
  <si>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</si>
  <si>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</si>
  <si>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</si>
  <si>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</si>
  <si>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</si>
  <si>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</si>
  <si>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</si>
  <si>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</si>
  <si>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</si>
  <si>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</si>
  <si>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</si>
  <si>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</si>
  <si>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</si>
  <si>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</si>
  <si>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</si>
  <si>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</si>
  <si>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</si>
  <si>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</si>
  <si>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</si>
  <si>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</si>
  <si>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</si>
  <si>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</si>
  <si>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</si>
  <si>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</si>
  <si>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</si>
  <si>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</si>
  <si>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</si>
  <si>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</si>
  <si>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</si>
  <si>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</si>
  <si>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</si>
  <si>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</si>
  <si>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</si>
  <si>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</si>
  <si>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</si>
  <si>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</si>
  <si>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</si>
  <si>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</si>
  <si>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</si>
  <si>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</si>
  <si>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</si>
  <si>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</si>
  <si>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</si>
  <si>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</si>
  <si>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</si>
  <si>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</si>
  <si>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</si>
  <si>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</si>
  <si>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</si>
  <si>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</si>
  <si>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</si>
  <si>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</si>
  <si>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</si>
  <si>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</si>
  <si>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</si>
  <si>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</si>
  <si>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</si>
  <si>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</si>
  <si>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</si>
  <si>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</si>
  <si>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</si>
  <si>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</si>
  <si>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</si>
  <si>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</si>
  <si>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</si>
  <si>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</si>
  <si>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</si>
  <si>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</si>
  <si>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</si>
  <si>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</si>
  <si>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</si>
  <si>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</si>
  <si>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</si>
  <si>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</si>
  <si>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</si>
  <si>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</si>
  <si>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</si>
  <si>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</si>
  <si>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</si>
  <si>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</si>
  <si>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</si>
  <si>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</si>
  <si>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</si>
  <si>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</si>
  <si>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</si>
  <si>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</si>
  <si>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</si>
  <si>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</si>
  <si>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</si>
  <si>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</si>
  <si>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</si>
  <si>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</si>
  <si>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</si>
  <si>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</si>
  <si>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</si>
  <si>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</si>
  <si>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</si>
  <si>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</si>
  <si>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</si>
  <si>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</si>
  <si>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</si>
  <si>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</si>
  <si>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</si>
  <si>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</si>
  <si>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</si>
  <si>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</si>
  <si>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</si>
  <si>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</si>
  <si>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</si>
  <si>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</si>
  <si>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</si>
  <si>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</si>
  <si>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</si>
  <si>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</si>
  <si>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</si>
  <si>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</si>
  <si>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</si>
  <si>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</si>
  <si>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</si>
  <si>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</si>
  <si>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</si>
  <si>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</si>
  <si>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</si>
  <si>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</si>
  <si>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</si>
  <si>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</si>
  <si>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</si>
  <si>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</si>
  <si>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</si>
  <si>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</si>
  <si>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</si>
  <si>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</si>
  <si>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</si>
  <si>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</si>
  <si>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</si>
  <si>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</si>
  <si>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</si>
  <si>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</si>
  <si>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</si>
  <si>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</si>
  <si>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</si>
  <si>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</si>
  <si>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</si>
  <si>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</si>
  <si>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</si>
  <si>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</si>
  <si>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</si>
  <si>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</si>
  <si>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</si>
  <si>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</si>
  <si>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</si>
  <si>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</si>
  <si>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</si>
  <si>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</si>
  <si>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</si>
  <si>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</si>
  <si>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</si>
  <si>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</si>
  <si>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</si>
  <si>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</si>
  <si>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</si>
  <si>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</si>
  <si>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</si>
  <si>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</si>
  <si>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</si>
  <si>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</si>
  <si>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</si>
  <si>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</si>
  <si>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</si>
  <si>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</si>
  <si>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</si>
  <si>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</si>
  <si>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</si>
  <si>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</si>
  <si>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</si>
  <si>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</si>
  <si>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</si>
  <si>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</si>
  <si>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</si>
  <si>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</si>
  <si>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</si>
  <si>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</si>
  <si>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</si>
  <si>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</si>
  <si>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</si>
  <si>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</si>
  <si>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</si>
  <si>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</si>
  <si>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</si>
  <si>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</si>
  <si>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</si>
  <si>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</si>
  <si>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</si>
  <si>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</si>
  <si>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</si>
  <si>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</si>
  <si>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</si>
  <si>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</si>
  <si>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</si>
  <si>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</si>
  <si>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</si>
  <si>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</si>
  <si>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</si>
  <si>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</si>
  <si>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</si>
  <si>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</si>
  <si>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</si>
  <si>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</si>
  <si>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</si>
  <si>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</si>
  <si>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</si>
  <si>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</si>
  <si>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</si>
  <si>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</si>
  <si>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</si>
  <si>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</si>
  <si>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</si>
  <si>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</si>
  <si>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</si>
  <si>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</si>
  <si>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</si>
  <si>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</si>
  <si>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</si>
  <si>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</si>
  <si>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</si>
  <si>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</si>
  <si>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</si>
  <si>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</si>
  <si>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</si>
  <si>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</si>
  <si>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</si>
  <si>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</si>
  <si>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</si>
  <si>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</si>
  <si>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</si>
  <si>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</si>
  <si>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</si>
  <si>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</si>
  <si>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</si>
  <si>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</si>
  <si>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</si>
  <si>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</si>
  <si>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</si>
  <si>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</si>
  <si>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</si>
  <si>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</si>
  <si>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</si>
  <si>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</si>
  <si>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</si>
  <si>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</si>
  <si>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</si>
  <si>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</si>
  <si>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</si>
  <si>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</si>
  <si>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</si>
  <si>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</si>
  <si>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</si>
  <si>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</si>
  <si>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</si>
  <si>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</si>
  <si>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</si>
  <si>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</si>
  <si>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</si>
  <si>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</si>
  <si>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</si>
  <si>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</si>
  <si>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</si>
  <si>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</si>
  <si>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</si>
  <si>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</si>
  <si>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</si>
  <si>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</si>
  <si>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</si>
  <si>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</si>
  <si>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</si>
  <si>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</si>
  <si>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</si>
  <si>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</si>
  <si>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</si>
  <si>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</si>
  <si>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</si>
  <si>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</si>
  <si>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</si>
  <si>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</si>
  <si>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</si>
  <si>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</si>
  <si>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</si>
  <si>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</si>
  <si>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</si>
  <si>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</si>
  <si>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</si>
  <si>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</si>
  <si>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</si>
  <si>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</si>
  <si>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</si>
  <si>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</si>
  <si>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</si>
  <si>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</si>
  <si>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</si>
  <si>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</si>
  <si>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</si>
  <si>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</si>
  <si>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</si>
  <si>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</si>
  <si>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</si>
  <si>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</si>
  <si>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</si>
  <si>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</si>
  <si>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</si>
  <si>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</si>
  <si>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</si>
  <si>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</si>
  <si>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</si>
  <si>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</si>
  <si>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</si>
  <si>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</si>
  <si>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</si>
  <si>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</si>
  <si>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</si>
  <si>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</si>
  <si>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</si>
  <si>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</si>
  <si>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</si>
  <si>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</si>
  <si>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</si>
  <si>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</si>
  <si>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</si>
  <si>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</si>
  <si>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</si>
  <si>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</si>
  <si>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</si>
  <si>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</si>
  <si>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</si>
  <si>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</si>
  <si>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</si>
  <si>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</si>
  <si>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</si>
  <si>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</si>
  <si>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</si>
  <si>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</si>
  <si>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</si>
  <si>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</si>
  <si>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</si>
  <si>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</si>
  <si>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</si>
  <si>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</si>
  <si>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</si>
  <si>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</si>
  <si>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</si>
  <si>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</si>
  <si>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</si>
  <si>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</si>
  <si>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</si>
  <si>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</si>
  <si>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</si>
  <si>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</si>
  <si>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</si>
  <si>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</si>
  <si>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</si>
  <si>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</si>
  <si>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</si>
  <si>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</si>
  <si>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</si>
  <si>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</si>
  <si>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</si>
  <si>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</si>
  <si>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</si>
  <si>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</si>
  <si>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</si>
  <si>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</si>
  <si>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</si>
  <si>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</si>
  <si>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</si>
  <si>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</si>
  <si>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</si>
  <si>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</si>
  <si>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</si>
  <si>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</si>
  <si>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</si>
  <si>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</si>
  <si>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</si>
  <si>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</si>
  <si>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</si>
  <si>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</si>
  <si>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</si>
  <si>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</si>
  <si>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</si>
  <si>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</si>
  <si>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</si>
  <si>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</si>
  <si>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</si>
  <si>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</si>
  <si>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</si>
  <si>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</si>
  <si>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</si>
  <si>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</si>
  <si>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</si>
  <si>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</si>
  <si>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</si>
  <si>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</si>
  <si>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</si>
  <si>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</si>
  <si>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</si>
  <si>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</si>
  <si>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</si>
  <si>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</si>
  <si>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</si>
  <si>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</si>
  <si>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</si>
  <si>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</si>
  <si>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</si>
  <si>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</si>
  <si>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</si>
  <si>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</si>
  <si>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</si>
  <si>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</si>
  <si>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</si>
  <si>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</si>
  <si>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</si>
  <si>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</si>
  <si>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</si>
  <si>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</si>
  <si>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</si>
  <si>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</si>
  <si>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</si>
  <si>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</si>
  <si>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</si>
  <si>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</si>
  <si>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</si>
  <si>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</si>
  <si>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</si>
  <si>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</si>
  <si>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</si>
  <si>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</si>
  <si>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</si>
  <si>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</si>
  <si>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</si>
  <si>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</si>
  <si>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</si>
  <si>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</si>
  <si>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</si>
  <si>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</si>
  <si>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</si>
  <si>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</si>
  <si>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</si>
  <si>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</si>
  <si>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</si>
  <si>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</si>
  <si>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</si>
  <si>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</si>
  <si>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</si>
  <si>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</si>
  <si>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</si>
  <si>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</si>
  <si>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</si>
  <si>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</si>
  <si>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</si>
  <si>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</si>
  <si>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</si>
  <si>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</si>
  <si>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</si>
  <si>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</si>
  <si>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</si>
  <si>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</si>
  <si>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</si>
  <si>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</si>
  <si>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</si>
  <si>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</si>
  <si>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</si>
  <si>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</si>
  <si>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</si>
  <si>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</si>
  <si>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</si>
  <si>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</si>
  <si>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</si>
  <si>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</si>
  <si>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</si>
  <si>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</si>
  <si>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</si>
  <si>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</si>
  <si>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</si>
  <si>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</si>
  <si>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</si>
  <si>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</si>
  <si>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</si>
  <si>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</si>
  <si>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</si>
  <si>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</si>
  <si>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</si>
  <si>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</si>
  <si>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</si>
  <si>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</si>
  <si>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</si>
  <si>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</si>
  <si>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</si>
  <si>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</si>
  <si>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</si>
  <si>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</si>
  <si>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</si>
  <si>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</si>
  <si>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</si>
  <si>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</si>
  <si>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</si>
  <si>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</si>
  <si>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</si>
  <si>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</si>
  <si>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</si>
  <si>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</si>
  <si>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</si>
  <si>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</si>
  <si>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</si>
  <si>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</si>
  <si>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</si>
  <si>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</si>
  <si>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</si>
  <si>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</si>
  <si>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</si>
  <si>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</si>
  <si>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</si>
  <si>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</si>
  <si>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</si>
  <si>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</si>
  <si>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</si>
  <si>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</si>
  <si>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</si>
  <si>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</si>
  <si>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</si>
  <si>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</si>
  <si>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</si>
  <si>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</si>
  <si>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</si>
  <si>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</si>
  <si>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</si>
  <si>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</si>
  <si>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</si>
  <si>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</si>
  <si>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</si>
  <si>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</si>
  <si>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</si>
  <si>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</si>
  <si>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</si>
  <si>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</si>
  <si>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</si>
  <si>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</si>
  <si>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</si>
  <si>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</si>
  <si>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</si>
  <si>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</si>
  <si>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</si>
  <si>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</si>
  <si>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</si>
  <si>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</si>
  <si>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</si>
  <si>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</si>
  <si>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</si>
  <si>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</si>
  <si>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</si>
  <si>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</si>
  <si>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</si>
  <si>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</si>
  <si>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</si>
  <si>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</si>
  <si>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</si>
  <si>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</si>
  <si>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</si>
  <si>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</si>
  <si>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</si>
  <si>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</si>
  <si>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</si>
  <si>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</si>
  <si>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</si>
  <si>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</si>
  <si>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</si>
  <si>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</si>
  <si>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</si>
  <si>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</si>
  <si>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</si>
  <si>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</si>
  <si>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</si>
  <si>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</si>
  <si>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</si>
  <si>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</si>
  <si>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</si>
  <si>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</si>
  <si>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</si>
  <si>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</si>
  <si>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</si>
  <si>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</si>
  <si>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</si>
  <si>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</si>
  <si>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</si>
  <si>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</si>
  <si>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</si>
  <si>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</si>
  <si>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</si>
  <si>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</si>
  <si>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</si>
  <si>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</si>
  <si>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</si>
  <si>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</si>
  <si>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</si>
  <si>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</si>
  <si>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</si>
  <si>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</si>
  <si>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</si>
  <si>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</si>
  <si>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</si>
  <si>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</si>
  <si>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</si>
  <si>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</si>
  <si>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</si>
  <si>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</si>
  <si>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</si>
  <si>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</si>
  <si>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</si>
  <si>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</si>
  <si>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</si>
  <si>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</si>
  <si>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</si>
  <si>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</si>
  <si>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</si>
  <si>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</si>
  <si>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</si>
  <si>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</si>
  <si>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</si>
  <si>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</si>
  <si>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</si>
  <si>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</si>
  <si>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</si>
  <si>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</si>
  <si>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</si>
  <si>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</si>
  <si>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</si>
  <si>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</si>
  <si>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</si>
  <si>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</si>
  <si>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</si>
  <si>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</si>
  <si>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</si>
  <si>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</si>
  <si>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</si>
  <si>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</si>
  <si>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</si>
  <si>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</si>
  <si>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</si>
  <si>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</si>
  <si>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</si>
  <si>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</si>
  <si>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</si>
  <si>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</si>
  <si>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</si>
  <si>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</si>
  <si>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</si>
  <si>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</si>
  <si>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</si>
  <si>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</si>
  <si>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</si>
  <si>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</si>
  <si>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</si>
  <si>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</si>
  <si>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</si>
  <si>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</si>
  <si>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</si>
  <si>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</si>
  <si>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</si>
  <si>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</si>
  <si>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</si>
  <si>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</si>
  <si>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</si>
  <si>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</si>
  <si>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</si>
  <si>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</si>
  <si>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</si>
  <si>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</si>
  <si>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</si>
  <si>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</si>
  <si>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</si>
  <si>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</si>
  <si>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</si>
  <si>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</si>
  <si>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</si>
  <si>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</si>
  <si>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</si>
  <si>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</si>
  <si>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</si>
  <si>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</si>
  <si>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</si>
  <si>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</si>
  <si>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</si>
  <si>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</si>
  <si>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</si>
  <si>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</si>
  <si>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</si>
  <si>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</si>
  <si>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</si>
  <si>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</si>
  <si>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</si>
  <si>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</si>
  <si>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</si>
  <si>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</si>
  <si>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</si>
  <si>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</si>
  <si>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</si>
  <si>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</si>
  <si>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</si>
  <si>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</si>
  <si>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</si>
  <si>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</si>
  <si>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</si>
  <si>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</si>
  <si>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</si>
  <si>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</si>
  <si>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</si>
  <si>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</si>
  <si>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</si>
  <si>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</si>
  <si>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</si>
  <si>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</si>
  <si>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</si>
  <si>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</si>
  <si>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</si>
  <si>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</si>
  <si>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</si>
  <si>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</si>
  <si>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</si>
  <si>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</si>
  <si>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</si>
  <si>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</si>
  <si>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</si>
  <si>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</si>
  <si>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</si>
  <si>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</si>
  <si>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</si>
  <si>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</si>
  <si>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</si>
  <si>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</si>
  <si>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</si>
  <si>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</si>
  <si>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</si>
  <si>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</si>
  <si>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</si>
  <si>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</si>
  <si>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</si>
  <si>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</si>
  <si>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</si>
  <si>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</si>
  <si>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</si>
  <si>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</si>
  <si>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</si>
  <si>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</si>
  <si>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</si>
  <si>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</si>
  <si>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</si>
  <si>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</si>
  <si>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</si>
  <si>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</si>
  <si>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</si>
  <si>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</si>
  <si>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</si>
  <si>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</si>
  <si>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</si>
  <si>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</si>
  <si>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</si>
  <si>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</si>
  <si>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</si>
  <si>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</si>
  <si>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</si>
  <si>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</si>
  <si>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</si>
  <si>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</si>
  <si>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</si>
  <si>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</si>
  <si>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</si>
  <si>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</si>
  <si>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</si>
  <si>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</si>
  <si>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</si>
  <si>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</si>
  <si>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</si>
  <si>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</si>
  <si>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</si>
  <si>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</si>
  <si>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</si>
  <si>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</si>
  <si>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</si>
  <si>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</si>
  <si>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</si>
  <si>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</si>
  <si>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</si>
  <si>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</si>
  <si>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</si>
  <si>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</si>
  <si>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</si>
  <si>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</si>
  <si>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</si>
  <si>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</si>
  <si>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</si>
  <si>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</si>
  <si>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</si>
  <si>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</si>
  <si>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</si>
  <si>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</si>
  <si>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</si>
  <si>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</si>
  <si>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</si>
  <si>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</si>
  <si>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</si>
  <si>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</si>
  <si>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</si>
  <si>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</si>
  <si>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</si>
  <si>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</si>
  <si>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</si>
  <si>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</si>
  <si>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</si>
  <si>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</si>
  <si>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</si>
  <si>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</si>
  <si>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</si>
  <si>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</si>
  <si>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</si>
  <si>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</si>
  <si>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</si>
  <si>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</si>
  <si>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</si>
  <si>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</si>
  <si>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</si>
  <si>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</si>
  <si>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</si>
  <si>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</si>
  <si>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</si>
  <si>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</si>
  <si>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</si>
  <si>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</si>
  <si>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</si>
  <si>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</si>
  <si>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</si>
  <si>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</si>
  <si>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</si>
  <si>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</si>
  <si>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</si>
  <si>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</si>
  <si>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</si>
  <si>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</si>
  <si>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</si>
  <si>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</si>
  <si>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</si>
  <si>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</si>
  <si>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</si>
  <si>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</si>
  <si>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</si>
  <si>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</si>
  <si>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</si>
  <si>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</si>
  <si>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</si>
  <si>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</si>
  <si>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</si>
  <si>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</si>
  <si>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</si>
  <si>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</si>
  <si>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</si>
  <si>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</si>
  <si>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</si>
  <si>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</si>
  <si>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</si>
  <si>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</si>
  <si>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</si>
  <si>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</si>
  <si>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</si>
  <si>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</si>
  <si>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</si>
  <si>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</si>
  <si>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</si>
  <si>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</si>
  <si>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</si>
  <si>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</si>
  <si>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</si>
  <si>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</si>
  <si>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</si>
  <si>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</si>
  <si>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</si>
  <si>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</si>
  <si>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</si>
  <si>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</si>
  <si>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</si>
  <si>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</si>
  <si>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</si>
  <si>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</si>
  <si>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</si>
  <si>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</si>
  <si>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</si>
  <si>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</si>
  <si>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</si>
  <si>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</si>
  <si>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</si>
  <si>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</si>
  <si>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</si>
  <si>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</si>
  <si>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</si>
  <si>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</si>
  <si>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</si>
  <si>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</si>
  <si>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</si>
  <si>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</si>
  <si>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</si>
  <si>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</si>
  <si>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</si>
  <si>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</si>
  <si>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</si>
  <si>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</si>
  <si>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</si>
  <si>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</si>
  <si>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</si>
  <si>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</si>
  <si>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</si>
  <si>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</si>
  <si>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</si>
  <si>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</si>
  <si>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</si>
  <si>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</si>
  <si>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</si>
  <si>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</si>
  <si>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</si>
  <si>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</si>
  <si>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</si>
  <si>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</si>
  <si>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</si>
  <si>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</si>
  <si>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</si>
  <si>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</si>
  <si>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</si>
  <si>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</si>
  <si>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</si>
  <si>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</si>
  <si>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</si>
  <si>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</si>
  <si>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</si>
  <si>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</si>
  <si>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</si>
  <si>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не пройден ФК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</si>
  <si>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</si>
  <si>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</si>
  <si>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</si>
  <si>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</si>
  <si>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</si>
  <si>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</si>
  <si>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</si>
  <si>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</si>
  <si>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</si>
  <si>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</si>
  <si>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</si>
  <si>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</si>
  <si>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</si>
  <si>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</si>
  <si>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</si>
  <si>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</si>
  <si>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</si>
  <si>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</si>
  <si>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</si>
  <si>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</si>
  <si>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</si>
  <si>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</si>
  <si>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</si>
  <si>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</si>
  <si>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</si>
  <si>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</si>
  <si>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</si>
  <si>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</si>
  <si>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</si>
  <si>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</si>
  <si>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</si>
  <si>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</si>
  <si>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</si>
  <si>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</si>
  <si>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</si>
  <si>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</si>
  <si>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</si>
  <si>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</si>
  <si>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</si>
  <si>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</si>
  <si>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</si>
  <si>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</si>
  <si>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</si>
  <si>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</si>
  <si>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</si>
  <si>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</si>
  <si>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</si>
  <si>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</si>
  <si>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</si>
  <si>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отгружен</t>
  </si>
  <si>
    <t>07,09,26</t>
  </si>
  <si>
    <t>перенос с 06,09 на 07,09</t>
  </si>
  <si>
    <t>TSO001117108</t>
  </si>
  <si>
    <t>TSO001117184</t>
  </si>
  <si>
    <t>КИ - 28 паллет + СЫРЫ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</si>
</sst>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85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40" borderId="0" xfId="0" applyFont="1" applyFill="1" applyAlignment="1">
      <alignment vertical="center"/>
    </xf>
    <xf numFmtId="166" fontId="45" fillId="46" borderId="0" xfId="0" applyNumberFormat="1" applyFont="1" applyFill="1" applyAlignment="1">
      <alignment horizontal="left" vertical="center"/>
    </xf>
    <xf numFmtId="166" fontId="45" fillId="42" borderId="0" xfId="0" applyNumberFormat="1" applyFont="1" applyFill="1" applyAlignment="1">
      <alignment horizontal="left" vertical="center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166" fontId="45" fillId="0" borderId="0" xfId="0" applyNumberFormat="1" applyFont="1" applyFill="1" applyAlignment="1">
      <alignment horizontal="left" vertical="center"/>
    </xf>
    <xf numFmtId="49" fontId="16" fillId="0" borderId="16" xfId="0" applyNumberFormat="1" applyFont="1" applyBorder="1" applyAlignment="1">
      <alignment horizontal="center" vertical="center" wrapText="1"/>
    </xf>
    <xf numFmtId="20" fontId="16" fillId="0" borderId="16" xfId="0" applyNumberFormat="1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29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0" borderId="24" xfId="0" applyFont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203"/>
  <sheetViews>
    <sheetView tabSelected="1" zoomScale="70" zoomScaleNormal="70" workbookViewId="0">
      <pane ySplit="2" topLeftCell="A7172" activePane="bottomLeft" state="frozen"/>
      <selection pane="bottomLeft" activeCell="H7190" sqref="H719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1021" width="9.140625" style="2"/>
  </cols>
  <sheetData>
    <row r="1" spans="1:18" ht="19.5" customHeight="1" thickBot="1" x14ac:dyDescent="0.3">
      <c r="A1" s="1055" t="s">
        <v>0</v>
      </c>
      <c r="B1" s="1055"/>
      <c r="C1" s="1055"/>
      <c r="D1" s="1055"/>
      <c r="E1" s="1055"/>
      <c r="F1" s="1055"/>
      <c r="G1" s="1055"/>
      <c r="H1" s="1055"/>
      <c r="I1" s="1055"/>
      <c r="J1" s="1055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56">
        <v>1</v>
      </c>
      <c r="B3" s="105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56"/>
      <c r="B4" s="105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52">
        <v>3</v>
      </c>
      <c r="B6" s="105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52"/>
      <c r="B7" s="105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52"/>
      <c r="B8" s="105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52">
        <v>5</v>
      </c>
      <c r="B10" s="105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52"/>
      <c r="B11" s="105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50">
        <v>8</v>
      </c>
      <c r="B14" s="1050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50"/>
      <c r="B15" s="1050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52">
        <v>11</v>
      </c>
      <c r="B18" s="105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52"/>
      <c r="B19" s="105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52"/>
      <c r="B20" s="105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52"/>
      <c r="B21" s="105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52">
        <v>13</v>
      </c>
      <c r="B23" s="105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52"/>
      <c r="B24" s="105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50">
        <v>14</v>
      </c>
      <c r="B25" s="1050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50"/>
      <c r="B26" s="1050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52">
        <v>15</v>
      </c>
      <c r="B27" s="105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52"/>
      <c r="B28" s="105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52"/>
      <c r="B29" s="105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52"/>
      <c r="B30" s="105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50">
        <v>16</v>
      </c>
      <c r="B31" s="1050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50"/>
      <c r="B32" s="1050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50"/>
      <c r="B33" s="1050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50"/>
      <c r="B34" s="1050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52">
        <v>17</v>
      </c>
      <c r="B35" s="105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52"/>
      <c r="B36" s="105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52">
        <v>21</v>
      </c>
      <c r="B40" s="105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52"/>
      <c r="B41" s="105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52">
        <v>23</v>
      </c>
      <c r="B43" s="105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52"/>
      <c r="B44" s="105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52"/>
      <c r="B45" s="105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50">
        <v>24</v>
      </c>
      <c r="B46" s="1050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50"/>
      <c r="B47" s="1050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52">
        <v>25</v>
      </c>
      <c r="B48" s="105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52"/>
      <c r="B49" s="105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52"/>
      <c r="B50" s="105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50">
        <v>26</v>
      </c>
      <c r="B51" s="1050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50"/>
      <c r="B52" s="1050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52">
        <v>29</v>
      </c>
      <c r="B55" s="105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52"/>
      <c r="B56" s="105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50">
        <v>32</v>
      </c>
      <c r="B59" s="1050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50"/>
      <c r="B60" s="1050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50">
        <v>34</v>
      </c>
      <c r="B62" s="1050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50"/>
      <c r="B63" s="1050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50"/>
      <c r="B64" s="1050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50"/>
      <c r="B65" s="1050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50"/>
      <c r="B66" s="1050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52">
        <v>35</v>
      </c>
      <c r="B67" s="105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52"/>
      <c r="B68" s="105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37">
        <v>40</v>
      </c>
      <c r="B73" s="1050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37"/>
      <c r="B74" s="1050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36">
        <v>41</v>
      </c>
      <c r="B75" s="105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36"/>
      <c r="B76" s="105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36"/>
      <c r="B77" s="105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37">
        <v>42</v>
      </c>
      <c r="B78" s="1050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37"/>
      <c r="B79" s="1050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36">
        <v>49</v>
      </c>
      <c r="B86" s="105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36"/>
      <c r="B87" s="105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36"/>
      <c r="B88" s="105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37">
        <v>50</v>
      </c>
      <c r="B89" s="1050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37"/>
      <c r="B90" s="1050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36">
        <v>51</v>
      </c>
      <c r="B91" s="105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36"/>
      <c r="B92" s="105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36">
        <v>53</v>
      </c>
      <c r="B94" s="105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36"/>
      <c r="B95" s="105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37">
        <v>54</v>
      </c>
      <c r="B96" s="1050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37"/>
      <c r="B97" s="1050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37"/>
      <c r="B98" s="1050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37">
        <v>58</v>
      </c>
      <c r="B102" s="1050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37"/>
      <c r="B103" s="1050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37">
        <v>60</v>
      </c>
      <c r="B105" s="1050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37"/>
      <c r="B106" s="1050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37"/>
      <c r="B107" s="1050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36">
        <v>61</v>
      </c>
      <c r="B108" s="105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36"/>
      <c r="B109" s="105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36"/>
      <c r="B110" s="105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37">
        <v>64</v>
      </c>
      <c r="B113" s="1050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37"/>
      <c r="B114" s="1050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37">
        <v>66</v>
      </c>
      <c r="B116" s="1050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37"/>
      <c r="B117" s="1050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36">
        <v>67</v>
      </c>
      <c r="B118" s="105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36"/>
      <c r="B119" s="105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36"/>
      <c r="B120" s="105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37">
        <v>68</v>
      </c>
      <c r="B121" s="1050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37"/>
      <c r="B122" s="1050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36">
        <v>69</v>
      </c>
      <c r="B123" s="105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36"/>
      <c r="B124" s="105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37">
        <v>72</v>
      </c>
      <c r="B127" s="1050" t="s">
        <v>65</v>
      </c>
      <c r="C127" s="119" t="s">
        <v>26</v>
      </c>
      <c r="D127" s="120">
        <v>3.3</v>
      </c>
      <c r="E127" s="121"/>
      <c r="F127" s="122" t="s">
        <v>30</v>
      </c>
      <c r="G127" s="1049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37"/>
      <c r="B128" s="1050"/>
      <c r="C128" s="103" t="s">
        <v>26</v>
      </c>
      <c r="D128" s="88">
        <v>12.9</v>
      </c>
      <c r="E128" s="106"/>
      <c r="F128" s="107" t="s">
        <v>16</v>
      </c>
      <c r="G128" s="1049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37">
        <v>76</v>
      </c>
      <c r="B132" s="105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37"/>
      <c r="B133" s="105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37"/>
      <c r="B134" s="105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37"/>
      <c r="B135" s="105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37">
        <v>78</v>
      </c>
      <c r="B137" s="105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37"/>
      <c r="B138" s="105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5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5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3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3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3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3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3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3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3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3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3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3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3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3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3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3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3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3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3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3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3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3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3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3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54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3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54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3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3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3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3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3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3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3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3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3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3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3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3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3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3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3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3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3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3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3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3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3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3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3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3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3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3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3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3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3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3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3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3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3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3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3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3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3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3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3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3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3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49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3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49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3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3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3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3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3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3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3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3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3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3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3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3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3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3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3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3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3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3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3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3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3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3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3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3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3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3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3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3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3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3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3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3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59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3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59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3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3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3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49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3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49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3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3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3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3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3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3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3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3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3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3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3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3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3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3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3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3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3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3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3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3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3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3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3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3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3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3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3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3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3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54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3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54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3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3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3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3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3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3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3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3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3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3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3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3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3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3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3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3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3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3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3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3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3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3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3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3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3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3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3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3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3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3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3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3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3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3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4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3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4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3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3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3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3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3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3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3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3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3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3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3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3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3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3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3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3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3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3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3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3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3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3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3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3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3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3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3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3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3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3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3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3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3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3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4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3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4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3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3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3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3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3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3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57" t="s">
        <v>133</v>
      </c>
      <c r="J420" s="1057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3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3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3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3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3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3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3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3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3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3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3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3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3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3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3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3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3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3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3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3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3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3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3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3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3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41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3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41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3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3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3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3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3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3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3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3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4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4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4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3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3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3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3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3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3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3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3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3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3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3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3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3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3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3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3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3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3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3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3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3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3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4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3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4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3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3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3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61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3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61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3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61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3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61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3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61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3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3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3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3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3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3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3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3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3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3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3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3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3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3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3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3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3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3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3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3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3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3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3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3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3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3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3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3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3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3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3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3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3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3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3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3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3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3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3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3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41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3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41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3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3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3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3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3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3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3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3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3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3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3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3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3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3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3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3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3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3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3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3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3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3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3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3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3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3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3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3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3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3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3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3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3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4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3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4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3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3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3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3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3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3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3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3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3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3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3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3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3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3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3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3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3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3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3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3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3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3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3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3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3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3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3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3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3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3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3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3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3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3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3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3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3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3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3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3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3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3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3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3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4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3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4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3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3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60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3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60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3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3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3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3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3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3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3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3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3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3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3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3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3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3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3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3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3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3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3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3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3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3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3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3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3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3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3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3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3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4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3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4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4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4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4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3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3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3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4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4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3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3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3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4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4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3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3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3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3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3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3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3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3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3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3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3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3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3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3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3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3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3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3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3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3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3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3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62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3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62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3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3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3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3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3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3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3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3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3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3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3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3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3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3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3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3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4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4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4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4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4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4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3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4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3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4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3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3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3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3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3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3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4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4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4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4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4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3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3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3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3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3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4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4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3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3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3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3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3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3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3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3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3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3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3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3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3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3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3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3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3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3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3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3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3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3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3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3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3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41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3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41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3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3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3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3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3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3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3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3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3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3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3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3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3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3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3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3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3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3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3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3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3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3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3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3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3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3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3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3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3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3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3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3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3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3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3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3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3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3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3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3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3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3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3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3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3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3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3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3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3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3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3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3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3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3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3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3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3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3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3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3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3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3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3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3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3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3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3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3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3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3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3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3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3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3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3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3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3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3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3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3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3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3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3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3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3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3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3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3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3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3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3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3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3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41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3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41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3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3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3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3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3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3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3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3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3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3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3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3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3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3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3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3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3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3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3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3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3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4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4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3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3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3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3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3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3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3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3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3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3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3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3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3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3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3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3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3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3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3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3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3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3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3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3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4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3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4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3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3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3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3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3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3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3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3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3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3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3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3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3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3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3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4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4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3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3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3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3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3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3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3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3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3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3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3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3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3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3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3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3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3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3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3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3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3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3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3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3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3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4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3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4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3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3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3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3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3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3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3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3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3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3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3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3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3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3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3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3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3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3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3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3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3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3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3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3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3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3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3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3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3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3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3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3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3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3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3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3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3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3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41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3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41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3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3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3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3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3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3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3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3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3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3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3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3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3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3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3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3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3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3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3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3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3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3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3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3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3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3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41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3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41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3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3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3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3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3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3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3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3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3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3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3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3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3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3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3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3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3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3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3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3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3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3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3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3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3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3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3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3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3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3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3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41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3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41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3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3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3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3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3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3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3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3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3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3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3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3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3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3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3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3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3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3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3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3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3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3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3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3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3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3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41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3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41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3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3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3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3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3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3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3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3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3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3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3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3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3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3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3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3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3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3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3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3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3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3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3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3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3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3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3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3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3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3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3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3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3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3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3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3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41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3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41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3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3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3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3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3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3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3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3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3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3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3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3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3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3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3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3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3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3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3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3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3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3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3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3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3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3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3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3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3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4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3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4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3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3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3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3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3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3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3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3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3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3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3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3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3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3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3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3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3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3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3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3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3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3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3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3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3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3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3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42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3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42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3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3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3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3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3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3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3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3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3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3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3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3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3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3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3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3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3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3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3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3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3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3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3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3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3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3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3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4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3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4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3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3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3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3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3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3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3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3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3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3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3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3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3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3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3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4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3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4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3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4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3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4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3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3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3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3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3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3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3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3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3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4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3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4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3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3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3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3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3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3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3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3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3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3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3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3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3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3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3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3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3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3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3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3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3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3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3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3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3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4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3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4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3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3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3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3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3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3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3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3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3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3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3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3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3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3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3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3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3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3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3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3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41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3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41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3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3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3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3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3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3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3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3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3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3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3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3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3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3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3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3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3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3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3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3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3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4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3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4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3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3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3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3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3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3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3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3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3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3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3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3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3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3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3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3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3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3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3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3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3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3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3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3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3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3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3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3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3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3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3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3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3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3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3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3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3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3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3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3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3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3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3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3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3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3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3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41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3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41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3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3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3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3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3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3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3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3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3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3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3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3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3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3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3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3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3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3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3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3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3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3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3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3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3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3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4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3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4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3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3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3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3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3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3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3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3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3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3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3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3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41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3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41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3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3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3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3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3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3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3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3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3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3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3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3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3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3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3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3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3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3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3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3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3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3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3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4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3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4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3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3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3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3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3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3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3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3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3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3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3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3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3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3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3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3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3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3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3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3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3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3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3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3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4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3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4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3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4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3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3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3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3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3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3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3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3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3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3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3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3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41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3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41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3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3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3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3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3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3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3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3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3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3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3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3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3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37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3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37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3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3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3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3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3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3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3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3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37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3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3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3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3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3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4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3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4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3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3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3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3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3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3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3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3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3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3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3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3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3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3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3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3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3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3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3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3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4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3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4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3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3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3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3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3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3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3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3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3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3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3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3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3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3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3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3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3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3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3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3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3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3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4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3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4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3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3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3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3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3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3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3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3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3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3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3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3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3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3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3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3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3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3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3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3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41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3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41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3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3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3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3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3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3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3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3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3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3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3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3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3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3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3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3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3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3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3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3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3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3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37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3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3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3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3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37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3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3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3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3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3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3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3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3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3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3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3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3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4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4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4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3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3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3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3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3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4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3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4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3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3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3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3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3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3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3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3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3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3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4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3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4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3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3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3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3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3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3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3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3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3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3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3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3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3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3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3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3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3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41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3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41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3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3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3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3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3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3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3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3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3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3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3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3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3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3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3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3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3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3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3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3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3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3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37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3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3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3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3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3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3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3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3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3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3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3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3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3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3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3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3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3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3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3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3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3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3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3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3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3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37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3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3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3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3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3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3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3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3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3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3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3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3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6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64" t="s">
        <v>467</v>
      </c>
      <c r="H2160" s="414" t="s">
        <v>515</v>
      </c>
      <c r="I2160" s="415" t="s">
        <v>516</v>
      </c>
      <c r="J2160" s="1065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6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64"/>
      <c r="H2161" s="421" t="s">
        <v>515</v>
      </c>
      <c r="I2161" s="422" t="s">
        <v>516</v>
      </c>
      <c r="J2161" s="1065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6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64"/>
      <c r="H2162" s="429" t="s">
        <v>515</v>
      </c>
      <c r="I2162" s="430" t="s">
        <v>516</v>
      </c>
      <c r="J2162" s="1065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6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64" t="s">
        <v>467</v>
      </c>
      <c r="H2165" s="414" t="s">
        <v>516</v>
      </c>
      <c r="I2165" s="415" t="s">
        <v>516</v>
      </c>
      <c r="J2165" s="1065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6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64"/>
      <c r="H2166" s="429" t="s">
        <v>516</v>
      </c>
      <c r="I2166" s="430" t="s">
        <v>516</v>
      </c>
      <c r="J2166" s="1065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3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3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3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3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3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3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3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3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3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3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3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3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4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3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4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3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3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3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3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41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3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41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3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6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3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6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3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59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3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59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3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3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3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3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3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3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3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3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3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3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3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3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3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3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3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3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3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3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3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3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3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3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3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3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3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3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3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3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3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3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3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3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3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3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3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3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37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3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3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37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3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3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3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3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3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3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3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3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3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3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3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3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3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3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3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3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3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3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3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3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3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3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3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3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37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3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4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4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3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3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3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3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3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3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3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3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3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3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3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3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3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3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3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3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3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3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3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3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44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4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4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3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3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3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3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3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3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3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3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3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3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3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3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3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3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3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3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3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3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3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3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4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4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4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3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3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4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4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3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3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3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3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3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3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3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3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3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3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3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3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3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3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3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3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3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3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3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3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3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3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4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4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3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3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3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3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3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3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3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3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3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3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3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3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3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3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3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3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3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3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4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4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3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3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3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3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3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3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3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3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3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3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3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3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3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3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3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3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3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43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4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4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3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3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3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3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3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3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3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3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3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3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37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41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3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41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3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41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4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4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4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4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3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3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3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3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4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4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3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41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3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41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3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3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3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3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3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3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3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3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3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3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3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3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6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6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6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68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3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3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3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4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3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4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3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3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4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4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37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3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3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3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3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3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3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4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4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3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3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3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3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4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6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4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6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3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3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3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41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3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41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3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3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3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3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4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4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37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3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3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3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3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3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3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3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3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3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3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3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3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3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3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3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3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41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3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41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3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3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3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3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4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4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4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3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3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3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3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3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3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3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3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3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4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4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4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4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4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4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3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3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7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7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3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3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3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3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3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3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3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3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3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3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3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3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3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3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43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4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4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4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4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4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3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3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3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3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3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3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4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4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3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3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3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3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3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3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3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3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3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3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3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3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3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3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41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3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41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3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41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4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4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4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4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3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3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3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3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3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3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3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3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3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3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3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3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3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3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3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3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3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3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4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4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4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4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4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3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3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3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3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3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3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3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3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4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4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3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3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3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3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4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4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3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3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3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3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3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4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7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4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7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3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3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3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4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3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4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3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3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3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3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3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4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4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3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3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3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3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3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3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3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3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3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3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3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3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44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4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4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4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4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3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3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3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41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3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41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3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3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3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3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3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3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4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4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3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3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3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3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3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3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3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4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4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4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3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4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3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4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4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4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4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4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3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3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3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4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3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4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3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3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3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3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3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4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4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3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3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3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3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4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4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3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3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44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4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4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4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4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3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3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3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3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3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3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3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4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4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4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4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3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3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3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3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3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3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3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4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4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4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4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4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4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4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4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4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3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3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3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3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3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3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3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3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3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3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4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41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4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41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4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41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3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3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3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3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3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3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3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3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3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3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3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4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4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3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3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3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3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3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3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3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41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3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41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3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41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3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41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4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4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4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4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4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3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3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3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41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3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41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3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41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3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3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4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4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4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3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3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3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3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3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3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3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3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3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3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3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3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3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3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3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4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3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41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4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4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3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3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3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3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3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3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3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3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4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4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4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4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4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4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4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4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3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3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3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3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3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3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3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3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3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3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3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3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4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4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3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3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3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3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3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3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3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3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3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3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3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3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3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3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3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3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3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3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3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3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4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4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4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3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3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3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3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3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4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3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4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3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4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3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4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3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3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3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3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3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3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3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3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3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3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3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3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3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3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3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3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3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3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4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4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4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3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3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3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3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3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3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3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3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3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3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3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3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4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4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3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3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3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3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3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3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4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6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4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6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4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6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4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6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4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6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4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6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3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3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3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3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3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3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3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3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4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4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4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4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37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3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3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3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3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3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3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3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3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3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3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3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4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4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4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3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3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3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3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4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4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4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4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4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4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4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4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3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3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3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3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3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3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4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4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4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3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3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3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3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3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3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3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3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3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3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3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3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3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4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4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3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3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3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3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4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4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4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4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4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4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4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4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4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3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3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43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4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4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3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3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3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4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4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3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3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4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4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3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3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4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4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4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4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4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3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3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3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3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3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3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4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4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4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4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4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4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4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4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3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3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3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3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3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3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4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4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4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4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3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3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3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3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3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3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3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3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3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3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4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3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4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43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4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4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4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4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4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3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3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3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3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3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3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3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4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3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4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4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4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4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4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3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3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3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3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3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3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3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3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4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4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3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3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3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3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3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3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3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3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3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3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3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4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6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4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6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4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6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3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3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3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3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3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3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3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3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3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3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3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3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3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44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4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4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4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4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3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3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3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41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3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41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3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3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4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4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3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3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3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3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3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3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3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3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3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3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44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4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4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4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4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4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4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3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3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3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41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3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41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3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3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3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3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3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3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4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4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3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3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3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3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3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3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3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3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41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3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41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00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0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1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1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00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0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1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1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1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1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1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1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97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7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00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7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00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0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7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74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00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1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1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1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97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9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9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9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7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00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7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97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7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00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1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1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1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1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1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97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24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7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75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00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7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97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24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7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75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00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1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1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7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00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1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97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9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9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7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97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9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9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00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1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1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1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1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1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97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7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00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0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7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74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00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0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7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74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00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7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97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7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00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1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00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7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97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7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00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1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7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97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9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7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97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9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9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9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9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9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00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7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97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24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7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75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00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7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97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7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00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1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1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7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00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0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7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74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97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9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7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00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7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97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24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7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75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00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1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1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1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1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1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9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7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97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7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97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24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7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75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00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1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7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97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9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7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00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1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7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97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9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9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9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97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7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00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1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7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00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1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1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1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97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9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97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9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9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9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9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9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00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7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00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0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1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1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7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74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0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1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7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9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9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7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0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1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1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0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0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7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74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97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9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9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7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00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7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00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7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97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7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97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9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9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9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9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00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7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00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1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7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97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7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00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7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97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7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00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0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7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74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97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9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00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1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7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97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7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00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7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97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7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00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7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00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1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98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9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9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9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9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9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00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7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00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7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97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9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9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7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00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1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1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1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1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7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00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7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97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9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9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7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97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9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9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9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9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9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00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7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00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0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7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74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97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9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7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00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1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1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7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97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9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7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00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0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1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1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7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74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97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24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7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75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00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7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97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7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00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1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1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1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1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1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97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7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00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7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97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9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7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00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1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1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7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97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7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00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0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7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74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00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7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97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9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7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97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7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00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1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97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9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97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9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9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9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9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00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7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00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1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97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24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7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75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00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1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1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1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1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1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7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97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9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9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9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00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1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7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00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7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97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7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00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1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7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00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7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30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7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7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00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1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1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1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1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7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97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7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00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1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7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97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7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00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7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00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7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97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9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9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00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1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0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97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9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00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0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0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03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00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1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97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24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9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23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00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1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1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1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1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97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9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00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0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00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1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0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97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9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00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1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1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97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24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9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22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9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23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97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9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97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9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9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00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1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0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97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9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9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9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9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00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0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97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9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9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00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1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1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0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97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9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00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1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1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0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00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0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97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9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9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00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0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97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9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9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9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9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00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0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97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9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9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00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0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97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9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00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0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00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1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0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00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0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97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9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97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9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9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00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1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1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1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0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00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1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97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9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97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9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97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9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00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1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0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97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9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9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9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00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1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0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00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0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0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03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97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9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9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97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9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9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00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1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1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0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00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0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97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24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9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22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9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22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9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23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00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1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0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00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0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97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9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9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00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0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97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9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9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97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24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9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23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00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0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97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9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9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97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9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00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0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97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9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00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0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97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9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9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9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9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00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1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0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00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0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1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1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1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1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0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03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97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9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00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0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00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0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97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9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9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00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0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97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24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9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23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97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9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97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9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9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9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9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9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00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1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97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9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9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00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0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00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1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0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97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9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9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00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1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0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97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9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9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97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9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00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0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9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9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9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0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1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1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0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9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2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9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23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0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1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0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97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9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00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1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1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1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97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9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00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0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97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9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9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9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00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0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9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9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9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9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0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0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9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9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00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1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1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0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00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0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00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1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1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0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97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9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97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9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00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1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0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97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9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9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97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9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9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97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9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9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00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0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00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1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1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0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97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24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9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22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00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0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97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9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00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0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97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9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00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0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00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1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0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97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9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00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0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97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9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9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00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1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0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97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9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00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0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00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1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97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9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9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00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1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0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00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0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00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0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97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9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00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0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97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9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00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1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0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97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9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9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97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9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9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00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0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97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9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9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00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0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1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1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0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03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97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9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9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97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9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97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9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00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1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0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00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0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97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9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00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1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1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0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00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0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00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0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0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03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97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9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97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9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97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9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00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1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1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0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97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9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00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0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00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0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00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1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0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97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9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9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00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0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97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9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9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00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0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97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9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00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0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97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9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9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16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1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97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9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00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0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97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9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9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9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00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0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97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9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00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0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00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0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0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03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00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1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0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97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9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9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00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1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0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97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9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97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9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00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1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97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9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00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0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97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24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9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22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9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22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9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23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97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9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9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97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24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9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23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00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1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00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1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0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97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9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9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00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0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0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03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00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0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97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9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97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9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9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9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00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0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1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1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97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9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97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9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00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0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97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9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00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0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0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03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00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1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0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97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9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9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97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24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9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23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00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0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00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1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00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0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97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9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9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9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00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0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97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9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00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0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97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24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9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22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9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23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00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0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00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0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0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03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97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9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00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1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1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0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97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24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9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23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00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0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97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9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00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0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97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9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00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0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0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03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97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9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9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00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0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00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0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0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03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97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9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9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9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00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0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97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9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9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00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1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1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0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97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9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00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0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97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9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00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0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0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03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97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9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97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9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9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00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0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1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1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97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9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97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9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9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00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1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0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00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0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00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0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97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9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9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9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00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0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0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03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00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0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97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24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9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23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00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1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1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97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9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00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0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97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9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00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0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0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03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97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9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00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0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97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24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9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23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00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0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97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9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9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00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0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97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9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9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97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24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9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23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00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1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97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9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9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00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0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00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1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0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97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9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9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97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24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9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23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97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24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9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23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00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1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00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1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0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97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9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9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00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0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97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9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97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24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9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23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97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9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9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00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0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97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24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9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23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00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0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97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9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9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00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0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1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1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1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1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97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24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9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23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16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1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1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1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16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1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00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1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97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9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00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0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1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78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1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1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1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97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9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00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1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0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97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9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00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0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00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0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97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24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9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22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9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23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00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1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97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24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9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23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97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9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9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9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97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9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9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00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1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0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00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0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1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1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1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1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1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1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97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9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00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0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0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03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00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0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97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9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9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00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0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0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03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97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9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00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1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1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0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97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9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00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0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0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03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97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9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9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97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9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00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1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1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97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9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97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9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9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9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97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9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97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9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00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1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1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0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97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9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9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00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0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97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9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00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0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00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0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1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1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97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9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9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9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00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0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0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03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00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0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00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0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0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03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00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1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0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97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9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00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0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97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24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9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23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97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9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9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00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1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1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0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97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9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9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00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1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00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0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0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03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97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9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00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1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1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97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9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00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1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0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97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9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00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0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97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9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00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0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00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0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97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9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9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00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0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97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9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97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24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9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22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00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1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1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97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9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00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1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1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0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97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9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9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9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9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0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0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97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9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9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00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1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1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0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97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9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00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0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00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1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00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0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1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1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1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1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1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1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1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1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97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9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97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9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9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9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97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9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9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9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00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0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97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9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9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00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1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0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00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1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0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97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9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97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24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9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23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97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24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9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22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9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22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9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22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00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0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97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9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00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0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00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0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97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9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97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9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9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9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16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1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97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9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16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1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1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1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97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9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00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0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0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03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97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9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00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0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1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1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97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9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00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0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97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9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00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0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97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9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00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0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0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03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00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0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97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9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00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0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97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9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00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1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0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97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9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97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9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97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9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9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00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0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00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0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97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9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9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97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9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9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00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1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0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97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9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9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00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1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97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24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9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23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00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1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0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00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0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97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9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00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0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00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0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0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03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00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0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97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9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00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0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97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24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9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23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97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9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9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9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9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00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16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0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00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16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97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24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9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23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97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24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9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22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9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22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9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22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9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23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00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16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0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97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9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9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9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9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0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0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0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03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97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9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0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16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0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00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0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00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0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97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9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9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00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0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97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9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00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16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00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16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16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0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97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9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00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16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0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97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9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00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0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97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24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9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23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97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9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00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0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00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0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00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16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16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0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00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0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97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9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00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0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97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2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9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23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00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0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28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29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33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34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35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97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9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33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34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8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35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8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33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35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97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9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30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9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3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7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11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80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38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39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30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3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97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9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97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9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9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9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9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97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9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97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13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9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15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00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0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00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0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00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16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0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97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9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97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99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97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98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99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00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16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0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97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98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98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00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0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97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98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99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97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98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98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99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97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998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99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0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0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97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24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99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23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97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98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30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31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11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11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12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07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09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0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0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0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16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07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09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10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12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07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08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08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09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10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11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12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07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09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10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12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07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08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09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10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12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07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08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09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00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16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16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16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97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98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98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99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10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12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10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04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11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05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12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06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97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22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99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22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10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0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12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1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07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09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00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0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97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99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00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16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30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32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10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12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10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12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10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11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12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97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98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99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00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16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0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97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98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99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97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99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10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11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12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07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08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08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09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10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11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11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97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98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97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99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10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11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11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12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07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08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08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10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12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07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08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08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10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02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12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03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97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24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98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23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00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0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97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98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98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07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08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08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08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00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16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00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16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16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0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97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98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98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99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97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98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98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98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99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00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16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16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16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16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16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0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07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08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08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09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00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16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0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07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08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09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07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08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08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08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00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16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0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08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08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08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08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09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10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12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07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09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10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11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11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12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10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04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11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05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12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06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97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99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00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01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07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08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09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10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11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12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07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22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09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22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00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02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01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03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00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01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07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09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00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01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97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99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00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16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01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07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08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09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10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11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12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97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98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98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98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00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16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16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01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26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27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97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98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98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98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99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00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16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01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00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01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07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09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00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16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16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01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07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24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08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22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08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22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09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23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00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01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00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01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07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09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10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04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11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05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11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25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11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25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12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06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07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22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08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22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09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23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00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01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00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16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01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07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09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00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16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16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16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01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07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09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00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16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16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16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01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97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98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98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98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00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16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16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01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07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09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00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01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97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998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99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00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16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16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01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07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08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09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10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02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11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19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11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19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11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19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12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03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07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09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00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01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00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16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01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07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24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09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23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07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08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09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00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01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997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998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99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997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998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99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00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01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07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09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00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01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00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16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16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16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01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07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08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09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00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16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16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01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07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09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02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00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01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997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998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998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999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07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13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08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14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08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14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09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15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00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02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01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03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997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2443</v>
      </c>
      <c r="R7069" s="943"/>
    </row>
    <row r="7070" spans="1:18" ht="19.5" hidden="1" thickBot="1" x14ac:dyDescent="0.3">
      <c r="A7070" s="998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998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999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997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999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1000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01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1007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1009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1000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20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01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21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997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999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1000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01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997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999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07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09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00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01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997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998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998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998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998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999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4"/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x14ac:dyDescent="0.25">
      <c r="A7104" s="1007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63"/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thickBot="1" x14ac:dyDescent="0.3">
      <c r="A7105" s="1009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48"/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x14ac:dyDescent="0.25">
      <c r="A7106" s="1010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79"/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x14ac:dyDescent="0.25">
      <c r="A7107" s="1011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91"/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x14ac:dyDescent="0.25">
      <c r="A7108" s="1011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976"/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thickBot="1" x14ac:dyDescent="0.3">
      <c r="A7109" s="1012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87"/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x14ac:dyDescent="0.25">
      <c r="A7110" s="1007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63"/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thickBot="1" x14ac:dyDescent="0.3">
      <c r="A7111" s="1009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48"/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x14ac:dyDescent="0.25">
      <c r="A7112" s="1000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79"/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x14ac:dyDescent="0.25">
      <c r="A7113" s="1016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91"/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thickBot="1" x14ac:dyDescent="0.3">
      <c r="A7114" s="1001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9"/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x14ac:dyDescent="0.25">
      <c r="A7115" s="997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24" t="s">
        <v>2386</v>
      </c>
      <c r="H7115" s="535" t="s">
        <v>2329</v>
      </c>
      <c r="I7115" s="537" t="s">
        <v>2347</v>
      </c>
      <c r="J7115" s="538"/>
      <c r="K7115" s="531"/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2440</v>
      </c>
      <c r="R7115" s="943"/>
    </row>
    <row r="7116" spans="1:18" x14ac:dyDescent="0.25">
      <c r="A7116" s="998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22"/>
      <c r="H7116" s="567" t="s">
        <v>2329</v>
      </c>
      <c r="I7116" s="569" t="s">
        <v>2347</v>
      </c>
      <c r="J7116" s="570"/>
      <c r="K7116" s="563"/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2441</v>
      </c>
      <c r="R7116" s="943"/>
    </row>
    <row r="7117" spans="1:18" x14ac:dyDescent="0.25">
      <c r="A7117" s="998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22"/>
      <c r="H7117" s="567" t="s">
        <v>2329</v>
      </c>
      <c r="I7117" s="569" t="s">
        <v>2347</v>
      </c>
      <c r="J7117" s="570"/>
      <c r="K7117" s="563"/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2442</v>
      </c>
      <c r="R7117" s="943"/>
    </row>
    <row r="7118" spans="1:18" ht="19.5" thickBot="1" x14ac:dyDescent="0.3">
      <c r="A7118" s="999"/>
      <c r="B7118" s="832" t="s">
        <v>2329</v>
      </c>
      <c r="C7118" s="827" t="s">
        <v>23</v>
      </c>
      <c r="D7118" s="828">
        <v>0.95399999999999996</v>
      </c>
      <c r="E7118" s="828"/>
      <c r="F7118" s="829" t="s">
        <v>16</v>
      </c>
      <c r="G7118" s="1023"/>
      <c r="H7118" s="829" t="s">
        <v>2329</v>
      </c>
      <c r="I7118" s="829"/>
      <c r="J7118" s="831"/>
      <c r="K7118" s="832"/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>
        <v>6303275</v>
      </c>
      <c r="Q7118" s="847">
        <v>961</v>
      </c>
      <c r="R7118" s="2" t="s">
        <v>2472</v>
      </c>
    </row>
    <row r="7119" spans="1:18" ht="19.5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/>
      <c r="F7119" s="518" t="s">
        <v>16</v>
      </c>
      <c r="G7119" s="519" t="s">
        <v>2299</v>
      </c>
      <c r="H7119" s="518" t="s">
        <v>2329</v>
      </c>
      <c r="I7119" s="520"/>
      <c r="J7119" s="521"/>
      <c r="K7119" s="514"/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>
        <v>6303198</v>
      </c>
      <c r="Q7119" s="979">
        <v>5004</v>
      </c>
      <c r="R7119" s="977" t="s">
        <v>2422</v>
      </c>
    </row>
    <row r="7120" spans="1:18" ht="56.25" x14ac:dyDescent="0.25">
      <c r="A7120" s="997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1"/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x14ac:dyDescent="0.25">
      <c r="A7121" s="998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3"/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x14ac:dyDescent="0.25">
      <c r="A7122" s="998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3"/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thickBot="1" x14ac:dyDescent="0.3">
      <c r="A7123" s="998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/>
      <c r="H7123" s="839" t="s">
        <v>2329</v>
      </c>
      <c r="I7123" s="839" t="s">
        <v>2329</v>
      </c>
      <c r="J7123" s="840"/>
      <c r="K7123" s="836"/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4"/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4"/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3"/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x14ac:dyDescent="0.25">
      <c r="A7127" s="997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24" t="s">
        <v>1634</v>
      </c>
      <c r="H7127" s="535" t="s">
        <v>2344</v>
      </c>
      <c r="I7127" s="537" t="s">
        <v>2347</v>
      </c>
      <c r="J7127" s="538"/>
      <c r="K7127" s="531"/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2438</v>
      </c>
    </row>
    <row r="7128" spans="1:18" ht="19.5" thickBot="1" x14ac:dyDescent="0.3">
      <c r="A7128" s="999"/>
      <c r="B7128" s="877" t="s">
        <v>2347</v>
      </c>
      <c r="C7128" s="786" t="s">
        <v>23</v>
      </c>
      <c r="D7128" s="787">
        <v>2.5</v>
      </c>
      <c r="E7128" s="787"/>
      <c r="F7128" s="788" t="s">
        <v>16</v>
      </c>
      <c r="G7128" s="1023"/>
      <c r="H7128" s="873" t="s">
        <v>2347</v>
      </c>
      <c r="I7128" s="788"/>
      <c r="J7128" s="790"/>
      <c r="K7128" s="877"/>
      <c r="L7128" s="788" t="s">
        <v>28</v>
      </c>
      <c r="M7128" s="788">
        <v>2505</v>
      </c>
      <c r="N7128" s="784">
        <v>0.45833333333333331</v>
      </c>
      <c r="O7128" s="897" t="s">
        <v>2423</v>
      </c>
      <c r="Q7128" s="847">
        <v>2520</v>
      </c>
      <c r="R7128" s="833" t="s">
        <v>2472</v>
      </c>
    </row>
    <row r="7129" spans="1:18" x14ac:dyDescent="0.25">
      <c r="A7129" s="1000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02" t="s">
        <v>1634</v>
      </c>
      <c r="H7129" s="483" t="s">
        <v>2344</v>
      </c>
      <c r="I7129" s="484" t="s">
        <v>2347</v>
      </c>
      <c r="J7129" s="485"/>
      <c r="K7129" s="479"/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2447</v>
      </c>
    </row>
    <row r="7130" spans="1:18" ht="19.5" thickBot="1" x14ac:dyDescent="0.3">
      <c r="A7130" s="1001"/>
      <c r="B7130" s="841" t="s">
        <v>2405</v>
      </c>
      <c r="C7130" s="980" t="s">
        <v>47</v>
      </c>
      <c r="D7130" s="981">
        <v>3.8</v>
      </c>
      <c r="E7130" s="981">
        <v>3.8260000000000001</v>
      </c>
      <c r="F7130" s="982" t="s">
        <v>16</v>
      </c>
      <c r="G7130" s="1019"/>
      <c r="H7130" s="982" t="s">
        <v>2405</v>
      </c>
      <c r="I7130" s="982" t="s">
        <v>2405</v>
      </c>
      <c r="J7130" s="845"/>
      <c r="K7130" s="886"/>
      <c r="L7130" s="982" t="s">
        <v>28</v>
      </c>
      <c r="M7130" s="982">
        <v>3810</v>
      </c>
      <c r="N7130" s="846">
        <v>0.5</v>
      </c>
      <c r="O7130" s="897" t="s">
        <v>2426</v>
      </c>
      <c r="P7130" s="867" t="s">
        <v>2448</v>
      </c>
    </row>
    <row r="7131" spans="1:18" x14ac:dyDescent="0.25">
      <c r="A7131" s="997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1"/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2465</v>
      </c>
      <c r="Q7131" s="989"/>
      <c r="R7131" s="943"/>
    </row>
    <row r="7132" spans="1:18" x14ac:dyDescent="0.25">
      <c r="A7132" s="998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49"/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2466</v>
      </c>
      <c r="Q7132" s="989"/>
      <c r="R7132" s="943"/>
    </row>
    <row r="7133" spans="1:18" x14ac:dyDescent="0.25">
      <c r="A7133" s="998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983"/>
      <c r="L7133" s="816" t="s">
        <v>28</v>
      </c>
      <c r="M7133" s="816">
        <v>2310</v>
      </c>
      <c r="N7133" s="811">
        <v>0.54166666666666663</v>
      </c>
      <c r="O7133" s="897" t="s">
        <v>2432</v>
      </c>
      <c r="P7133" s="867" t="s">
        <v>2467</v>
      </c>
      <c r="R7133" s="943"/>
    </row>
    <row r="7134" spans="1:18" ht="19.5" thickBot="1" x14ac:dyDescent="0.3">
      <c r="A7134" s="999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877"/>
      <c r="L7134" s="788" t="s">
        <v>28</v>
      </c>
      <c r="M7134" s="788">
        <v>1020</v>
      </c>
      <c r="N7134" s="784">
        <v>0.54166666666666663</v>
      </c>
      <c r="O7134" s="897" t="s">
        <v>2435</v>
      </c>
      <c r="P7134" s="867" t="s">
        <v>2468</v>
      </c>
    </row>
    <row r="7135" spans="1:18" x14ac:dyDescent="0.25">
      <c r="A7135" s="1000">
        <f t="shared" ref="A7135" si="215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17" t="s">
        <v>2346</v>
      </c>
      <c r="H7135" s="527" t="s">
        <v>2344</v>
      </c>
      <c r="I7135" s="528" t="s">
        <v>2344</v>
      </c>
      <c r="J7135" s="529"/>
      <c r="K7135" s="523"/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x14ac:dyDescent="0.25">
      <c r="A7136" s="1016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17"/>
      <c r="H7136" s="763" t="s">
        <v>2344</v>
      </c>
      <c r="I7136" s="768" t="s">
        <v>2344</v>
      </c>
      <c r="J7136" s="779"/>
      <c r="K7136" s="791"/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thickBot="1" x14ac:dyDescent="0.3">
      <c r="A7137" s="1001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18"/>
      <c r="H7137" s="856" t="s">
        <v>2344</v>
      </c>
      <c r="I7137" s="856" t="s">
        <v>2344</v>
      </c>
      <c r="J7137" s="858"/>
      <c r="K7137" s="859"/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x14ac:dyDescent="0.25">
      <c r="A7138" s="997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1"/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2452</v>
      </c>
    </row>
    <row r="7139" spans="1:20" ht="19.5" thickBot="1" x14ac:dyDescent="0.3">
      <c r="A7139" s="999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36"/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2451</v>
      </c>
    </row>
    <row r="7140" spans="1:20" ht="19.5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4"/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2450</v>
      </c>
    </row>
    <row r="7141" spans="1:20" ht="19.5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4"/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x14ac:dyDescent="0.25">
      <c r="A7142" s="1000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/>
      <c r="F7142" s="483" t="s">
        <v>16</v>
      </c>
      <c r="G7142" s="899"/>
      <c r="H7142" s="483" t="s">
        <v>2347</v>
      </c>
      <c r="I7142" s="484"/>
      <c r="J7142" s="485"/>
      <c r="K7142" s="479"/>
      <c r="L7142" s="483" t="s">
        <v>265</v>
      </c>
      <c r="M7142" s="483">
        <v>19337.64</v>
      </c>
      <c r="N7142" s="486">
        <v>0.375</v>
      </c>
      <c r="O7142" s="897" t="s">
        <v>2364</v>
      </c>
      <c r="Q7142" s="847">
        <v>14971</v>
      </c>
      <c r="R7142" s="833" t="s">
        <v>2472</v>
      </c>
      <c r="S7142" s="2">
        <v>280</v>
      </c>
      <c r="T7142" s="833" t="s">
        <v>2472</v>
      </c>
    </row>
    <row r="7143" spans="1:20" ht="19.5" thickBot="1" x14ac:dyDescent="0.3">
      <c r="A7143" s="1001"/>
      <c r="B7143" s="805" t="s">
        <v>2344</v>
      </c>
      <c r="C7143" s="806" t="s">
        <v>26</v>
      </c>
      <c r="D7143" s="807">
        <v>2.1</v>
      </c>
      <c r="E7143" s="807"/>
      <c r="F7143" s="808" t="s">
        <v>16</v>
      </c>
      <c r="G7143" s="902"/>
      <c r="H7143" s="808" t="s">
        <v>2347</v>
      </c>
      <c r="I7143" s="808"/>
      <c r="J7143" s="810"/>
      <c r="K7143" s="887"/>
      <c r="L7143" s="808" t="s">
        <v>265</v>
      </c>
      <c r="M7143" s="808">
        <v>2115</v>
      </c>
      <c r="N7143" s="778">
        <v>0.375</v>
      </c>
      <c r="O7143" s="897" t="s">
        <v>2407</v>
      </c>
      <c r="Q7143" s="847">
        <v>2150</v>
      </c>
      <c r="R7143" s="833" t="s">
        <v>2472</v>
      </c>
    </row>
    <row r="7144" spans="1:20" x14ac:dyDescent="0.25">
      <c r="A7144" s="997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/>
      <c r="F7144" s="535" t="s">
        <v>16</v>
      </c>
      <c r="G7144" s="536"/>
      <c r="H7144" s="535" t="s">
        <v>2347</v>
      </c>
      <c r="I7144" s="537"/>
      <c r="J7144" s="538"/>
      <c r="K7144" s="531"/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Q7144" s="847">
        <v>4969</v>
      </c>
      <c r="R7144" s="833" t="s">
        <v>2472</v>
      </c>
    </row>
    <row r="7145" spans="1:20" x14ac:dyDescent="0.25">
      <c r="A7145" s="998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3"/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2439</v>
      </c>
    </row>
    <row r="7146" spans="1:20" x14ac:dyDescent="0.25">
      <c r="A7146" s="998"/>
      <c r="B7146" s="563" t="s">
        <v>2294</v>
      </c>
      <c r="C7146" s="564" t="s">
        <v>23</v>
      </c>
      <c r="D7146" s="565">
        <v>7.7270000000000003</v>
      </c>
      <c r="E7146" s="566"/>
      <c r="F7146" s="567" t="s">
        <v>16</v>
      </c>
      <c r="G7146" s="568"/>
      <c r="H7146" s="567" t="s">
        <v>2347</v>
      </c>
      <c r="I7146" s="569"/>
      <c r="J7146" s="570"/>
      <c r="K7146" s="563"/>
      <c r="L7146" s="567" t="s">
        <v>28</v>
      </c>
      <c r="M7146" s="567">
        <v>7791.96</v>
      </c>
      <c r="N7146" s="571">
        <v>0.41666666666666669</v>
      </c>
      <c r="O7146" s="897" t="s">
        <v>2366</v>
      </c>
      <c r="Q7146" s="847">
        <v>7462</v>
      </c>
      <c r="R7146" s="833" t="s">
        <v>2472</v>
      </c>
    </row>
    <row r="7147" spans="1:20" ht="19.5" thickBot="1" x14ac:dyDescent="0.3">
      <c r="A7147" s="999"/>
      <c r="B7147" s="832" t="s">
        <v>2405</v>
      </c>
      <c r="C7147" s="906" t="s">
        <v>23</v>
      </c>
      <c r="D7147" s="828">
        <v>1.6</v>
      </c>
      <c r="E7147" s="828"/>
      <c r="F7147" s="829" t="s">
        <v>16</v>
      </c>
      <c r="G7147" s="830" t="s">
        <v>76</v>
      </c>
      <c r="H7147" s="829" t="s">
        <v>2347</v>
      </c>
      <c r="I7147" s="829"/>
      <c r="J7147" s="831"/>
      <c r="K7147" s="832"/>
      <c r="L7147" s="829" t="s">
        <v>28</v>
      </c>
      <c r="M7147" s="829">
        <v>1605.1200000000001</v>
      </c>
      <c r="N7147" s="644">
        <v>0.41666666666666669</v>
      </c>
      <c r="O7147" s="897" t="s">
        <v>2433</v>
      </c>
      <c r="Q7147" s="847">
        <v>1605</v>
      </c>
      <c r="R7147" s="833" t="s">
        <v>2472</v>
      </c>
    </row>
    <row r="7148" spans="1:20" x14ac:dyDescent="0.25">
      <c r="A7148" s="1000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20" t="s">
        <v>1633</v>
      </c>
      <c r="H7148" s="483" t="s">
        <v>2347</v>
      </c>
      <c r="I7148" s="484" t="s">
        <v>2347</v>
      </c>
      <c r="J7148" s="485"/>
      <c r="K7148" s="479"/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2444</v>
      </c>
    </row>
    <row r="7149" spans="1:20" x14ac:dyDescent="0.25">
      <c r="A7149" s="1016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83"/>
      <c r="H7149" s="527" t="s">
        <v>2347</v>
      </c>
      <c r="I7149" s="528" t="s">
        <v>2347</v>
      </c>
      <c r="J7149" s="529"/>
      <c r="K7149" s="523"/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2445</v>
      </c>
    </row>
    <row r="7150" spans="1:20" ht="19.5" thickBot="1" x14ac:dyDescent="0.3">
      <c r="A7150" s="1001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83"/>
      <c r="H7150" s="499" t="s">
        <v>2347</v>
      </c>
      <c r="I7150" s="500" t="s">
        <v>2347</v>
      </c>
      <c r="J7150" s="501"/>
      <c r="K7150" s="495"/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2446</v>
      </c>
    </row>
    <row r="7151" spans="1:20" x14ac:dyDescent="0.25">
      <c r="A7151" s="1007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1"/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2469</v>
      </c>
      <c r="R7151" s="943"/>
    </row>
    <row r="7152" spans="1:20" x14ac:dyDescent="0.25">
      <c r="A7152" s="1008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49"/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2470</v>
      </c>
      <c r="R7152" s="943"/>
    </row>
    <row r="7153" spans="1:18" ht="19.5" thickBot="1" x14ac:dyDescent="0.3">
      <c r="A7153" s="1009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877"/>
      <c r="L7153" s="788" t="s">
        <v>28</v>
      </c>
      <c r="M7153" s="788">
        <v>1605</v>
      </c>
      <c r="N7153" s="784">
        <v>0.5</v>
      </c>
      <c r="O7153" s="897" t="s">
        <v>2434</v>
      </c>
      <c r="P7153" s="867" t="s">
        <v>2471</v>
      </c>
      <c r="R7153" s="943"/>
    </row>
    <row r="7154" spans="1:18" ht="19.5" thickBot="1" x14ac:dyDescent="0.3">
      <c r="A7154" s="513">
        <f t="shared" ref="A7154:A7161" si="216">MAX(A7001:A7153)+1</f>
        <v>4410</v>
      </c>
      <c r="B7154" s="645" t="s">
        <v>2294</v>
      </c>
      <c r="C7154" s="646" t="s">
        <v>1382</v>
      </c>
      <c r="D7154" s="647">
        <v>8</v>
      </c>
      <c r="E7154" s="648"/>
      <c r="F7154" s="649" t="s">
        <v>16</v>
      </c>
      <c r="G7154" s="650" t="s">
        <v>2299</v>
      </c>
      <c r="H7154" s="649" t="s">
        <v>2347</v>
      </c>
      <c r="I7154" s="651"/>
      <c r="J7154" s="652"/>
      <c r="K7154" s="645"/>
      <c r="L7154" s="649" t="s">
        <v>266</v>
      </c>
      <c r="M7154" s="649">
        <v>8001</v>
      </c>
      <c r="N7154" s="653">
        <v>0.54166666666666663</v>
      </c>
      <c r="O7154" s="897" t="s">
        <v>2373</v>
      </c>
      <c r="P7154" s="867" t="s">
        <v>2413</v>
      </c>
    </row>
    <row r="7155" spans="1:18" ht="19.5" thickBot="1" x14ac:dyDescent="0.3">
      <c r="A7155" s="503">
        <f t="shared" si="216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4"/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2449</v>
      </c>
    </row>
    <row r="7156" spans="1:18" ht="19.5" thickBot="1" x14ac:dyDescent="0.3">
      <c r="A7156" s="572">
        <f t="shared" si="216"/>
        <v>4412</v>
      </c>
      <c r="B7156" s="573" t="s">
        <v>2344</v>
      </c>
      <c r="C7156" s="574" t="s">
        <v>1341</v>
      </c>
      <c r="D7156" s="575">
        <v>9.8030000000000008</v>
      </c>
      <c r="E7156" s="576"/>
      <c r="F7156" s="577" t="s">
        <v>16</v>
      </c>
      <c r="G7156" s="578"/>
      <c r="H7156" s="577" t="s">
        <v>2405</v>
      </c>
      <c r="I7156" s="579"/>
      <c r="J7156" s="580"/>
      <c r="K7156" s="573"/>
      <c r="L7156" s="577" t="s">
        <v>266</v>
      </c>
      <c r="M7156" s="577">
        <v>9803.18</v>
      </c>
      <c r="N7156" s="581">
        <v>0.41666666666666669</v>
      </c>
      <c r="O7156" s="897" t="s">
        <v>2406</v>
      </c>
      <c r="Q7156" s="978">
        <v>9317</v>
      </c>
      <c r="R7156" s="977" t="s">
        <v>2422</v>
      </c>
    </row>
    <row r="7157" spans="1:18" ht="19.5" thickBot="1" x14ac:dyDescent="0.3">
      <c r="A7157" s="503">
        <f t="shared" si="216"/>
        <v>4413</v>
      </c>
      <c r="B7157" s="504" t="s">
        <v>2347</v>
      </c>
      <c r="C7157" s="505" t="s">
        <v>32</v>
      </c>
      <c r="D7157" s="506">
        <v>17.948</v>
      </c>
      <c r="E7157" s="507"/>
      <c r="F7157" s="508" t="s">
        <v>16</v>
      </c>
      <c r="G7157" s="509"/>
      <c r="H7157" s="508" t="s">
        <v>2416</v>
      </c>
      <c r="I7157" s="510"/>
      <c r="J7157" s="511"/>
      <c r="K7157" s="504"/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</row>
    <row r="7158" spans="1:18" ht="19.5" thickBot="1" x14ac:dyDescent="0.3">
      <c r="A7158" s="513">
        <f t="shared" si="216"/>
        <v>4414</v>
      </c>
      <c r="B7158" s="514" t="s">
        <v>2347</v>
      </c>
      <c r="C7158" s="515" t="s">
        <v>32</v>
      </c>
      <c r="D7158" s="516">
        <v>17.960999999999999</v>
      </c>
      <c r="E7158" s="517"/>
      <c r="F7158" s="518" t="s">
        <v>16</v>
      </c>
      <c r="G7158" s="519"/>
      <c r="H7158" s="518" t="s">
        <v>2416</v>
      </c>
      <c r="I7158" s="520"/>
      <c r="J7158" s="521"/>
      <c r="K7158" s="514"/>
      <c r="L7158" s="518" t="s">
        <v>266</v>
      </c>
      <c r="M7158" s="518">
        <v>18033.18</v>
      </c>
      <c r="N7158" s="522">
        <v>0.45833333333333331</v>
      </c>
      <c r="O7158" s="897" t="s">
        <v>2418</v>
      </c>
    </row>
    <row r="7159" spans="1:18" ht="19.5" thickBot="1" x14ac:dyDescent="0.3">
      <c r="A7159" s="503">
        <f t="shared" si="216"/>
        <v>4415</v>
      </c>
      <c r="B7159" s="504" t="s">
        <v>2347</v>
      </c>
      <c r="C7159" s="505" t="s">
        <v>32</v>
      </c>
      <c r="D7159" s="506">
        <v>17.600000000000001</v>
      </c>
      <c r="E7159" s="507"/>
      <c r="F7159" s="508" t="s">
        <v>16</v>
      </c>
      <c r="G7159" s="509" t="s">
        <v>2299</v>
      </c>
      <c r="H7159" s="508" t="s">
        <v>2416</v>
      </c>
      <c r="I7159" s="510"/>
      <c r="J7159" s="511"/>
      <c r="K7159" s="504"/>
      <c r="L7159" s="508" t="s">
        <v>266</v>
      </c>
      <c r="M7159" s="508">
        <v>17604.599999999999</v>
      </c>
      <c r="N7159" s="512">
        <v>0.5</v>
      </c>
      <c r="O7159" s="897" t="s">
        <v>2419</v>
      </c>
    </row>
    <row r="7160" spans="1:18" ht="19.5" thickBot="1" x14ac:dyDescent="0.3">
      <c r="A7160" s="572">
        <f t="shared" si="216"/>
        <v>4416</v>
      </c>
      <c r="B7160" s="573" t="s">
        <v>2347</v>
      </c>
      <c r="C7160" s="574" t="s">
        <v>848</v>
      </c>
      <c r="D7160" s="575">
        <v>18.010999999999999</v>
      </c>
      <c r="E7160" s="576"/>
      <c r="F7160" s="577" t="s">
        <v>16</v>
      </c>
      <c r="G7160" s="578"/>
      <c r="H7160" s="577" t="s">
        <v>2416</v>
      </c>
      <c r="I7160" s="579"/>
      <c r="J7160" s="580"/>
      <c r="K7160" s="573"/>
      <c r="L7160" s="577" t="s">
        <v>266</v>
      </c>
      <c r="M7160" s="577">
        <v>18121.16</v>
      </c>
      <c r="N7160" s="581">
        <v>0.54166666666666663</v>
      </c>
      <c r="O7160" s="897" t="s">
        <v>2420</v>
      </c>
    </row>
    <row r="7161" spans="1:18" x14ac:dyDescent="0.25">
      <c r="A7161" s="1007">
        <f t="shared" si="216"/>
        <v>4417</v>
      </c>
      <c r="B7161" s="759" t="s">
        <v>2405</v>
      </c>
      <c r="C7161" s="532" t="s">
        <v>26</v>
      </c>
      <c r="D7161" s="533">
        <v>17.614999999999998</v>
      </c>
      <c r="E7161" s="534"/>
      <c r="F7161" s="535" t="s">
        <v>16</v>
      </c>
      <c r="G7161" s="536"/>
      <c r="H7161" s="535" t="s">
        <v>2424</v>
      </c>
      <c r="I7161" s="537"/>
      <c r="J7161" s="538"/>
      <c r="K7161" s="531"/>
      <c r="L7161" s="535" t="s">
        <v>265</v>
      </c>
      <c r="M7161" s="535">
        <v>17770.98</v>
      </c>
      <c r="N7161" s="539">
        <v>0.375</v>
      </c>
      <c r="O7161" s="897" t="s">
        <v>2427</v>
      </c>
      <c r="Q7161" s="847">
        <v>16449</v>
      </c>
      <c r="R7161" s="833" t="s">
        <v>2472</v>
      </c>
    </row>
    <row r="7162" spans="1:18" ht="19.5" thickBot="1" x14ac:dyDescent="0.3">
      <c r="A7162" s="1009"/>
      <c r="B7162" s="798" t="s">
        <v>2416</v>
      </c>
      <c r="C7162" s="799" t="s">
        <v>26</v>
      </c>
      <c r="D7162" s="800">
        <v>1.35</v>
      </c>
      <c r="E7162" s="800"/>
      <c r="F7162" s="801" t="s">
        <v>16</v>
      </c>
      <c r="G7162" s="802"/>
      <c r="H7162" s="801" t="s">
        <v>2424</v>
      </c>
      <c r="I7162" s="801"/>
      <c r="J7162" s="803"/>
      <c r="K7162" s="848"/>
      <c r="L7162" s="801" t="s">
        <v>265</v>
      </c>
      <c r="M7162" s="801">
        <v>1250</v>
      </c>
      <c r="N7162" s="804">
        <v>0.375</v>
      </c>
      <c r="O7162" s="897" t="s">
        <v>2463</v>
      </c>
      <c r="Q7162" s="847">
        <v>1360</v>
      </c>
      <c r="R7162" s="833" t="s">
        <v>2472</v>
      </c>
    </row>
    <row r="7163" spans="1:18" x14ac:dyDescent="0.25">
      <c r="A7163" s="1010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/>
      <c r="F7163" s="483" t="s">
        <v>16</v>
      </c>
      <c r="G7163" s="988"/>
      <c r="H7163" s="483" t="s">
        <v>2424</v>
      </c>
      <c r="I7163" s="484"/>
      <c r="J7163" s="485"/>
      <c r="K7163" s="479"/>
      <c r="L7163" s="483" t="s">
        <v>265</v>
      </c>
      <c r="M7163" s="483">
        <v>17390.300000000003</v>
      </c>
      <c r="N7163" s="486">
        <v>0.41666666666666669</v>
      </c>
      <c r="O7163" s="897" t="s">
        <v>2428</v>
      </c>
    </row>
    <row r="7164" spans="1:18" ht="19.5" thickBot="1" x14ac:dyDescent="0.3">
      <c r="A7164" s="1012"/>
      <c r="B7164" s="805" t="s">
        <v>2416</v>
      </c>
      <c r="C7164" s="806" t="s">
        <v>26</v>
      </c>
      <c r="D7164" s="807">
        <v>3.1</v>
      </c>
      <c r="E7164" s="807"/>
      <c r="F7164" s="808" t="s">
        <v>16</v>
      </c>
      <c r="G7164" s="809"/>
      <c r="H7164" s="808" t="s">
        <v>2424</v>
      </c>
      <c r="I7164" s="808"/>
      <c r="J7164" s="810"/>
      <c r="K7164" s="887"/>
      <c r="L7164" s="808" t="s">
        <v>265</v>
      </c>
      <c r="M7164" s="808">
        <v>3120</v>
      </c>
      <c r="N7164" s="778">
        <v>0.41666666666666669</v>
      </c>
      <c r="O7164" s="897" t="s">
        <v>2464</v>
      </c>
    </row>
    <row r="7165" spans="1:18" x14ac:dyDescent="0.25">
      <c r="A7165" s="997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/>
      <c r="F7165" s="567" t="s">
        <v>30</v>
      </c>
      <c r="G7165" s="568"/>
      <c r="H7165" s="567" t="s">
        <v>2424</v>
      </c>
      <c r="I7165" s="569"/>
      <c r="J7165" s="570"/>
      <c r="K7165" s="563"/>
      <c r="L7165" s="567" t="s">
        <v>28</v>
      </c>
      <c r="M7165" s="567">
        <v>8620.1999999999989</v>
      </c>
      <c r="N7165" s="571">
        <v>0.41666666666666669</v>
      </c>
      <c r="O7165" s="897" t="s">
        <v>2431</v>
      </c>
      <c r="Q7165" s="847">
        <v>8620</v>
      </c>
      <c r="R7165" s="833" t="s">
        <v>2472</v>
      </c>
    </row>
    <row r="7166" spans="1:18" ht="19.5" thickBot="1" x14ac:dyDescent="0.3">
      <c r="A7166" s="999"/>
      <c r="B7166" s="636" t="s">
        <v>2405</v>
      </c>
      <c r="C7166" s="637" t="s">
        <v>24</v>
      </c>
      <c r="D7166" s="638">
        <v>5.6710000000000003</v>
      </c>
      <c r="E7166" s="639"/>
      <c r="F7166" s="640" t="s">
        <v>30</v>
      </c>
      <c r="G7166" s="641"/>
      <c r="H7166" s="640" t="s">
        <v>2424</v>
      </c>
      <c r="I7166" s="642"/>
      <c r="J7166" s="643"/>
      <c r="K7166" s="636"/>
      <c r="L7166" s="640" t="s">
        <v>28</v>
      </c>
      <c r="M7166" s="640">
        <v>5671.5599999999995</v>
      </c>
      <c r="N7166" s="644">
        <v>0.41666666666666669</v>
      </c>
      <c r="O7166" s="897" t="s">
        <v>2430</v>
      </c>
      <c r="Q7166" s="847">
        <v>5672</v>
      </c>
      <c r="R7166" s="833" t="s">
        <v>2472</v>
      </c>
    </row>
    <row r="7167" spans="1:18" ht="19.5" thickBot="1" x14ac:dyDescent="0.3">
      <c r="A7167" s="513">
        <f>MAX(A7012:A7166)+1</f>
        <v>4420</v>
      </c>
      <c r="B7167" s="514" t="s">
        <v>2405</v>
      </c>
      <c r="C7167" s="515" t="s">
        <v>26</v>
      </c>
      <c r="D7167" s="516">
        <v>19.986000000000001</v>
      </c>
      <c r="E7167" s="517"/>
      <c r="F7167" s="518" t="s">
        <v>16</v>
      </c>
      <c r="G7167" s="519"/>
      <c r="H7167" s="518" t="s">
        <v>2425</v>
      </c>
      <c r="I7167" s="520"/>
      <c r="J7167" s="521"/>
      <c r="K7167" s="514"/>
      <c r="L7167" s="518" t="s">
        <v>265</v>
      </c>
      <c r="M7167" s="518">
        <v>20167.020000000004</v>
      </c>
      <c r="N7167" s="522">
        <v>0.375</v>
      </c>
      <c r="O7167" s="897" t="s">
        <v>2429</v>
      </c>
    </row>
    <row r="7168" spans="1:18" x14ac:dyDescent="0.25">
      <c r="A7168" s="997">
        <f>MAX(A7013:A7167)+1</f>
        <v>4421</v>
      </c>
      <c r="B7168" s="531" t="s">
        <v>2405</v>
      </c>
      <c r="C7168" s="532" t="s">
        <v>587</v>
      </c>
      <c r="D7168" s="533">
        <v>8.9429999999999996</v>
      </c>
      <c r="E7168" s="534"/>
      <c r="F7168" s="535" t="s">
        <v>16</v>
      </c>
      <c r="G7168" s="536" t="s">
        <v>47</v>
      </c>
      <c r="H7168" s="535" t="s">
        <v>2425</v>
      </c>
      <c r="I7168" s="537"/>
      <c r="J7168" s="538"/>
      <c r="K7168" s="531"/>
      <c r="L7168" s="535" t="s">
        <v>28</v>
      </c>
      <c r="M7168" s="535">
        <v>8943.9599999999991</v>
      </c>
      <c r="N7168" s="539">
        <v>0.41666666666666669</v>
      </c>
      <c r="O7168" s="897" t="s">
        <v>2436</v>
      </c>
    </row>
    <row r="7169" spans="1:16" ht="19.5" thickBot="1" x14ac:dyDescent="0.3">
      <c r="A7169" s="998"/>
      <c r="B7169" s="590" t="s">
        <v>2405</v>
      </c>
      <c r="C7169" s="591" t="s">
        <v>47</v>
      </c>
      <c r="D7169" s="592">
        <v>8.657</v>
      </c>
      <c r="E7169" s="593"/>
      <c r="F7169" s="594" t="s">
        <v>16</v>
      </c>
      <c r="G7169" s="985"/>
      <c r="H7169" s="594" t="s">
        <v>2425</v>
      </c>
      <c r="I7169" s="596"/>
      <c r="J7169" s="597"/>
      <c r="K7169" s="590"/>
      <c r="L7169" s="594" t="s">
        <v>28</v>
      </c>
      <c r="M7169" s="594">
        <v>8766.5399999999991</v>
      </c>
      <c r="N7169" s="598">
        <v>0.41666666666666669</v>
      </c>
      <c r="O7169" s="897" t="s">
        <v>2437</v>
      </c>
    </row>
    <row r="7170" spans="1:16" ht="19.5" thickBot="1" x14ac:dyDescent="0.3">
      <c r="A7170" s="513">
        <f>MAX(A7015:A7169)+1</f>
        <v>4422</v>
      </c>
      <c r="B7170" s="514" t="s">
        <v>2416</v>
      </c>
      <c r="C7170" s="515" t="s">
        <v>26</v>
      </c>
      <c r="D7170" s="516">
        <v>16.048999999999999</v>
      </c>
      <c r="E7170" s="517"/>
      <c r="F7170" s="518" t="s">
        <v>30</v>
      </c>
      <c r="G7170" s="519"/>
      <c r="H7170" s="518" t="s">
        <v>2425</v>
      </c>
      <c r="I7170" s="520"/>
      <c r="J7170" s="521"/>
      <c r="K7170" s="514"/>
      <c r="L7170" s="518" t="s">
        <v>265</v>
      </c>
      <c r="M7170" s="518">
        <v>16049.4</v>
      </c>
      <c r="N7170" s="522">
        <v>0.375</v>
      </c>
      <c r="O7170" s="897" t="s">
        <v>2453</v>
      </c>
    </row>
    <row r="7171" spans="1:16" x14ac:dyDescent="0.25">
      <c r="A7171" s="997">
        <f>MAX(A7016:A7170)+1</f>
        <v>4423</v>
      </c>
      <c r="B7171" s="531" t="s">
        <v>2416</v>
      </c>
      <c r="C7171" s="532" t="s">
        <v>41</v>
      </c>
      <c r="D7171" s="533">
        <v>8.5500000000000007</v>
      </c>
      <c r="E7171" s="534"/>
      <c r="F7171" s="535" t="s">
        <v>16</v>
      </c>
      <c r="G7171" s="536"/>
      <c r="H7171" s="535" t="s">
        <v>2425</v>
      </c>
      <c r="I7171" s="537"/>
      <c r="J7171" s="538"/>
      <c r="K7171" s="531"/>
      <c r="L7171" s="535" t="s">
        <v>266</v>
      </c>
      <c r="M7171" s="535">
        <v>8637.08</v>
      </c>
      <c r="N7171" s="539">
        <v>0.45833333333333331</v>
      </c>
      <c r="O7171" s="897" t="s">
        <v>2455</v>
      </c>
      <c r="P7171" s="952"/>
    </row>
    <row r="7172" spans="1:16" x14ac:dyDescent="0.25">
      <c r="A7172" s="998"/>
      <c r="B7172" s="563" t="s">
        <v>2416</v>
      </c>
      <c r="C7172" s="564" t="s">
        <v>981</v>
      </c>
      <c r="D7172" s="565">
        <v>0.312</v>
      </c>
      <c r="E7172" s="566"/>
      <c r="F7172" s="567" t="s">
        <v>16</v>
      </c>
      <c r="G7172" s="568" t="s">
        <v>844</v>
      </c>
      <c r="H7172" s="567" t="s">
        <v>2425</v>
      </c>
      <c r="I7172" s="569"/>
      <c r="J7172" s="570"/>
      <c r="K7172" s="563"/>
      <c r="L7172" s="567" t="s">
        <v>266</v>
      </c>
      <c r="M7172" s="567">
        <v>312</v>
      </c>
      <c r="N7172" s="571">
        <v>0.45833333333333331</v>
      </c>
      <c r="O7172" s="897" t="s">
        <v>2456</v>
      </c>
      <c r="P7172" s="952"/>
    </row>
    <row r="7173" spans="1:16" x14ac:dyDescent="0.25">
      <c r="A7173" s="998"/>
      <c r="B7173" s="563" t="s">
        <v>2416</v>
      </c>
      <c r="C7173" s="564" t="s">
        <v>981</v>
      </c>
      <c r="D7173" s="565">
        <v>4.2960000000000003</v>
      </c>
      <c r="E7173" s="566"/>
      <c r="F7173" s="567" t="s">
        <v>16</v>
      </c>
      <c r="G7173" s="568" t="s">
        <v>845</v>
      </c>
      <c r="H7173" s="567" t="s">
        <v>2425</v>
      </c>
      <c r="I7173" s="569"/>
      <c r="J7173" s="570"/>
      <c r="K7173" s="563"/>
      <c r="L7173" s="567" t="s">
        <v>266</v>
      </c>
      <c r="M7173" s="567">
        <v>4296.3200000000006</v>
      </c>
      <c r="N7173" s="571">
        <v>0.45833333333333331</v>
      </c>
      <c r="O7173" s="897" t="s">
        <v>2457</v>
      </c>
      <c r="P7173" s="952"/>
    </row>
    <row r="7174" spans="1:16" ht="19.5" thickBot="1" x14ac:dyDescent="0.3">
      <c r="A7174" s="999"/>
      <c r="B7174" s="636" t="s">
        <v>2416</v>
      </c>
      <c r="C7174" s="637" t="s">
        <v>32</v>
      </c>
      <c r="D7174" s="638">
        <v>5.3289999999999997</v>
      </c>
      <c r="E7174" s="639"/>
      <c r="F7174" s="640" t="s">
        <v>16</v>
      </c>
      <c r="G7174" s="986" t="s">
        <v>1702</v>
      </c>
      <c r="H7174" s="640" t="s">
        <v>2425</v>
      </c>
      <c r="I7174" s="642"/>
      <c r="J7174" s="643"/>
      <c r="K7174" s="636"/>
      <c r="L7174" s="640" t="s">
        <v>266</v>
      </c>
      <c r="M7174" s="640">
        <v>5329.0000000000009</v>
      </c>
      <c r="N7174" s="644">
        <v>0.45833333333333331</v>
      </c>
      <c r="O7174" s="897" t="s">
        <v>2458</v>
      </c>
      <c r="P7174" s="952"/>
    </row>
    <row r="7175" spans="1:16" x14ac:dyDescent="0.25">
      <c r="A7175" s="1000">
        <f>MAX(A7020:A7174)+1</f>
        <v>4424</v>
      </c>
      <c r="B7175" s="479" t="s">
        <v>2416</v>
      </c>
      <c r="C7175" s="480" t="s">
        <v>26</v>
      </c>
      <c r="D7175" s="481">
        <v>17.504999999999999</v>
      </c>
      <c r="E7175" s="482"/>
      <c r="F7175" s="483" t="s">
        <v>16</v>
      </c>
      <c r="G7175" s="984"/>
      <c r="H7175" s="483" t="s">
        <v>2454</v>
      </c>
      <c r="I7175" s="484"/>
      <c r="J7175" s="485"/>
      <c r="K7175" s="479"/>
      <c r="L7175" s="483" t="s">
        <v>265</v>
      </c>
      <c r="M7175" s="483">
        <v>17674.04</v>
      </c>
      <c r="N7175" s="486">
        <v>0.375</v>
      </c>
      <c r="O7175" s="897" t="s">
        <v>2459</v>
      </c>
    </row>
    <row r="7176" spans="1:16" ht="19.5" thickBot="1" x14ac:dyDescent="0.3">
      <c r="A7176" s="1001"/>
      <c r="B7176" s="645" t="s">
        <v>2416</v>
      </c>
      <c r="C7176" s="646" t="s">
        <v>952</v>
      </c>
      <c r="D7176" s="647">
        <v>2.4489999999999998</v>
      </c>
      <c r="E7176" s="648"/>
      <c r="F7176" s="649" t="s">
        <v>16</v>
      </c>
      <c r="G7176" s="987"/>
      <c r="H7176" s="649" t="s">
        <v>2454</v>
      </c>
      <c r="I7176" s="651"/>
      <c r="J7176" s="652"/>
      <c r="K7176" s="645"/>
      <c r="L7176" s="649" t="s">
        <v>265</v>
      </c>
      <c r="M7176" s="649">
        <v>2533.3200000000002</v>
      </c>
      <c r="N7176" s="653">
        <v>0.375</v>
      </c>
      <c r="O7176" s="897" t="s">
        <v>2460</v>
      </c>
    </row>
    <row r="7177" spans="1:16" x14ac:dyDescent="0.25">
      <c r="A7177" s="997">
        <f>MAX(A7022:A7176)+1</f>
        <v>4425</v>
      </c>
      <c r="B7177" s="531" t="s">
        <v>2416</v>
      </c>
      <c r="C7177" s="532" t="s">
        <v>839</v>
      </c>
      <c r="D7177" s="533">
        <v>0.76500000000000001</v>
      </c>
      <c r="E7177" s="534"/>
      <c r="F7177" s="535" t="s">
        <v>16</v>
      </c>
      <c r="G7177" s="536"/>
      <c r="H7177" s="535" t="s">
        <v>2454</v>
      </c>
      <c r="I7177" s="537"/>
      <c r="J7177" s="538"/>
      <c r="K7177" s="531"/>
      <c r="L7177" s="535" t="s">
        <v>28</v>
      </c>
      <c r="M7177" s="535">
        <v>772.8</v>
      </c>
      <c r="N7177" s="539">
        <v>0.41666666666666669</v>
      </c>
      <c r="O7177" s="897" t="s">
        <v>2462</v>
      </c>
    </row>
    <row r="7178" spans="1:16" ht="19.5" thickBot="1" x14ac:dyDescent="0.3">
      <c r="A7178" s="999"/>
      <c r="B7178" s="636" t="s">
        <v>2416</v>
      </c>
      <c r="C7178" s="637" t="s">
        <v>23</v>
      </c>
      <c r="D7178" s="638">
        <v>16.699000000000002</v>
      </c>
      <c r="E7178" s="639"/>
      <c r="F7178" s="640" t="s">
        <v>16</v>
      </c>
      <c r="G7178" s="986"/>
      <c r="H7178" s="640" t="s">
        <v>2454</v>
      </c>
      <c r="I7178" s="642"/>
      <c r="J7178" s="643"/>
      <c r="K7178" s="636"/>
      <c r="L7178" s="640" t="s">
        <v>28</v>
      </c>
      <c r="M7178" s="640">
        <v>16789.900000000001</v>
      </c>
      <c r="N7178" s="644">
        <v>0.41666666666666669</v>
      </c>
      <c r="O7178" s="897" t="s">
        <v>2461</v>
      </c>
    </row>
    <row r="7179" spans="1:16" x14ac:dyDescent="0.25">
      <c r="A7179" s="676">
        <f t="shared" ref="A7179:A7182" si="217">MAX(A7024:A7178)+1</f>
        <v>4426</v>
      </c>
      <c r="B7179" s="676" t="s">
        <v>2424</v>
      </c>
      <c r="C7179" s="473" t="s">
        <v>26</v>
      </c>
      <c r="D7179" s="474">
        <v>16.669</v>
      </c>
      <c r="E7179" s="475"/>
      <c r="F7179" s="676" t="s">
        <v>30</v>
      </c>
      <c r="G7179" s="476"/>
      <c r="H7179" s="676" t="s">
        <v>2473</v>
      </c>
      <c r="I7179" s="477"/>
      <c r="J7179" s="478"/>
      <c r="K7179" s="676"/>
      <c r="L7179" s="676" t="s">
        <v>265</v>
      </c>
      <c r="M7179" s="676">
        <v>16669.04</v>
      </c>
      <c r="N7179" s="991">
        <v>0.375</v>
      </c>
      <c r="O7179" s="897" t="s">
        <v>2475</v>
      </c>
    </row>
    <row r="7180" spans="1:16" ht="56.25" x14ac:dyDescent="0.25">
      <c r="A7180" s="676">
        <f t="shared" si="217"/>
        <v>4427</v>
      </c>
      <c r="B7180" s="676" t="s">
        <v>2424</v>
      </c>
      <c r="C7180" s="473" t="s">
        <v>913</v>
      </c>
      <c r="D7180" s="474">
        <v>10.739000000000001</v>
      </c>
      <c r="E7180" s="475"/>
      <c r="F7180" s="676" t="s">
        <v>30</v>
      </c>
      <c r="G7180" s="476" t="s">
        <v>2474</v>
      </c>
      <c r="H7180" s="676" t="s">
        <v>2473</v>
      </c>
      <c r="I7180" s="477"/>
      <c r="J7180" s="478"/>
      <c r="K7180" s="676"/>
      <c r="L7180" s="676" t="s">
        <v>266</v>
      </c>
      <c r="M7180" s="676">
        <v>10739.76</v>
      </c>
      <c r="N7180" s="991">
        <v>0.5</v>
      </c>
      <c r="O7180" s="897" t="s">
        <v>2476</v>
      </c>
    </row>
    <row r="7181" spans="1:16" x14ac:dyDescent="0.25">
      <c r="A7181" s="676">
        <f t="shared" si="217"/>
        <v>4428</v>
      </c>
      <c r="B7181" s="676" t="s">
        <v>2424</v>
      </c>
      <c r="C7181" s="473" t="s">
        <v>26</v>
      </c>
      <c r="D7181" s="474">
        <v>17.45</v>
      </c>
      <c r="E7181" s="475"/>
      <c r="F7181" s="676" t="s">
        <v>16</v>
      </c>
      <c r="G7181" s="476"/>
      <c r="H7181" s="676" t="s">
        <v>2473</v>
      </c>
      <c r="I7181" s="477"/>
      <c r="J7181" s="478"/>
      <c r="K7181" s="676"/>
      <c r="L7181" s="676" t="s">
        <v>265</v>
      </c>
      <c r="M7181" s="676">
        <v>17597.66</v>
      </c>
      <c r="N7181" s="991">
        <v>0.375</v>
      </c>
    </row>
    <row r="7182" spans="1:16" x14ac:dyDescent="0.25">
      <c r="A7182" s="676">
        <f t="shared" si="217"/>
        <v>4429</v>
      </c>
      <c r="B7182" s="676" t="s">
        <v>2424</v>
      </c>
      <c r="C7182" s="473" t="s">
        <v>26</v>
      </c>
      <c r="D7182" s="474">
        <v>17.744</v>
      </c>
      <c r="E7182" s="475"/>
      <c r="F7182" s="676" t="s">
        <v>16</v>
      </c>
      <c r="G7182" s="476"/>
      <c r="H7182" s="676" t="s">
        <v>2473</v>
      </c>
      <c r="I7182" s="477"/>
      <c r="J7182" s="990"/>
      <c r="K7182" s="676"/>
      <c r="L7182" s="676" t="s">
        <v>265</v>
      </c>
      <c r="M7182" s="676">
        <v>17908.080000000002</v>
      </c>
      <c r="N7182" s="991">
        <v>0.41666666666666669</v>
      </c>
    </row>
    <row r="7183" spans="1:16" x14ac:dyDescent="0.25">
      <c r="A7183" s="993">
        <f>MAX(A7030:A7182)+1</f>
        <v>4430</v>
      </c>
      <c r="B7183" s="676" t="s">
        <v>2424</v>
      </c>
      <c r="C7183" s="473" t="s">
        <v>15</v>
      </c>
      <c r="D7183" s="474">
        <v>8.6010000000000009</v>
      </c>
      <c r="E7183" s="475"/>
      <c r="F7183" s="676" t="s">
        <v>16</v>
      </c>
      <c r="G7183" s="995" t="s">
        <v>2477</v>
      </c>
      <c r="H7183" s="676" t="s">
        <v>2473</v>
      </c>
      <c r="I7183" s="477"/>
      <c r="J7183" s="478"/>
      <c r="K7183" s="676"/>
      <c r="L7183" s="676" t="s">
        <v>28</v>
      </c>
      <c r="M7183" s="676">
        <v>8730.48</v>
      </c>
      <c r="N7183" s="991">
        <v>0.5</v>
      </c>
    </row>
    <row r="7184" spans="1:16" x14ac:dyDescent="0.25">
      <c r="A7184" s="994"/>
      <c r="B7184" s="676" t="s">
        <v>2424</v>
      </c>
      <c r="C7184" s="473" t="s">
        <v>24</v>
      </c>
      <c r="D7184" s="474">
        <v>6.9950000000000001</v>
      </c>
      <c r="E7184" s="475"/>
      <c r="F7184" s="676" t="s">
        <v>16</v>
      </c>
      <c r="G7184" s="996"/>
      <c r="H7184" s="676" t="s">
        <v>2473</v>
      </c>
      <c r="I7184" s="477"/>
      <c r="J7184" s="990"/>
      <c r="K7184" s="676"/>
      <c r="L7184" s="676" t="s">
        <v>28</v>
      </c>
      <c r="M7184" s="676">
        <v>7135.9200000000019</v>
      </c>
      <c r="N7184" s="991">
        <v>0.5</v>
      </c>
    </row>
    <row r="7185" spans="1:14" x14ac:dyDescent="0.25">
      <c r="A7185" s="676">
        <f t="shared" ref="A7185:A7203" si="218">MAX(A7032:A7184)+1</f>
        <v>4431</v>
      </c>
      <c r="B7185" s="992" t="s">
        <v>2424</v>
      </c>
      <c r="C7185" s="473" t="s">
        <v>587</v>
      </c>
      <c r="D7185" s="474">
        <v>8.6890000000000001</v>
      </c>
      <c r="E7185" s="475"/>
      <c r="F7185" s="676" t="s">
        <v>30</v>
      </c>
      <c r="G7185" s="476" t="s">
        <v>23</v>
      </c>
      <c r="H7185" s="992" t="s">
        <v>2473</v>
      </c>
      <c r="I7185" s="477"/>
      <c r="J7185" s="478"/>
      <c r="K7185" s="676"/>
      <c r="L7185" s="676" t="s">
        <v>28</v>
      </c>
      <c r="M7185" s="676">
        <v>8689.0400000000009</v>
      </c>
      <c r="N7185" s="991">
        <v>0.45833333333333331</v>
      </c>
    </row>
    <row r="7186" spans="1:14" x14ac:dyDescent="0.25">
      <c r="A7186" s="993">
        <f t="shared" si="218"/>
        <v>4432</v>
      </c>
      <c r="B7186" s="992" t="s">
        <v>2424</v>
      </c>
      <c r="C7186" s="473" t="s">
        <v>320</v>
      </c>
      <c r="D7186" s="474">
        <v>2.0259999999999998</v>
      </c>
      <c r="E7186" s="475"/>
      <c r="F7186" s="992" t="s">
        <v>30</v>
      </c>
      <c r="G7186" s="476"/>
      <c r="H7186" s="992" t="s">
        <v>2473</v>
      </c>
      <c r="I7186" s="477"/>
      <c r="J7186" s="990"/>
      <c r="K7186" s="676"/>
      <c r="L7186" s="676" t="s">
        <v>266</v>
      </c>
      <c r="M7186" s="676">
        <v>2026.08</v>
      </c>
      <c r="N7186" s="991">
        <v>0.41666666666666669</v>
      </c>
    </row>
    <row r="7187" spans="1:14" x14ac:dyDescent="0.25">
      <c r="A7187" s="1084"/>
      <c r="B7187" s="992" t="s">
        <v>2424</v>
      </c>
      <c r="C7187" s="473" t="s">
        <v>587</v>
      </c>
      <c r="D7187" s="474">
        <v>9.7870000000000008</v>
      </c>
      <c r="E7187" s="475"/>
      <c r="F7187" s="992" t="s">
        <v>30</v>
      </c>
      <c r="G7187" s="476"/>
      <c r="H7187" s="992" t="s">
        <v>2473</v>
      </c>
      <c r="I7187" s="477"/>
      <c r="J7187" s="990"/>
      <c r="K7187" s="676"/>
      <c r="L7187" s="676" t="s">
        <v>28</v>
      </c>
      <c r="M7187" s="676">
        <v>9787.68</v>
      </c>
      <c r="N7187" s="991">
        <v>0.41666666666666669</v>
      </c>
    </row>
    <row r="7188" spans="1:14" x14ac:dyDescent="0.25">
      <c r="A7188" s="994"/>
      <c r="B7188" s="992" t="s">
        <v>2424</v>
      </c>
      <c r="C7188" s="473" t="s">
        <v>47</v>
      </c>
      <c r="D7188" s="474">
        <v>1.2569999999999999</v>
      </c>
      <c r="E7188" s="475"/>
      <c r="F7188" s="992" t="s">
        <v>30</v>
      </c>
      <c r="G7188" s="476"/>
      <c r="H7188" s="992" t="s">
        <v>2473</v>
      </c>
      <c r="I7188" s="477"/>
      <c r="J7188" s="990"/>
      <c r="K7188" s="676"/>
      <c r="L7188" s="992" t="s">
        <v>28</v>
      </c>
      <c r="M7188" s="676">
        <v>1257.5999999999999</v>
      </c>
      <c r="N7188" s="991">
        <v>0.41666666666666669</v>
      </c>
    </row>
    <row r="7189" spans="1:14" x14ac:dyDescent="0.25">
      <c r="A7189" s="676">
        <f t="shared" si="218"/>
        <v>4433</v>
      </c>
      <c r="B7189" s="676"/>
      <c r="C7189" s="473"/>
      <c r="D7189" s="474"/>
      <c r="E7189" s="475"/>
      <c r="F7189" s="676"/>
      <c r="G7189" s="476"/>
      <c r="H7189" s="676"/>
      <c r="I7189" s="477"/>
      <c r="J7189" s="990"/>
      <c r="K7189" s="676"/>
      <c r="L7189" s="676"/>
      <c r="M7189" s="676"/>
      <c r="N7189" s="676"/>
    </row>
    <row r="7190" spans="1:14" x14ac:dyDescent="0.25">
      <c r="A7190" s="676">
        <f t="shared" si="218"/>
        <v>4434</v>
      </c>
      <c r="B7190" s="676"/>
      <c r="C7190" s="473"/>
      <c r="D7190" s="474"/>
      <c r="E7190" s="475"/>
      <c r="F7190" s="676"/>
      <c r="G7190" s="476"/>
      <c r="H7190" s="676"/>
      <c r="I7190" s="477"/>
      <c r="J7190" s="990"/>
      <c r="K7190" s="676"/>
      <c r="L7190" s="676"/>
      <c r="M7190" s="676"/>
      <c r="N7190" s="676"/>
    </row>
    <row r="7191" spans="1:14" x14ac:dyDescent="0.25">
      <c r="A7191" s="676">
        <f t="shared" si="218"/>
        <v>4435</v>
      </c>
      <c r="B7191" s="676"/>
      <c r="C7191" s="473"/>
      <c r="D7191" s="474"/>
      <c r="E7191" s="475"/>
      <c r="F7191" s="676"/>
      <c r="G7191" s="476"/>
      <c r="H7191" s="676"/>
      <c r="I7191" s="477"/>
      <c r="J7191" s="990"/>
      <c r="K7191" s="676"/>
      <c r="L7191" s="676"/>
      <c r="M7191" s="676"/>
      <c r="N7191" s="676"/>
    </row>
    <row r="7192" spans="1:14" x14ac:dyDescent="0.25">
      <c r="A7192" s="676">
        <f t="shared" si="218"/>
        <v>4436</v>
      </c>
      <c r="B7192" s="676"/>
      <c r="C7192" s="473"/>
      <c r="D7192" s="474"/>
      <c r="E7192" s="475"/>
      <c r="F7192" s="676"/>
      <c r="G7192" s="476"/>
      <c r="H7192" s="676"/>
      <c r="I7192" s="477"/>
      <c r="J7192" s="990"/>
      <c r="K7192" s="676"/>
      <c r="L7192" s="676"/>
      <c r="M7192" s="676"/>
      <c r="N7192" s="676"/>
    </row>
    <row r="7193" spans="1:14" x14ac:dyDescent="0.25">
      <c r="A7193" s="676">
        <f t="shared" si="218"/>
        <v>4437</v>
      </c>
      <c r="B7193" s="676"/>
      <c r="C7193" s="473"/>
      <c r="D7193" s="474"/>
      <c r="E7193" s="475"/>
      <c r="F7193" s="676"/>
      <c r="G7193" s="476"/>
      <c r="H7193" s="676"/>
      <c r="I7193" s="477"/>
      <c r="J7193" s="990"/>
      <c r="K7193" s="676"/>
      <c r="L7193" s="676"/>
      <c r="M7193" s="676"/>
      <c r="N7193" s="676"/>
    </row>
    <row r="7194" spans="1:14" x14ac:dyDescent="0.25">
      <c r="A7194" s="676">
        <f t="shared" si="218"/>
        <v>4438</v>
      </c>
      <c r="B7194" s="676"/>
      <c r="C7194" s="473"/>
      <c r="D7194" s="474"/>
      <c r="E7194" s="475"/>
      <c r="F7194" s="676"/>
      <c r="G7194" s="476"/>
      <c r="H7194" s="676"/>
      <c r="I7194" s="477"/>
      <c r="J7194" s="990"/>
      <c r="K7194" s="676"/>
      <c r="L7194" s="676"/>
      <c r="M7194" s="676"/>
      <c r="N7194" s="676"/>
    </row>
    <row r="7195" spans="1:14" x14ac:dyDescent="0.25">
      <c r="A7195" s="676">
        <f t="shared" si="218"/>
        <v>4439</v>
      </c>
      <c r="B7195" s="676"/>
      <c r="C7195" s="473"/>
      <c r="D7195" s="474"/>
      <c r="E7195" s="475"/>
      <c r="F7195" s="676"/>
      <c r="G7195" s="476"/>
      <c r="H7195" s="676"/>
      <c r="I7195" s="477"/>
      <c r="J7195" s="990"/>
      <c r="K7195" s="676"/>
      <c r="L7195" s="676"/>
      <c r="M7195" s="676"/>
      <c r="N7195" s="676"/>
    </row>
    <row r="7196" spans="1:14" x14ac:dyDescent="0.25">
      <c r="A7196" s="676">
        <f t="shared" si="218"/>
        <v>4440</v>
      </c>
      <c r="B7196" s="676"/>
      <c r="C7196" s="473"/>
      <c r="D7196" s="474"/>
      <c r="E7196" s="475"/>
      <c r="F7196" s="676"/>
      <c r="G7196" s="476"/>
      <c r="H7196" s="676"/>
      <c r="I7196" s="477"/>
      <c r="J7196" s="990"/>
      <c r="K7196" s="676"/>
      <c r="L7196" s="676"/>
      <c r="M7196" s="676"/>
      <c r="N7196" s="676"/>
    </row>
    <row r="7197" spans="1:14" x14ac:dyDescent="0.25">
      <c r="A7197" s="676">
        <f t="shared" si="218"/>
        <v>4441</v>
      </c>
      <c r="B7197" s="676"/>
      <c r="C7197" s="473"/>
      <c r="D7197" s="474"/>
      <c r="E7197" s="475"/>
      <c r="F7197" s="676"/>
      <c r="G7197" s="476"/>
      <c r="H7197" s="676"/>
      <c r="I7197" s="477"/>
      <c r="J7197" s="990"/>
      <c r="K7197" s="676"/>
      <c r="L7197" s="676"/>
      <c r="M7197" s="676"/>
      <c r="N7197" s="676"/>
    </row>
    <row r="7198" spans="1:14" x14ac:dyDescent="0.25">
      <c r="A7198" s="676">
        <f t="shared" si="218"/>
        <v>4442</v>
      </c>
      <c r="B7198" s="676"/>
      <c r="C7198" s="473"/>
      <c r="D7198" s="474"/>
      <c r="E7198" s="475"/>
      <c r="F7198" s="676"/>
      <c r="G7198" s="476"/>
      <c r="H7198" s="676"/>
      <c r="I7198" s="477"/>
      <c r="J7198" s="990"/>
      <c r="K7198" s="676"/>
      <c r="L7198" s="676"/>
      <c r="M7198" s="676"/>
      <c r="N7198" s="676"/>
    </row>
    <row r="7199" spans="1:14" x14ac:dyDescent="0.25">
      <c r="A7199" s="676">
        <f t="shared" si="218"/>
        <v>4443</v>
      </c>
      <c r="B7199" s="676"/>
      <c r="C7199" s="473"/>
      <c r="D7199" s="474"/>
      <c r="E7199" s="475"/>
      <c r="F7199" s="676"/>
      <c r="G7199" s="476"/>
      <c r="H7199" s="676"/>
      <c r="I7199" s="477"/>
      <c r="J7199" s="990"/>
      <c r="K7199" s="676"/>
      <c r="L7199" s="676"/>
      <c r="M7199" s="676"/>
      <c r="N7199" s="676"/>
    </row>
    <row r="7200" spans="1:14" x14ac:dyDescent="0.25">
      <c r="A7200" s="676">
        <f t="shared" si="218"/>
        <v>4444</v>
      </c>
      <c r="B7200" s="676"/>
      <c r="C7200" s="473"/>
      <c r="D7200" s="474"/>
      <c r="E7200" s="475"/>
      <c r="F7200" s="676"/>
      <c r="G7200" s="476"/>
      <c r="H7200" s="676"/>
      <c r="I7200" s="477"/>
      <c r="J7200" s="990"/>
      <c r="K7200" s="676"/>
      <c r="L7200" s="676"/>
      <c r="M7200" s="676"/>
      <c r="N7200" s="676"/>
    </row>
    <row r="7201" spans="1:14" x14ac:dyDescent="0.25">
      <c r="A7201" s="676">
        <f t="shared" si="218"/>
        <v>4445</v>
      </c>
      <c r="B7201" s="676"/>
      <c r="C7201" s="473"/>
      <c r="D7201" s="474"/>
      <c r="E7201" s="475"/>
      <c r="F7201" s="676"/>
      <c r="G7201" s="476"/>
      <c r="H7201" s="676"/>
      <c r="I7201" s="477"/>
      <c r="J7201" s="990"/>
      <c r="K7201" s="676"/>
      <c r="L7201" s="676"/>
      <c r="M7201" s="676"/>
      <c r="N7201" s="676"/>
    </row>
    <row r="7202" spans="1:14" x14ac:dyDescent="0.25">
      <c r="A7202" s="676">
        <f t="shared" si="218"/>
        <v>4446</v>
      </c>
      <c r="B7202" s="676"/>
      <c r="C7202" s="473"/>
      <c r="D7202" s="474"/>
      <c r="E7202" s="475"/>
      <c r="F7202" s="676"/>
      <c r="G7202" s="476"/>
      <c r="H7202" s="676"/>
      <c r="I7202" s="477"/>
      <c r="J7202" s="990"/>
      <c r="K7202" s="676"/>
      <c r="L7202" s="676"/>
      <c r="M7202" s="676"/>
      <c r="N7202" s="676"/>
    </row>
    <row r="7203" spans="1:14" x14ac:dyDescent="0.25">
      <c r="A7203" s="676">
        <f t="shared" si="218"/>
        <v>4447</v>
      </c>
      <c r="B7203" s="676"/>
      <c r="C7203" s="473"/>
      <c r="D7203" s="474"/>
      <c r="E7203" s="475"/>
      <c r="F7203" s="676"/>
      <c r="G7203" s="476"/>
      <c r="H7203" s="676"/>
      <c r="I7203" s="477"/>
      <c r="J7203" s="990"/>
      <c r="K7203" s="676"/>
      <c r="L7203" s="676"/>
      <c r="M7203" s="676"/>
      <c r="N7203" s="676"/>
    </row>
  </sheetData>
  <autoFilter ref="A2:R7185" xr:uid="{9E4C531E-AD50-422A-AC7C-8C5AF4C19268}">
    <filterColumn colId="10">
      <filters blank="1"/>
    </filterColumn>
  </autoFilter>
  <mergeCells count="1896">
    <mergeCell ref="A7186:A7188"/>
    <mergeCell ref="A7161:A7162"/>
    <mergeCell ref="A7163:A7164"/>
    <mergeCell ref="A7129:A7130"/>
    <mergeCell ref="G7129:G7130"/>
    <mergeCell ref="G7127:G7128"/>
    <mergeCell ref="A7127:A7128"/>
    <mergeCell ref="A7110:A7111"/>
    <mergeCell ref="A7144:A7147"/>
    <mergeCell ref="A7148:A7150"/>
    <mergeCell ref="G7148:G7150"/>
    <mergeCell ref="A7151:A7153"/>
    <mergeCell ref="A7131:A7134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7112:A7114"/>
    <mergeCell ref="A7115:A7118"/>
    <mergeCell ref="A7120:A7123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G6560:G6561"/>
    <mergeCell ref="A6735:A6736"/>
    <mergeCell ref="A7093:A7094"/>
    <mergeCell ref="G7115:G7118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7095:A7096"/>
    <mergeCell ref="A5385:A5386"/>
    <mergeCell ref="A5387:A5388"/>
    <mergeCell ref="A6721:A6722"/>
    <mergeCell ref="A5625:A5626"/>
    <mergeCell ref="A5577:A5578"/>
    <mergeCell ref="A6703:A6706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342:A534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G4765:G4766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7183:A7184"/>
    <mergeCell ref="G7183:G7184"/>
    <mergeCell ref="A7171:A7174"/>
    <mergeCell ref="A7175:A7176"/>
    <mergeCell ref="A7177:A7178"/>
    <mergeCell ref="A7165:A7166"/>
    <mergeCell ref="A7168:A7169"/>
    <mergeCell ref="A7142:A7143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2026-09-04T14:07:03Z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