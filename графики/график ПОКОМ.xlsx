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852D8118-6D24-4B0F-8A29-2776669599F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Лист1!$A$2:$N$6623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632" i="1" l="1"/>
  <c r="A6624" i="1" l="1"/>
  <c r="A6628" i="1" l="1"/>
  <c r="A6626" i="1"/>
  <c r="A6629" i="1"/>
  <c r="A6627" i="1"/>
  <c r="K6553" i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A6635" i="1" l="1"/>
  <c r="A6638" i="1" s="1"/>
  <c r="A6639" i="1" s="1"/>
  <c r="A6640" i="1" s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A6641" i="1" l="1"/>
  <c r="A6642" i="1" s="1"/>
  <c r="A6643" i="1" s="1"/>
  <c r="A6644" i="1" s="1"/>
  <c r="E5558" i="1"/>
  <c r="A6645" i="1" l="1"/>
  <c r="A6646" i="1" s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s="1"/>
  <c r="A6613" i="1" s="1"/>
  <c r="A6614" i="1" l="1"/>
  <c r="A6617" i="1" s="1"/>
  <c r="A6619" i="1" l="1"/>
  <c r="A6620" i="1" s="1"/>
  <c r="A6621" i="1" s="1"/>
  <c r="A6622" i="1" l="1"/>
  <c r="A6623" i="1" s="1"/>
</calcChain>
</file>

<file path=xl/sharedStrings.xml><?xml version="1.0" encoding="utf-8"?>
<sst xmlns="http://schemas.openxmlformats.org/spreadsheetml/2006/main" count="41730" uniqueCount="1557">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</sst>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9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46"/>
  <sheetViews>
    <sheetView tabSelected="1" zoomScale="85" zoomScaleNormal="85" workbookViewId="0">
      <pane ySplit="2" topLeftCell="A6618" activePane="bottomLeft" state="frozen"/>
      <selection pane="bottomLeft" activeCell="K6640" sqref="K664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14" t="s">
        <v>0</v>
      </c>
      <c r="B1" s="814"/>
      <c r="C1" s="814"/>
      <c r="D1" s="814"/>
      <c r="E1" s="814"/>
      <c r="F1" s="814"/>
      <c r="G1" s="814"/>
      <c r="H1" s="814"/>
      <c r="I1" s="814"/>
      <c r="J1" s="814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15">
        <v>1</v>
      </c>
      <c r="B3" s="81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15"/>
      <c r="B4" s="81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13">
        <v>3</v>
      </c>
      <c r="B6" s="81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13"/>
      <c r="B7" s="81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13"/>
      <c r="B8" s="81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13">
        <v>5</v>
      </c>
      <c r="B10" s="81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13"/>
      <c r="B11" s="81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12">
        <v>8</v>
      </c>
      <c r="B14" s="81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12"/>
      <c r="B15" s="81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13">
        <v>11</v>
      </c>
      <c r="B18" s="81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13"/>
      <c r="B19" s="81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13"/>
      <c r="B20" s="81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13"/>
      <c r="B21" s="81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13">
        <v>13</v>
      </c>
      <c r="B23" s="81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13"/>
      <c r="B24" s="81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12">
        <v>14</v>
      </c>
      <c r="B25" s="81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12"/>
      <c r="B26" s="81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13">
        <v>15</v>
      </c>
      <c r="B27" s="81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13"/>
      <c r="B28" s="81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13"/>
      <c r="B29" s="81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13"/>
      <c r="B30" s="81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12">
        <v>16</v>
      </c>
      <c r="B31" s="81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12"/>
      <c r="B32" s="81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12"/>
      <c r="B33" s="81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12"/>
      <c r="B34" s="81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13">
        <v>17</v>
      </c>
      <c r="B35" s="81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13"/>
      <c r="B36" s="81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13">
        <v>21</v>
      </c>
      <c r="B40" s="81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13"/>
      <c r="B41" s="81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13">
        <v>23</v>
      </c>
      <c r="B43" s="81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13"/>
      <c r="B44" s="81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13"/>
      <c r="B45" s="81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12">
        <v>24</v>
      </c>
      <c r="B46" s="81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12"/>
      <c r="B47" s="81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13">
        <v>25</v>
      </c>
      <c r="B48" s="81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13"/>
      <c r="B49" s="81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13"/>
      <c r="B50" s="81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12">
        <v>26</v>
      </c>
      <c r="B51" s="81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12"/>
      <c r="B52" s="81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13">
        <v>29</v>
      </c>
      <c r="B55" s="81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13"/>
      <c r="B56" s="81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12">
        <v>32</v>
      </c>
      <c r="B59" s="81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12"/>
      <c r="B60" s="81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12">
        <v>34</v>
      </c>
      <c r="B62" s="81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12"/>
      <c r="B63" s="81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12"/>
      <c r="B64" s="81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12"/>
      <c r="B65" s="81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12"/>
      <c r="B66" s="81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13">
        <v>35</v>
      </c>
      <c r="B67" s="81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13"/>
      <c r="B68" s="81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99">
        <v>40</v>
      </c>
      <c r="B73" s="81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99"/>
      <c r="B74" s="81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00">
        <v>41</v>
      </c>
      <c r="B75" s="81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00"/>
      <c r="B76" s="81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00"/>
      <c r="B77" s="81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99">
        <v>42</v>
      </c>
      <c r="B78" s="81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99"/>
      <c r="B79" s="81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00">
        <v>49</v>
      </c>
      <c r="B86" s="81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00"/>
      <c r="B87" s="81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00"/>
      <c r="B88" s="81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99">
        <v>50</v>
      </c>
      <c r="B89" s="81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99"/>
      <c r="B90" s="81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00">
        <v>51</v>
      </c>
      <c r="B91" s="81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00"/>
      <c r="B92" s="81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00">
        <v>53</v>
      </c>
      <c r="B94" s="81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00"/>
      <c r="B95" s="81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99">
        <v>54</v>
      </c>
      <c r="B96" s="81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99"/>
      <c r="B97" s="81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99"/>
      <c r="B98" s="81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99">
        <v>58</v>
      </c>
      <c r="B102" s="81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99"/>
      <c r="B103" s="81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99">
        <v>60</v>
      </c>
      <c r="B105" s="81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99"/>
      <c r="B106" s="81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99"/>
      <c r="B107" s="81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00">
        <v>61</v>
      </c>
      <c r="B108" s="81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00"/>
      <c r="B109" s="81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00"/>
      <c r="B110" s="81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99">
        <v>64</v>
      </c>
      <c r="B113" s="81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99"/>
      <c r="B114" s="81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99">
        <v>66</v>
      </c>
      <c r="B116" s="81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99"/>
      <c r="B117" s="81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00">
        <v>67</v>
      </c>
      <c r="B118" s="81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00"/>
      <c r="B119" s="81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00"/>
      <c r="B120" s="81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99">
        <v>68</v>
      </c>
      <c r="B121" s="81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99"/>
      <c r="B122" s="81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00">
        <v>69</v>
      </c>
      <c r="B123" s="81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00"/>
      <c r="B124" s="81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99">
        <v>72</v>
      </c>
      <c r="B127" s="812" t="s">
        <v>65</v>
      </c>
      <c r="C127" s="119" t="s">
        <v>26</v>
      </c>
      <c r="D127" s="120">
        <v>3.3</v>
      </c>
      <c r="E127" s="121"/>
      <c r="F127" s="122" t="s">
        <v>30</v>
      </c>
      <c r="G127" s="81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99"/>
      <c r="B128" s="812"/>
      <c r="C128" s="103" t="s">
        <v>26</v>
      </c>
      <c r="D128" s="88">
        <v>12.9</v>
      </c>
      <c r="E128" s="106"/>
      <c r="F128" s="107" t="s">
        <v>16</v>
      </c>
      <c r="G128" s="81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99">
        <v>76</v>
      </c>
      <c r="B132" s="81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99"/>
      <c r="B133" s="81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99"/>
      <c r="B134" s="81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99"/>
      <c r="B135" s="81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99">
        <v>78</v>
      </c>
      <c r="B137" s="81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99"/>
      <c r="B138" s="81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1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1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9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9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9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0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0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9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9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0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0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0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0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0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0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0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0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9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9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9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9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9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9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0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0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0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0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9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9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9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9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9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9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9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9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9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0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0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9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9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0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0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9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9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0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0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0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0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0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9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9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0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0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0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9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9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0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0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9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9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0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0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9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9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9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0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0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9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1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9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1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9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9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0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0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0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0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9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9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9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9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9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9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0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0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9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9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9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9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0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0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9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9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9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9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9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0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0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9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9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0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0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9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19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9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19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0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0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9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1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9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1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9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9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9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9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9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9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9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9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0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0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9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9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0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0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9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9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9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9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0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0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0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0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0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0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0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0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9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9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0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0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0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0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0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0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0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0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0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0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0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0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0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0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0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0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0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0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9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9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0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0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9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9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9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9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0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0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0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0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0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0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9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9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0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0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0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0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0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0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0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9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9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9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9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9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9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9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9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9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9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9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9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0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0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9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9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0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0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0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0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0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0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0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0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9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9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0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0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0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9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9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0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0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0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0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0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0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9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9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9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9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9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9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20" t="s">
        <v>133</v>
      </c>
      <c r="J420" s="820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0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0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9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9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0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0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9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9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9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9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0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0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0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0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0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9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9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9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0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0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9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9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0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0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9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0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9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0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0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0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9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9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9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9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9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9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2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2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2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9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9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0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0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9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9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9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9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9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9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9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9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0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0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0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0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9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9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9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0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0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0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0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0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0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9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9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0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22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0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22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9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22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9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22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9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22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9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9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9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9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9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9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0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0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0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9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9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9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0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0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0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0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0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9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9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9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0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0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0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0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0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0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9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9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9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0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0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0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0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9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9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9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0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0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0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9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0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9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0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9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9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9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9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9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0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0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0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0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9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9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9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0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0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0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9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9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9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9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9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9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0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0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0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0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0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0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0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0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9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9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9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0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0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0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0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0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0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9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9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9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9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9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9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9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9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9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9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9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9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0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0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0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9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9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9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0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0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0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0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0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9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9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0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0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0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9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9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9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9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0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0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0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0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0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0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9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9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9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0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0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0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0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0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0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23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0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23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0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9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9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9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0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0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0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9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9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0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0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0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0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0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0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9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9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0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0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9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9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9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9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9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9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9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9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9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0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0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0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0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1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1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1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0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0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0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1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1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0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0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0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1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1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9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9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9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0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0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0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9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9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9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9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9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9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9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9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0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0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0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0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0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0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0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9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24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9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24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9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9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9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9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9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0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0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0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0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0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0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0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9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9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9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9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0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0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0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0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0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0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0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0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0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0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9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9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9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0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0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0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0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0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0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0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0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0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0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0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0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0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0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0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0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0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0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9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9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0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0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9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9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9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9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0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0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0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0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0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0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0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9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9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9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9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0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0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9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0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9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0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0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0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0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0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0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0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0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0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0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0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0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0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0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9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9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9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0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0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0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9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9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0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0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0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0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9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9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9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0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0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0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0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0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0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0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0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0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9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9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9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9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9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9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9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9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9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9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0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0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0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9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9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9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9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9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0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0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9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9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9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0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0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0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9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9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9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9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9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9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9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0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0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9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9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9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0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0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0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9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9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0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0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9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9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0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0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9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9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0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0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0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0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9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0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9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0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0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0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0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0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0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9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9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0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0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0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0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0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0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0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0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9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9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9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9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9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9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0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0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9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9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0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0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9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9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9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9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9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0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0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0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0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0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9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9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9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0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0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0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9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9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9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0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0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0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0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9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9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9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0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0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9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9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9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0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0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0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0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0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9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9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2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2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9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9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0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0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9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9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9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9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9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9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9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0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0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9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9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0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0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9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9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9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0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0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9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9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0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0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0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0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9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9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9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0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0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9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9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0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0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0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9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9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0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0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0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0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0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0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0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0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9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9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9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9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9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0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0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9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9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0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0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0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9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9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9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0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0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9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0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9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0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0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0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0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0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0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0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0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0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9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9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0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0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0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0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9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9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0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0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0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9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9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0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0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0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0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9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0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9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0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0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0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9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9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9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9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0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0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9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9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0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0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9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9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0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0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0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0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9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9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9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9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9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9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9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9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0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0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0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0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9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0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9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0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9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9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0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0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9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9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9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9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0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0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9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9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0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0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0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0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0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0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0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9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9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9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9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9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9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9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0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9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0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9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9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0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0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9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9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0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0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0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0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9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9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9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9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0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0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0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0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0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0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0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0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0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0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0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0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0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9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9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0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0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9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9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0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0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9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0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9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0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0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0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0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0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9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9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9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9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0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0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0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0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9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9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9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9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9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9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9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9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9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9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0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0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9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9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9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9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0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0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0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0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0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0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9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9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9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0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0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9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9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0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0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0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0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0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0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0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0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0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0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0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0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0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9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9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0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0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0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25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0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25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9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9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9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0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0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0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9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9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9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9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0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0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0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0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9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9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0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0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9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9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9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9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9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9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0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0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0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0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0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0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0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0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9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9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0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0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9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9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0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0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0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0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9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9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0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0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0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0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0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0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0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0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9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9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0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0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0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0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0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0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0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0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0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0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0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0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0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0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9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9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0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0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0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0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0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9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9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9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9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9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9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9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9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0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0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9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9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9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0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0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0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0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0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0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0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0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9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9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0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0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0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0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0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0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0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0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0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9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9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0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0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9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0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9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0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0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0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9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9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9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0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0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0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0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0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0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0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0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9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9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0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0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9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9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9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0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0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0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0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0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0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0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9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9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9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9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9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0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0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9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9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9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9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9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0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0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9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9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9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0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0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9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9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0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0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9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9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9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9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9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9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0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0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0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0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0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0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0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0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9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9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0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0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9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9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9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0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9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0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9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9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9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0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0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0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0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0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0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0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0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0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0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0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9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9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9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9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0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0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0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0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0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9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9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0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0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0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0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9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9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9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9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9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9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9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9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0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0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0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9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0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9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0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9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9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9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9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9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0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0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0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0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0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0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0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9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9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9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9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9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0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0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9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9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9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0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0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0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0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0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0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9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9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9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9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9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9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9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0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0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9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9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9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9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0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0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9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9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0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0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9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9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0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0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0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0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0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0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9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9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0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0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0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9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9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0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0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0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0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9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0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9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0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0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0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0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0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0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0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0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0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9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9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9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9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9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9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9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9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9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9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0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0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0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0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0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0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9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9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0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0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0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0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0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0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0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9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9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9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0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0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0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0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0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0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0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0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0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0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0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0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0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0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9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9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0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0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0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0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9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9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0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0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9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9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9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0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0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0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0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0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0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0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0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0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0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0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0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9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9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0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0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0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0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0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0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9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9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9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9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0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0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0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0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9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9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9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0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0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0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0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0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0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9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0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9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0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0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0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0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0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9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9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9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9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0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0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9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9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9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9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9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9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9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0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0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0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9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9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9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9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9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9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9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9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9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0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0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9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9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9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9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0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0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9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9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9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2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2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9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9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9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9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0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0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0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0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0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0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9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9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0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0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9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9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9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0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0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0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0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0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0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0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0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0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9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9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0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0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9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9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9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0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0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0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0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9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0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9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0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0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0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9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9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9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9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9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9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0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0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9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9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9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0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0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9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9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9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9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0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0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0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9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9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0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0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9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9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0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0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9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9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9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9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9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9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9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9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0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0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0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0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9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9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0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0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9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9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9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9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0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0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9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9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9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9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9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9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9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0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0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2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27" t="s">
        <v>467</v>
      </c>
      <c r="H2160" s="414" t="s">
        <v>515</v>
      </c>
      <c r="I2160" s="415" t="s">
        <v>516</v>
      </c>
      <c r="J2160" s="828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2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27"/>
      <c r="H2161" s="421" t="s">
        <v>515</v>
      </c>
      <c r="I2161" s="422" t="s">
        <v>516</v>
      </c>
      <c r="J2161" s="828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2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27"/>
      <c r="H2162" s="429" t="s">
        <v>515</v>
      </c>
      <c r="I2162" s="430" t="s">
        <v>516</v>
      </c>
      <c r="J2162" s="828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2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27" t="s">
        <v>467</v>
      </c>
      <c r="H2165" s="414" t="s">
        <v>516</v>
      </c>
      <c r="I2165" s="415" t="s">
        <v>516</v>
      </c>
      <c r="J2165" s="828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2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27"/>
      <c r="H2166" s="429" t="s">
        <v>516</v>
      </c>
      <c r="I2166" s="430" t="s">
        <v>516</v>
      </c>
      <c r="J2166" s="828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0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0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0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9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9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0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0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9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9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9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9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0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0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0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0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0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0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0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9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0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9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0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0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29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0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29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9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19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9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19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0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0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0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0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9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9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0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0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9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9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9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9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9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0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0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0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9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9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9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0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0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9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9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9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9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9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9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0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0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0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0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9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9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0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0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0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9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9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9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9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9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9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0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0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0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0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0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0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0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9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9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9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9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9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9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9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0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0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0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0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0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9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9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9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9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9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2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2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9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9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9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0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0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9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9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9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9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9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9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9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0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0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0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0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0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0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0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0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08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0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0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0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0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0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0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0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9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9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0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0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0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9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9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9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9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9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0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0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0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0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0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0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0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0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0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0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0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0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0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0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0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9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9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9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9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0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0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0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0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0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9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9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9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9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9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9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0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0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9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9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2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2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9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9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9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9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9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9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9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0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0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0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0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0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9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9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0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0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9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9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2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2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9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9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9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9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9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9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9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0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0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0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9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9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0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0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0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0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0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2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2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2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9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9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9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0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0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9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9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9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9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9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9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0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9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0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9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0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2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2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2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2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0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0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9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9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2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2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9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0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9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0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9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9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0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0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9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9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0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0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0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0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0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0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3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3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9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9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0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0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0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0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0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0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0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0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9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9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9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0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0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9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9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2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2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9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9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9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9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3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2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3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9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9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9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0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9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0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0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0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0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0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0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0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9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9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0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0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9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9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9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0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0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0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0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0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0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0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9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9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9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0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9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0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9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9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9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9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2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2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2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9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9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0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0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0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0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0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9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9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0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0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0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0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0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0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0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0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3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3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9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9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9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9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0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0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9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9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9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9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9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9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0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0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2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2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2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2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2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2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9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9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0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0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0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0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0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0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9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9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9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0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0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9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9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9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9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0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0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0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0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9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0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9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0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9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0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2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2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2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2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9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9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0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0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9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9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0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0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0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0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0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9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9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9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0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0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9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9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2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2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2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2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2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9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9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0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0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0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0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9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9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2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2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9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9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9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9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0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0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0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0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0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0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0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0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3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0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3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0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0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0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0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0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0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9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9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0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0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0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2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2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0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0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9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9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9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0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0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0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9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9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9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9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08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0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0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0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0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0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0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9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0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9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0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0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0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0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0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9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9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2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2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9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9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9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0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0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0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0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2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2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2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0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0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0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0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0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0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0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0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0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0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0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0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0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0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0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0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9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9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9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2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2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9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9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9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9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2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2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9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9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08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0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0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0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0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0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0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0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0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9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9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9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0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0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0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0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9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9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0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0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0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2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2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2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0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0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0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0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0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0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0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0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9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9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9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9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9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0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0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0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0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0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0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0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0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0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0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0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9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9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0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0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0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9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9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0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0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0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0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0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0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9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9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0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0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9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0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9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0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9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0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9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0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2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2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2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2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2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9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9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9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0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9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0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9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0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0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0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0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0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0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0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0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9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9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0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0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9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9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9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0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0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0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0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0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9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0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9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0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2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2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9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9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0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0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9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9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0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0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0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0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0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0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0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0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0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0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0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0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0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0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9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9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9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9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9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0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0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0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0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0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0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0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9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9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0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0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0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0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9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9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9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9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0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0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0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0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9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9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9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9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0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0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0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0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0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9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9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0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0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0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0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0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0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0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0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9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9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0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0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9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9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9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0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0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0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9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9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0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0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9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9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9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9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0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0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0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9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9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9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9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9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0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0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0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0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0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9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9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2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2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9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9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0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0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9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9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3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2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3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2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3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2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3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2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3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2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3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9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9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9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9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0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0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9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9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2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2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2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2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9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9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9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0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0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0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9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9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0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0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9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9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2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2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2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0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0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9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9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0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0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0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0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0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0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0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0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0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0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9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9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9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9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2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2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2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9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9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9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9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9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0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0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9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9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0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0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0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0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2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2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9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9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0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0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0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0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0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0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0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0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0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0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0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0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0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2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2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2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0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0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0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0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0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0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0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0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0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0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0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0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0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2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2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2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9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9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0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0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9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9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2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2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2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2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2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2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2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2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9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9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0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0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9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9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0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0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9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9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9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0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0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9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9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9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9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0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0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0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0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2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2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2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2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2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2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0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0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9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9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9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9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0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0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0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0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0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0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0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0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9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9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9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9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9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9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9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9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2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2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0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0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0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0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0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0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0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0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0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9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9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3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2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3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2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3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9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9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9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9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0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0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9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9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9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0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0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0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0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08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0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0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0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0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0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0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9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0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9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0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0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0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2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2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0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0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9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9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9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9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9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0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0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0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08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0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0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0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0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0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0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0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0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9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0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9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0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0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0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9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9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9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9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0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0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9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9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9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9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9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0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0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9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0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9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0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9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9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9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97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9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9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79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97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79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97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79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97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93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3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9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3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9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9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3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3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9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79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79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79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93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9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9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9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3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9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3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93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3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9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79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79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79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79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79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93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0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3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3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9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3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93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0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3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3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9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79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79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3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9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79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93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9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9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3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93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9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9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9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79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79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79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79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79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93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3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9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9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3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3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9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9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3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3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9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3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93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3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9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9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9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3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93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3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9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79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3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93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9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3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93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9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9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9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9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9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9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3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93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0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3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3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9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3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93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3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9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79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79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3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9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9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3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3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93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9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3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9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3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93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0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3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3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9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79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79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79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79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79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9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3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93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3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93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0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3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3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9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79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3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93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9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3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9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79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3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93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9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9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9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93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3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9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79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3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9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79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79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79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93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9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93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9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9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9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9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9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9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3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9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9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79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97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3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3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9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79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3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9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9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3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9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79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79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9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9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3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3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93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9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9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3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9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3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9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3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93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3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93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9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9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9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9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9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3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9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79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3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93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3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9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3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93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3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9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9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3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3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93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9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9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79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3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93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3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9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3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93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3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9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3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9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79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98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9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9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9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9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9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9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3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9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3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93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9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9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3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9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79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79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79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79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3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9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3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93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9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9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3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93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9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9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9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9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9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9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3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9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9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3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3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93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9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3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9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9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9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3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93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9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3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9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9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9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97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3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3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93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0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3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3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9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3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93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3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9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9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9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9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9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9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93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3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9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3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93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9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3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9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9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9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3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93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3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9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9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3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3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9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3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93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9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3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93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3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9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9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93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9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93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9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9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9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9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9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3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9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79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93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0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3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3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9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79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79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79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79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79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3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93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9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9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9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9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79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3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9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3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93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3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9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79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3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9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3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84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4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4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9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79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79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79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79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3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93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3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9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79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3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93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3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9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3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9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3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93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9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9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9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79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9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93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9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9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9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9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96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9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79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93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0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9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03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9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79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79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79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79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93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9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9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9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9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79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9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93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9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9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79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79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93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0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9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3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9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03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93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9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93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9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9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9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79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9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93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9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9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9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9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9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9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93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9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9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9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79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79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9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93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9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9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79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79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9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9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9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93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9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9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9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9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93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9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9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9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9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9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9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93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9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9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9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9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93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9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9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9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9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79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9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9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9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93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9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93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9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9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9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79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79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79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9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9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79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93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9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93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9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93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9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9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79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9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93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9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9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9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9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79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9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9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9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9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96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93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9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9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93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9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9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9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79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79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9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9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9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93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0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9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3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9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3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9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03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9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79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9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9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9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93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9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9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9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9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93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9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9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93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0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9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03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9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9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93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9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9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93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9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9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9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93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9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9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9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93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9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9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9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9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9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79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9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9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9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79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97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79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97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9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96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93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9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9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9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9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9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93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9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9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9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9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93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0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9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03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93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9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93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9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9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9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9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9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9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79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93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9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9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9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9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9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79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9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93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9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9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9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79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9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93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9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9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93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9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9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9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9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9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9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9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79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79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9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9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0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9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03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9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79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9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93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9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9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79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79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79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93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9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9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9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93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9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9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9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9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9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9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9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9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9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9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9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9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9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9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79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79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9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9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9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9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79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79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9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93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9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93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9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9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79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9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93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9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9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93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9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9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93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9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9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9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9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9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79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79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9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93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0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9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3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9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9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93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9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9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9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93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9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9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9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9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79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9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93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9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9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9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93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9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9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9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79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9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93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9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9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9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9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79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93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9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9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9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79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9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9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9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9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9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93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9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9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9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93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9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9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79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9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93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9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9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93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9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9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9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9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93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9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9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9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9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9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97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9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96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93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9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9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93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9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93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9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9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79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9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9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9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93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9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9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79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79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9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9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9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9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9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9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96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93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9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93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9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93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9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9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79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79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9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93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9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9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9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9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9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9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79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9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93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9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9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9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9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93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9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9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9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9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93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9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9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9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93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9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9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9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9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93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9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9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9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93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9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9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9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9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9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93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9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9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9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9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9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9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96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9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79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9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93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9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9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9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79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9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93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9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93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9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9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79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93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9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9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9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93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0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9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3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9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3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9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03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93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9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9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93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0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9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03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9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9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9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9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9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93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9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9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9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9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9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96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9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9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93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9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93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9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9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9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9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9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79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97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93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9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93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9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9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9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93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9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9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9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9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96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9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79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9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93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9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9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93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0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9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03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9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9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9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79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9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9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93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9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9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9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9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9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93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9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9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9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93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0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9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3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9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03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9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9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9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9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9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96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93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9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9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79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79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9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93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0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9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03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9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9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93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9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9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9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93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9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9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9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9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96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93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9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9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9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9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9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9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9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96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93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9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9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9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9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9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93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9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9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9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79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79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9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93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9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9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9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93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9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9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9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9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96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93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9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93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9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9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9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9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9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97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93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9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93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9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9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9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79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9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9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9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9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9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93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9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9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9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9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9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9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96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9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9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93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0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9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03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9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79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79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93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9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9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9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93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9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9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9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9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96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93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9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9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9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93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0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9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03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9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9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93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9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9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9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9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93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9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9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93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0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9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03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9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79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93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9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9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9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9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9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79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9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93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9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9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93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0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9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03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93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0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9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03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9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79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9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79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9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93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9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9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9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9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93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9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93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0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9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03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93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9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9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9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9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93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0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9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03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9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9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93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9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9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9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9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79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97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79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97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93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0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9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03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79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79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79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79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79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79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9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79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93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9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9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9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79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4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79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79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79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93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9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9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79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9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93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9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9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9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9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9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93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0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9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3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9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03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9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9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93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0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9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03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93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9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9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9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93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9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9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9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79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9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9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95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79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97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79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97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79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97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93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9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9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95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9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96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9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9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93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9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9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9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95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9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96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93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9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9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79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79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9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93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9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9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95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9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96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93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9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9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93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9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9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79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79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93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9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93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9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9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9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93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9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93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9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9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79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79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9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93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9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9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9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9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93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9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9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9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9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95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9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97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93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9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9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9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9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95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9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96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9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9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9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95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9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96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9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79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9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93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9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9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9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93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02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9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03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93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9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9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9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79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79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9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93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9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9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9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79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9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95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9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96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93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9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9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79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79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93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9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9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79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9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93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9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9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9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93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9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9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9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9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9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93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9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9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9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9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93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9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93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02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9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3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9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79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79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93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9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9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79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79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9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93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9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9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9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9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9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9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93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9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9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9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79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79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9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93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9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9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9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9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79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9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95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79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97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79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97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79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97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79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97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93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9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93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9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9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9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93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9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9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9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9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9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93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9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9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9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79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9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9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79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9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93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9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93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02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9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03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93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02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9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3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9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3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9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3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9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9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93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9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9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9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9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9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93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9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93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9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9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9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792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79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93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9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92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97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9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97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93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9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9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95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9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96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93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9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9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95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79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97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93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9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9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9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93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9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9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9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93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9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9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95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9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96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9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9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93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9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9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9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93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9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9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79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9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93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9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93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9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93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9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9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9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9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9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9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93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9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9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93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9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9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9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79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9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93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9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9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9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79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93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02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9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03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9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79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9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9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9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93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9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9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9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9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95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9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96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9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9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93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9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9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9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93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02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9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03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93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9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9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9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9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9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79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9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9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79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93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02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9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03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93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02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9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3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9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3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9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3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9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03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9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79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9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93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9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9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9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9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9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95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9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96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9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9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9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79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9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9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9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9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9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93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9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9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9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9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93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9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9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79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9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79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79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9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93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9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90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79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9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93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9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90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9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93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02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9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03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93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9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90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9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90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9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90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79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79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9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90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9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93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9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90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9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93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0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9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03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90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9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44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45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580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856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85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85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793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79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856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85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54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85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55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856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85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793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79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840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79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3" t="s">
        <v>76</v>
      </c>
      <c r="H6579" s="567" t="s">
        <v>1489</v>
      </c>
      <c r="I6579" s="784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84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x14ac:dyDescent="0.25">
      <c r="A6581" s="84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79"/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x14ac:dyDescent="0.25">
      <c r="A6582" s="85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81"/>
      <c r="K6582" s="779"/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thickBot="1" x14ac:dyDescent="0.3">
      <c r="A6583" s="85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2"/>
      <c r="K6583" s="780"/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36"/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x14ac:dyDescent="0.25">
      <c r="A6585" s="85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79"/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thickBot="1" x14ac:dyDescent="0.3">
      <c r="A6586" s="85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5"/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/>
      <c r="F6587" s="508" t="s">
        <v>30</v>
      </c>
      <c r="G6587" s="509"/>
      <c r="H6587" s="508" t="s">
        <v>1489</v>
      </c>
      <c r="I6587" s="510"/>
      <c r="J6587" s="511"/>
      <c r="K6587" s="504"/>
      <c r="L6587" s="508" t="s">
        <v>28</v>
      </c>
      <c r="M6587" s="508">
        <v>9582</v>
      </c>
      <c r="N6587" s="512">
        <v>0.41666666666666669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4"/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x14ac:dyDescent="0.25">
      <c r="A6589" s="84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1"/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thickBot="1" x14ac:dyDescent="0.3">
      <c r="A6590" s="84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36"/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3"/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x14ac:dyDescent="0.25">
      <c r="A6592" s="79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1"/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thickBot="1" x14ac:dyDescent="0.3">
      <c r="A6593" s="79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36"/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4"/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x14ac:dyDescent="0.25">
      <c r="A6595" s="79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1"/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x14ac:dyDescent="0.25">
      <c r="A6596" s="79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3"/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x14ac:dyDescent="0.25">
      <c r="A6597" s="79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3"/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x14ac:dyDescent="0.25">
      <c r="A6598" s="79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3"/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thickBot="1" x14ac:dyDescent="0.3">
      <c r="A6599" s="79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0"/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4"/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x14ac:dyDescent="0.25">
      <c r="A6601" s="793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1"/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thickBot="1" x14ac:dyDescent="0.3">
      <c r="A6602" s="79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36"/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4"/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x14ac:dyDescent="0.25">
      <c r="A6604" s="793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46" t="s">
        <v>1508</v>
      </c>
      <c r="H6604" s="535" t="s">
        <v>1505</v>
      </c>
      <c r="I6604" s="537" t="s">
        <v>1505</v>
      </c>
      <c r="J6604" s="538"/>
      <c r="K6604" s="531"/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thickBot="1" x14ac:dyDescent="0.3">
      <c r="A6605" s="79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47"/>
      <c r="H6605" s="640" t="s">
        <v>1505</v>
      </c>
      <c r="I6605" s="642" t="s">
        <v>1505</v>
      </c>
      <c r="J6605" s="643"/>
      <c r="K6605" s="636"/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4"/>
      <c r="L6606" s="518" t="s">
        <v>28</v>
      </c>
      <c r="M6606" s="518">
        <v>15167.900000000001</v>
      </c>
      <c r="N6606" s="522">
        <v>0.45833333333333331</v>
      </c>
      <c r="O6606" s="758" t="s">
        <v>1545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4"/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x14ac:dyDescent="0.25">
      <c r="A6608" s="790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79"/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thickBot="1" x14ac:dyDescent="0.3">
      <c r="A6609" s="79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5"/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/>
      <c r="F6610" s="508" t="s">
        <v>30</v>
      </c>
      <c r="G6610" s="509" t="s">
        <v>1509</v>
      </c>
      <c r="H6610" s="508" t="s">
        <v>1505</v>
      </c>
      <c r="I6610" s="510"/>
      <c r="J6610" s="511"/>
      <c r="K6610" s="504"/>
      <c r="L6610" s="508" t="s">
        <v>28</v>
      </c>
      <c r="M6610" s="508">
        <v>9574.08</v>
      </c>
      <c r="N6610" s="512">
        <v>0.45833333333333331</v>
      </c>
    </row>
    <row r="6611" spans="1:15" x14ac:dyDescent="0.25">
      <c r="A6611" s="790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/>
      <c r="F6611" s="483" t="s">
        <v>30</v>
      </c>
      <c r="G6611" s="549"/>
      <c r="H6611" s="483" t="s">
        <v>1505</v>
      </c>
      <c r="I6611" s="484"/>
      <c r="J6611" s="485"/>
      <c r="K6611" s="479"/>
      <c r="L6611" s="483" t="s">
        <v>28</v>
      </c>
      <c r="M6611" s="483">
        <v>6432.12</v>
      </c>
      <c r="N6611" s="486">
        <v>0.5</v>
      </c>
    </row>
    <row r="6612" spans="1:15" ht="19.5" thickBot="1" x14ac:dyDescent="0.3">
      <c r="A6612" s="791"/>
      <c r="B6612" s="645" t="s">
        <v>1489</v>
      </c>
      <c r="C6612" s="646" t="s">
        <v>15</v>
      </c>
      <c r="D6612" s="647">
        <v>5.3209999999999997</v>
      </c>
      <c r="E6612" s="648"/>
      <c r="F6612" s="649" t="s">
        <v>30</v>
      </c>
      <c r="G6612" s="650"/>
      <c r="H6612" s="649" t="s">
        <v>1505</v>
      </c>
      <c r="I6612" s="651"/>
      <c r="J6612" s="652"/>
      <c r="K6612" s="645"/>
      <c r="L6612" s="649" t="s">
        <v>28</v>
      </c>
      <c r="M6612" s="649">
        <v>5321.36</v>
      </c>
      <c r="N6612" s="653">
        <v>0.5</v>
      </c>
    </row>
    <row r="6613" spans="1:15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/>
      <c r="F6613" s="508" t="s">
        <v>16</v>
      </c>
      <c r="G6613" s="509"/>
      <c r="H6613" s="508" t="s">
        <v>1505</v>
      </c>
      <c r="I6613" s="510"/>
      <c r="J6613" s="511"/>
      <c r="K6613" s="504"/>
      <c r="L6613" s="508" t="s">
        <v>266</v>
      </c>
      <c r="M6613" s="508">
        <v>13113.15</v>
      </c>
      <c r="N6613" s="512">
        <v>0.54166666666666663</v>
      </c>
    </row>
    <row r="6614" spans="1:15" x14ac:dyDescent="0.25">
      <c r="A6614" s="790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79"/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x14ac:dyDescent="0.25">
      <c r="A6615" s="79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3"/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thickBot="1" x14ac:dyDescent="0.3">
      <c r="A6616" s="79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5"/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x14ac:dyDescent="0.25">
      <c r="A6617" s="793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1"/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thickBot="1" x14ac:dyDescent="0.3">
      <c r="A6618" s="79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36"/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/>
      <c r="F6619" s="518" t="s">
        <v>16</v>
      </c>
      <c r="G6619" s="519"/>
      <c r="H6619" s="518" t="s">
        <v>1506</v>
      </c>
      <c r="I6619" s="520"/>
      <c r="J6619" s="521"/>
      <c r="K6619" s="514"/>
      <c r="L6619" s="518" t="s">
        <v>28</v>
      </c>
      <c r="M6619" s="518">
        <v>17449.439999999999</v>
      </c>
      <c r="N6619" s="522">
        <v>0.45833333333333331</v>
      </c>
    </row>
    <row r="6620" spans="1:15" ht="19.5" thickBot="1" x14ac:dyDescent="0.3">
      <c r="A6620" s="786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787"/>
      <c r="H6620" s="556" t="s">
        <v>1506</v>
      </c>
      <c r="I6620" s="558" t="s">
        <v>1506</v>
      </c>
      <c r="J6620" s="559"/>
      <c r="K6620" s="552"/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/>
      <c r="F6621" s="518" t="s">
        <v>16</v>
      </c>
      <c r="G6621" s="519"/>
      <c r="H6621" s="518" t="s">
        <v>1550</v>
      </c>
      <c r="I6621" s="520"/>
      <c r="J6621" s="521"/>
      <c r="K6621" s="514"/>
      <c r="L6621" s="518" t="s">
        <v>266</v>
      </c>
      <c r="M6621" s="518">
        <v>18183.899999999998</v>
      </c>
      <c r="N6621" s="522">
        <v>0.41666666666666669</v>
      </c>
    </row>
    <row r="6622" spans="1:15" ht="19.5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/>
      <c r="F6622" s="508" t="s">
        <v>16</v>
      </c>
      <c r="G6622" s="509"/>
      <c r="H6622" s="508" t="s">
        <v>1550</v>
      </c>
      <c r="I6622" s="510"/>
      <c r="J6622" s="511"/>
      <c r="K6622" s="504"/>
      <c r="L6622" s="508" t="s">
        <v>266</v>
      </c>
      <c r="M6622" s="508">
        <v>18086.3</v>
      </c>
      <c r="N6622" s="512">
        <v>0.45833333333333331</v>
      </c>
    </row>
    <row r="6623" spans="1:15" ht="19.5" thickBot="1" x14ac:dyDescent="0.3">
      <c r="A6623" s="789">
        <f t="shared" ref="A6623:A6646" si="199">MAX(A6609:A6622)+1</f>
        <v>4168</v>
      </c>
      <c r="B6623" s="573" t="s">
        <v>1506</v>
      </c>
      <c r="C6623" s="574" t="s">
        <v>848</v>
      </c>
      <c r="D6623" s="575">
        <v>18.07</v>
      </c>
      <c r="E6623" s="576"/>
      <c r="F6623" s="577" t="s">
        <v>16</v>
      </c>
      <c r="G6623" s="578"/>
      <c r="H6623" s="577" t="s">
        <v>1550</v>
      </c>
      <c r="I6623" s="579"/>
      <c r="J6623" s="580"/>
      <c r="K6623" s="573"/>
      <c r="L6623" s="577" t="s">
        <v>266</v>
      </c>
      <c r="M6623" s="577">
        <v>18202.02</v>
      </c>
      <c r="N6623" s="581">
        <v>0.5</v>
      </c>
    </row>
    <row r="6624" spans="1:15" x14ac:dyDescent="0.25">
      <c r="A6624" s="793">
        <f t="shared" si="199"/>
        <v>4169</v>
      </c>
      <c r="B6624" s="531" t="s">
        <v>1554</v>
      </c>
      <c r="C6624" s="532" t="s">
        <v>26</v>
      </c>
      <c r="D6624" s="533">
        <v>15.278</v>
      </c>
      <c r="E6624" s="534"/>
      <c r="F6624" s="535" t="s">
        <v>16</v>
      </c>
      <c r="G6624" s="536"/>
      <c r="H6624" s="535" t="s">
        <v>1555</v>
      </c>
      <c r="I6624" s="537"/>
      <c r="J6624" s="538"/>
      <c r="K6624" s="531"/>
      <c r="L6624" s="535" t="s">
        <v>265</v>
      </c>
      <c r="M6624" s="535">
        <v>15440.420000000002</v>
      </c>
      <c r="N6624" s="539">
        <v>0.375</v>
      </c>
    </row>
    <row r="6625" spans="1:14" ht="19.5" thickBot="1" x14ac:dyDescent="0.3">
      <c r="A6625" s="794"/>
      <c r="B6625" s="636" t="s">
        <v>1554</v>
      </c>
      <c r="C6625" s="637" t="s">
        <v>496</v>
      </c>
      <c r="D6625" s="638">
        <v>2.1240000000000001</v>
      </c>
      <c r="E6625" s="639"/>
      <c r="F6625" s="640" t="s">
        <v>16</v>
      </c>
      <c r="G6625" s="788"/>
      <c r="H6625" s="640" t="s">
        <v>1555</v>
      </c>
      <c r="I6625" s="642"/>
      <c r="J6625" s="643"/>
      <c r="K6625" s="636"/>
      <c r="L6625" s="640" t="s">
        <v>265</v>
      </c>
      <c r="M6625" s="640">
        <v>2124.6000000000004</v>
      </c>
      <c r="N6625" s="644">
        <v>0.375</v>
      </c>
    </row>
    <row r="6626" spans="1:14" ht="19.5" thickBot="1" x14ac:dyDescent="0.3">
      <c r="A6626" s="513">
        <f t="shared" si="199"/>
        <v>4170</v>
      </c>
      <c r="B6626" s="514" t="s">
        <v>1554</v>
      </c>
      <c r="C6626" s="515" t="s">
        <v>26</v>
      </c>
      <c r="D6626" s="516">
        <v>17.41</v>
      </c>
      <c r="E6626" s="517"/>
      <c r="F6626" s="518" t="s">
        <v>16</v>
      </c>
      <c r="G6626" s="519"/>
      <c r="H6626" s="518" t="s">
        <v>1555</v>
      </c>
      <c r="I6626" s="520"/>
      <c r="J6626" s="521"/>
      <c r="K6626" s="514"/>
      <c r="L6626" s="518" t="s">
        <v>265</v>
      </c>
      <c r="M6626" s="518">
        <v>17622.960000000003</v>
      </c>
      <c r="N6626" s="522">
        <v>0.41666666666666669</v>
      </c>
    </row>
    <row r="6627" spans="1:14" ht="19.5" thickBot="1" x14ac:dyDescent="0.3">
      <c r="A6627" s="503">
        <f t="shared" si="199"/>
        <v>4171</v>
      </c>
      <c r="B6627" s="504" t="s">
        <v>1554</v>
      </c>
      <c r="C6627" s="505" t="s">
        <v>26</v>
      </c>
      <c r="D6627" s="506">
        <v>17.466999999999999</v>
      </c>
      <c r="E6627" s="507"/>
      <c r="F6627" s="508" t="s">
        <v>16</v>
      </c>
      <c r="G6627" s="509"/>
      <c r="H6627" s="508" t="s">
        <v>1556</v>
      </c>
      <c r="I6627" s="510"/>
      <c r="J6627" s="511"/>
      <c r="K6627" s="504"/>
      <c r="L6627" s="508" t="s">
        <v>265</v>
      </c>
      <c r="M6627" s="508">
        <v>17661.32</v>
      </c>
      <c r="N6627" s="512">
        <v>0.375</v>
      </c>
    </row>
    <row r="6628" spans="1:14" ht="19.5" thickBot="1" x14ac:dyDescent="0.3">
      <c r="A6628" s="513">
        <f t="shared" si="199"/>
        <v>4172</v>
      </c>
      <c r="B6628" s="514" t="s">
        <v>1554</v>
      </c>
      <c r="C6628" s="515" t="s">
        <v>26</v>
      </c>
      <c r="D6628" s="516">
        <v>11.744</v>
      </c>
      <c r="E6628" s="517"/>
      <c r="F6628" s="518" t="s">
        <v>30</v>
      </c>
      <c r="G6628" s="519"/>
      <c r="H6628" s="518" t="s">
        <v>1555</v>
      </c>
      <c r="I6628" s="520"/>
      <c r="J6628" s="521"/>
      <c r="K6628" s="514"/>
      <c r="L6628" s="518" t="s">
        <v>265</v>
      </c>
      <c r="M6628" s="518">
        <v>11744.88</v>
      </c>
      <c r="N6628" s="522">
        <v>0.375</v>
      </c>
    </row>
    <row r="6629" spans="1:14" x14ac:dyDescent="0.25">
      <c r="A6629" s="793">
        <f t="shared" si="199"/>
        <v>4173</v>
      </c>
      <c r="B6629" s="531" t="s">
        <v>1554</v>
      </c>
      <c r="C6629" s="532" t="s">
        <v>23</v>
      </c>
      <c r="D6629" s="533">
        <v>10.882</v>
      </c>
      <c r="E6629" s="534"/>
      <c r="F6629" s="535" t="s">
        <v>16</v>
      </c>
      <c r="G6629" s="536"/>
      <c r="H6629" s="535" t="s">
        <v>1556</v>
      </c>
      <c r="I6629" s="537"/>
      <c r="J6629" s="538"/>
      <c r="K6629" s="531"/>
      <c r="L6629" s="535" t="s">
        <v>28</v>
      </c>
      <c r="M6629" s="535">
        <v>10995.000000000002</v>
      </c>
      <c r="N6629" s="539">
        <v>0.41666666666666669</v>
      </c>
    </row>
    <row r="6630" spans="1:14" x14ac:dyDescent="0.25">
      <c r="A6630" s="798"/>
      <c r="B6630" s="563" t="s">
        <v>1554</v>
      </c>
      <c r="C6630" s="564" t="s">
        <v>1382</v>
      </c>
      <c r="D6630" s="565">
        <v>3.9</v>
      </c>
      <c r="E6630" s="566"/>
      <c r="F6630" s="567" t="s">
        <v>16</v>
      </c>
      <c r="G6630" s="568"/>
      <c r="H6630" s="567" t="s">
        <v>1556</v>
      </c>
      <c r="I6630" s="569"/>
      <c r="J6630" s="570"/>
      <c r="K6630" s="563"/>
      <c r="L6630" s="567" t="s">
        <v>266</v>
      </c>
      <c r="M6630" s="567">
        <v>3910.5600000000004</v>
      </c>
      <c r="N6630" s="571">
        <v>0.41666666666666669</v>
      </c>
    </row>
    <row r="6631" spans="1:14" ht="19.5" thickBot="1" x14ac:dyDescent="0.3">
      <c r="A6631" s="794"/>
      <c r="B6631" s="636" t="s">
        <v>1554</v>
      </c>
      <c r="C6631" s="637" t="s">
        <v>913</v>
      </c>
      <c r="D6631" s="638">
        <v>2.4889999999999999</v>
      </c>
      <c r="E6631" s="639"/>
      <c r="F6631" s="640" t="s">
        <v>16</v>
      </c>
      <c r="G6631" s="788"/>
      <c r="H6631" s="640" t="s">
        <v>1556</v>
      </c>
      <c r="I6631" s="642"/>
      <c r="J6631" s="643"/>
      <c r="K6631" s="636"/>
      <c r="L6631" s="640" t="s">
        <v>266</v>
      </c>
      <c r="M6631" s="640">
        <v>2502.3599999999997</v>
      </c>
      <c r="N6631" s="644">
        <v>0.41666666666666669</v>
      </c>
    </row>
    <row r="6632" spans="1:14" x14ac:dyDescent="0.25">
      <c r="A6632" s="790">
        <f t="shared" si="199"/>
        <v>4174</v>
      </c>
      <c r="B6632" s="479" t="s">
        <v>1554</v>
      </c>
      <c r="C6632" s="480" t="s">
        <v>47</v>
      </c>
      <c r="D6632" s="481">
        <v>8.5980000000000008</v>
      </c>
      <c r="E6632" s="482"/>
      <c r="F6632" s="483" t="s">
        <v>16</v>
      </c>
      <c r="G6632" s="549"/>
      <c r="H6632" s="483" t="s">
        <v>1556</v>
      </c>
      <c r="I6632" s="484"/>
      <c r="J6632" s="485"/>
      <c r="K6632" s="479"/>
      <c r="L6632" s="483" t="s">
        <v>28</v>
      </c>
      <c r="M6632" s="483">
        <v>8779.58</v>
      </c>
      <c r="N6632" s="486">
        <v>0.45833333333333331</v>
      </c>
    </row>
    <row r="6633" spans="1:14" ht="56.25" x14ac:dyDescent="0.25">
      <c r="A6633" s="792"/>
      <c r="B6633" s="523" t="s">
        <v>1554</v>
      </c>
      <c r="C6633" s="524" t="s">
        <v>587</v>
      </c>
      <c r="D6633" s="525">
        <v>1.4650000000000001</v>
      </c>
      <c r="E6633" s="526"/>
      <c r="F6633" s="527" t="s">
        <v>16</v>
      </c>
      <c r="G6633" s="561" t="s">
        <v>794</v>
      </c>
      <c r="H6633" s="527" t="s">
        <v>1556</v>
      </c>
      <c r="I6633" s="528"/>
      <c r="J6633" s="529"/>
      <c r="K6633" s="523"/>
      <c r="L6633" s="527" t="s">
        <v>28</v>
      </c>
      <c r="M6633" s="527">
        <v>1465.92</v>
      </c>
      <c r="N6633" s="530">
        <v>0.45833333333333331</v>
      </c>
    </row>
    <row r="6634" spans="1:14" ht="19.5" thickBot="1" x14ac:dyDescent="0.3">
      <c r="A6634" s="791"/>
      <c r="B6634" s="645" t="s">
        <v>1554</v>
      </c>
      <c r="C6634" s="646" t="s">
        <v>587</v>
      </c>
      <c r="D6634" s="647">
        <v>7.1139999999999999</v>
      </c>
      <c r="E6634" s="648"/>
      <c r="F6634" s="649" t="s">
        <v>16</v>
      </c>
      <c r="G6634" s="650" t="s">
        <v>47</v>
      </c>
      <c r="H6634" s="649" t="s">
        <v>1556</v>
      </c>
      <c r="I6634" s="651"/>
      <c r="J6634" s="652"/>
      <c r="K6634" s="645"/>
      <c r="L6634" s="649" t="s">
        <v>28</v>
      </c>
      <c r="M6634" s="649">
        <v>7114.8400000000011</v>
      </c>
      <c r="N6634" s="653">
        <v>0.45833333333333331</v>
      </c>
    </row>
    <row r="6635" spans="1:14" x14ac:dyDescent="0.25">
      <c r="A6635" s="793">
        <f t="shared" si="199"/>
        <v>4175</v>
      </c>
      <c r="B6635" s="531" t="s">
        <v>1554</v>
      </c>
      <c r="C6635" s="532" t="s">
        <v>47</v>
      </c>
      <c r="D6635" s="533">
        <v>5.3230000000000004</v>
      </c>
      <c r="E6635" s="534"/>
      <c r="F6635" s="535" t="s">
        <v>16</v>
      </c>
      <c r="G6635" s="536"/>
      <c r="H6635" s="535" t="s">
        <v>1556</v>
      </c>
      <c r="I6635" s="537"/>
      <c r="J6635" s="538"/>
      <c r="K6635" s="531"/>
      <c r="L6635" s="535" t="s">
        <v>28</v>
      </c>
      <c r="M6635" s="535">
        <v>5368.14</v>
      </c>
      <c r="N6635" s="539">
        <v>0.5</v>
      </c>
    </row>
    <row r="6636" spans="1:14" x14ac:dyDescent="0.25">
      <c r="A6636" s="798"/>
      <c r="B6636" s="563" t="s">
        <v>1554</v>
      </c>
      <c r="C6636" s="564" t="s">
        <v>32</v>
      </c>
      <c r="D6636" s="565">
        <v>6.2670000000000003</v>
      </c>
      <c r="E6636" s="566"/>
      <c r="F6636" s="567" t="s">
        <v>16</v>
      </c>
      <c r="G6636" s="568"/>
      <c r="H6636" s="567" t="s">
        <v>1556</v>
      </c>
      <c r="I6636" s="569"/>
      <c r="J6636" s="570"/>
      <c r="K6636" s="563"/>
      <c r="L6636" s="567" t="s">
        <v>266</v>
      </c>
      <c r="M6636" s="567">
        <v>6267.4000000000005</v>
      </c>
      <c r="N6636" s="571">
        <v>0.5</v>
      </c>
    </row>
    <row r="6637" spans="1:14" ht="19.5" thickBot="1" x14ac:dyDescent="0.3">
      <c r="A6637" s="794"/>
      <c r="B6637" s="636" t="s">
        <v>1554</v>
      </c>
      <c r="C6637" s="637" t="s">
        <v>981</v>
      </c>
      <c r="D6637" s="638">
        <v>5.5579999999999998</v>
      </c>
      <c r="E6637" s="639"/>
      <c r="F6637" s="640" t="s">
        <v>16</v>
      </c>
      <c r="G6637" s="788"/>
      <c r="H6637" s="640" t="s">
        <v>1556</v>
      </c>
      <c r="I6637" s="642"/>
      <c r="J6637" s="643"/>
      <c r="K6637" s="636"/>
      <c r="L6637" s="640" t="s">
        <v>266</v>
      </c>
      <c r="M6637" s="640">
        <v>5560.8499999999995</v>
      </c>
      <c r="N6637" s="644">
        <v>0.5</v>
      </c>
    </row>
    <row r="6638" spans="1:14" x14ac:dyDescent="0.25">
      <c r="A6638" s="676">
        <f t="shared" si="199"/>
        <v>4176</v>
      </c>
      <c r="B6638" s="676"/>
      <c r="C6638" s="473"/>
      <c r="D6638" s="474"/>
      <c r="E6638" s="475"/>
      <c r="F6638" s="676"/>
      <c r="G6638" s="476"/>
      <c r="H6638" s="676"/>
      <c r="I6638" s="477"/>
      <c r="J6638" s="785"/>
      <c r="K6638" s="676"/>
      <c r="L6638" s="676"/>
      <c r="M6638" s="676"/>
      <c r="N6638" s="676"/>
    </row>
    <row r="6639" spans="1:14" x14ac:dyDescent="0.25">
      <c r="A6639" s="676">
        <f t="shared" si="199"/>
        <v>4177</v>
      </c>
      <c r="B6639" s="676"/>
      <c r="C6639" s="473"/>
      <c r="D6639" s="474"/>
      <c r="E6639" s="475"/>
      <c r="F6639" s="676"/>
      <c r="G6639" s="476"/>
      <c r="H6639" s="676"/>
      <c r="I6639" s="477"/>
      <c r="J6639" s="785"/>
      <c r="K6639" s="676"/>
      <c r="L6639" s="676"/>
      <c r="M6639" s="676"/>
      <c r="N6639" s="676"/>
    </row>
    <row r="6640" spans="1:14" x14ac:dyDescent="0.25">
      <c r="A6640" s="676">
        <f t="shared" si="199"/>
        <v>4178</v>
      </c>
      <c r="B6640" s="676"/>
      <c r="C6640" s="473"/>
      <c r="D6640" s="474"/>
      <c r="E6640" s="475"/>
      <c r="F6640" s="676"/>
      <c r="G6640" s="476"/>
      <c r="H6640" s="676"/>
      <c r="I6640" s="477"/>
      <c r="J6640" s="785"/>
      <c r="K6640" s="676"/>
      <c r="L6640" s="676"/>
      <c r="M6640" s="676"/>
      <c r="N6640" s="676"/>
    </row>
    <row r="6641" spans="1:14" x14ac:dyDescent="0.25">
      <c r="A6641" s="676">
        <f t="shared" si="199"/>
        <v>4179</v>
      </c>
      <c r="B6641" s="676"/>
      <c r="C6641" s="473"/>
      <c r="D6641" s="474"/>
      <c r="E6641" s="475"/>
      <c r="F6641" s="676"/>
      <c r="G6641" s="476"/>
      <c r="H6641" s="676"/>
      <c r="I6641" s="477"/>
      <c r="J6641" s="785"/>
      <c r="K6641" s="676"/>
      <c r="L6641" s="676"/>
      <c r="M6641" s="676"/>
      <c r="N6641" s="676"/>
    </row>
    <row r="6642" spans="1:14" x14ac:dyDescent="0.25">
      <c r="A6642" s="676">
        <f t="shared" si="199"/>
        <v>4180</v>
      </c>
      <c r="B6642" s="676"/>
      <c r="C6642" s="473"/>
      <c r="D6642" s="474"/>
      <c r="E6642" s="475"/>
      <c r="F6642" s="676"/>
      <c r="G6642" s="476"/>
      <c r="H6642" s="676"/>
      <c r="I6642" s="477"/>
      <c r="J6642" s="785"/>
      <c r="K6642" s="676"/>
      <c r="L6642" s="676"/>
      <c r="M6642" s="676"/>
      <c r="N6642" s="676"/>
    </row>
    <row r="6643" spans="1:14" x14ac:dyDescent="0.25">
      <c r="A6643" s="676">
        <f t="shared" si="199"/>
        <v>4181</v>
      </c>
      <c r="B6643" s="676"/>
      <c r="C6643" s="473"/>
      <c r="D6643" s="474"/>
      <c r="E6643" s="475"/>
      <c r="F6643" s="676"/>
      <c r="G6643" s="476"/>
      <c r="H6643" s="676"/>
      <c r="I6643" s="477"/>
      <c r="J6643" s="785"/>
      <c r="K6643" s="676"/>
      <c r="L6643" s="676"/>
      <c r="M6643" s="676"/>
      <c r="N6643" s="676"/>
    </row>
    <row r="6644" spans="1:14" x14ac:dyDescent="0.25">
      <c r="A6644" s="676">
        <f t="shared" si="199"/>
        <v>4182</v>
      </c>
      <c r="B6644" s="676"/>
      <c r="C6644" s="473"/>
      <c r="D6644" s="474"/>
      <c r="E6644" s="475"/>
      <c r="F6644" s="676"/>
      <c r="G6644" s="476"/>
      <c r="H6644" s="676"/>
      <c r="I6644" s="477"/>
      <c r="J6644" s="785"/>
      <c r="K6644" s="676"/>
      <c r="L6644" s="676"/>
      <c r="M6644" s="676"/>
      <c r="N6644" s="676"/>
    </row>
    <row r="6645" spans="1:14" x14ac:dyDescent="0.25">
      <c r="A6645" s="676">
        <f t="shared" si="199"/>
        <v>4183</v>
      </c>
      <c r="B6645" s="676"/>
      <c r="C6645" s="473"/>
      <c r="D6645" s="474"/>
      <c r="E6645" s="475"/>
      <c r="F6645" s="676"/>
      <c r="G6645" s="476"/>
      <c r="H6645" s="676"/>
      <c r="I6645" s="477"/>
      <c r="J6645" s="785"/>
      <c r="K6645" s="676"/>
      <c r="L6645" s="676"/>
      <c r="M6645" s="676"/>
      <c r="N6645" s="676"/>
    </row>
    <row r="6646" spans="1:14" x14ac:dyDescent="0.25">
      <c r="A6646" s="676">
        <f t="shared" si="199"/>
        <v>4184</v>
      </c>
      <c r="B6646" s="676"/>
      <c r="C6646" s="473"/>
      <c r="D6646" s="474"/>
      <c r="E6646" s="475"/>
      <c r="F6646" s="676"/>
      <c r="G6646" s="476"/>
      <c r="H6646" s="676"/>
      <c r="I6646" s="477"/>
      <c r="J6646" s="785"/>
      <c r="K6646" s="676"/>
      <c r="L6646" s="676"/>
      <c r="M6646" s="676"/>
      <c r="N6646" s="676"/>
    </row>
  </sheetData>
  <autoFilter ref="A2:N6623" xr:uid="{00000000-0009-0000-0000-000000000000}">
    <filterColumn colId="10">
      <filters blank="1"/>
    </filterColumn>
  </autoFilter>
  <mergeCells count="1710"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6611:A6612"/>
    <mergeCell ref="A6614:A6616"/>
    <mergeCell ref="A6617:A6618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2026-07-08T11:30:29Z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