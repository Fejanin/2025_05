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A006B62D-C938-4A2B-A2F7-E9414CD63A34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Лист1!$A$2:$N$5568</definedName>
    <definedName name="_xlnm.Print_Area" localSheetId="0">Лист1!$A$1:$J$5689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5595" i="1" l="1"/>
  <c r="A5588" i="1" l="1"/>
  <c r="A5590" i="1" l="1"/>
  <c r="A5593" i="1" l="1"/>
  <c r="E5558" i="1" l="1"/>
  <c r="A5597" i="1" l="1"/>
  <c r="A5575" i="1"/>
  <c r="A5598" i="1" l="1"/>
  <c r="A5599" i="1" s="1"/>
  <c r="A5600" i="1" s="1"/>
  <c r="A5601" i="1" s="1"/>
  <c r="A5602" i="1" s="1"/>
  <c r="K5512" i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/>
  <c r="A5567" i="1" l="1"/>
  <c r="A5568" i="1"/>
  <c r="A5569" i="1" l="1"/>
  <c r="A5570" i="1" s="1"/>
  <c r="A5573" i="1" l="1"/>
  <c r="A5577" i="1" l="1"/>
  <c r="A5579" i="1" l="1"/>
  <c r="A5580" i="1" s="1"/>
  <c r="A5581" i="1" s="1"/>
  <c r="A5582" i="1" s="1"/>
  <c r="A5583" i="1" s="1"/>
  <c r="A5584" i="1" s="1"/>
</calcChain>
</file>

<file path=xl/sharedStrings.xml><?xml version="1.0" encoding="utf-8"?>
<sst xmlns="http://schemas.openxmlformats.org/spreadsheetml/2006/main" count="34256" uniqueCount="1228">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</sst>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34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602"/>
  <sheetViews>
    <sheetView tabSelected="1" zoomScale="85" zoomScaleNormal="85" workbookViewId="0">
      <pane ySplit="2" topLeftCell="A5556" activePane="bottomLeft" state="frozen"/>
      <selection pane="bottomLeft" activeCell="E5566" sqref="E5566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1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730" t="s">
        <v>0</v>
      </c>
      <c r="B1" s="730"/>
      <c r="C1" s="730"/>
      <c r="D1" s="730"/>
      <c r="E1" s="730"/>
      <c r="F1" s="730"/>
      <c r="G1" s="730"/>
      <c r="H1" s="730"/>
      <c r="I1" s="730"/>
      <c r="J1" s="730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31">
        <v>1</v>
      </c>
      <c r="B3" s="731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31"/>
      <c r="B4" s="731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729">
        <v>3</v>
      </c>
      <c r="B6" s="729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729"/>
      <c r="B7" s="729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729"/>
      <c r="B8" s="729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729">
        <v>5</v>
      </c>
      <c r="B10" s="729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729"/>
      <c r="B11" s="729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728">
        <v>8</v>
      </c>
      <c r="B14" s="728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728"/>
      <c r="B15" s="728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729">
        <v>11</v>
      </c>
      <c r="B18" s="729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729"/>
      <c r="B19" s="729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729"/>
      <c r="B20" s="729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729"/>
      <c r="B21" s="729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729">
        <v>13</v>
      </c>
      <c r="B23" s="729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729"/>
      <c r="B24" s="729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728">
        <v>14</v>
      </c>
      <c r="B25" s="728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728"/>
      <c r="B26" s="728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729">
        <v>15</v>
      </c>
      <c r="B27" s="729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729"/>
      <c r="B28" s="729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729"/>
      <c r="B29" s="729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729"/>
      <c r="B30" s="729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728">
        <v>16</v>
      </c>
      <c r="B31" s="728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728"/>
      <c r="B32" s="728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728"/>
      <c r="B33" s="728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728"/>
      <c r="B34" s="728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729">
        <v>17</v>
      </c>
      <c r="B35" s="729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729"/>
      <c r="B36" s="729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729">
        <v>21</v>
      </c>
      <c r="B40" s="729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729"/>
      <c r="B41" s="729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729">
        <v>23</v>
      </c>
      <c r="B43" s="729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729"/>
      <c r="B44" s="729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729"/>
      <c r="B45" s="729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728">
        <v>24</v>
      </c>
      <c r="B46" s="728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728"/>
      <c r="B47" s="728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729">
        <v>25</v>
      </c>
      <c r="B48" s="729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729"/>
      <c r="B49" s="729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729"/>
      <c r="B50" s="729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728">
        <v>26</v>
      </c>
      <c r="B51" s="728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728"/>
      <c r="B52" s="728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729">
        <v>29</v>
      </c>
      <c r="B55" s="729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729"/>
      <c r="B56" s="729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728">
        <v>32</v>
      </c>
      <c r="B59" s="728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728"/>
      <c r="B60" s="728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728">
        <v>34</v>
      </c>
      <c r="B62" s="728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728"/>
      <c r="B63" s="728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728"/>
      <c r="B64" s="728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728"/>
      <c r="B65" s="728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728"/>
      <c r="B66" s="728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729">
        <v>35</v>
      </c>
      <c r="B67" s="729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729"/>
      <c r="B68" s="729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700">
        <v>40</v>
      </c>
      <c r="B73" s="728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700"/>
      <c r="B74" s="728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701">
        <v>41</v>
      </c>
      <c r="B75" s="729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701"/>
      <c r="B76" s="729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701"/>
      <c r="B77" s="729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700">
        <v>42</v>
      </c>
      <c r="B78" s="728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700"/>
      <c r="B79" s="728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701">
        <v>49</v>
      </c>
      <c r="B86" s="729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701"/>
      <c r="B87" s="729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701"/>
      <c r="B88" s="729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700">
        <v>50</v>
      </c>
      <c r="B89" s="728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700"/>
      <c r="B90" s="728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701">
        <v>51</v>
      </c>
      <c r="B91" s="729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701"/>
      <c r="B92" s="729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701">
        <v>53</v>
      </c>
      <c r="B94" s="729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701"/>
      <c r="B95" s="729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700">
        <v>54</v>
      </c>
      <c r="B96" s="728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700"/>
      <c r="B97" s="728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700"/>
      <c r="B98" s="728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700">
        <v>58</v>
      </c>
      <c r="B102" s="728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700"/>
      <c r="B103" s="728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700">
        <v>60</v>
      </c>
      <c r="B105" s="728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700"/>
      <c r="B106" s="728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700"/>
      <c r="B107" s="728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701">
        <v>61</v>
      </c>
      <c r="B108" s="729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701"/>
      <c r="B109" s="729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701"/>
      <c r="B110" s="729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700">
        <v>64</v>
      </c>
      <c r="B113" s="728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700"/>
      <c r="B114" s="728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700">
        <v>66</v>
      </c>
      <c r="B116" s="728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700"/>
      <c r="B117" s="728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701">
        <v>67</v>
      </c>
      <c r="B118" s="729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701"/>
      <c r="B119" s="729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701"/>
      <c r="B120" s="729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700">
        <v>68</v>
      </c>
      <c r="B121" s="728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700"/>
      <c r="B122" s="728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701">
        <v>69</v>
      </c>
      <c r="B123" s="729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701"/>
      <c r="B124" s="729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700">
        <v>72</v>
      </c>
      <c r="B127" s="728" t="s">
        <v>65</v>
      </c>
      <c r="C127" s="119" t="s">
        <v>26</v>
      </c>
      <c r="D127" s="120">
        <v>3.3</v>
      </c>
      <c r="E127" s="121"/>
      <c r="F127" s="122" t="s">
        <v>30</v>
      </c>
      <c r="G127" s="723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700"/>
      <c r="B128" s="728"/>
      <c r="C128" s="103" t="s">
        <v>26</v>
      </c>
      <c r="D128" s="88">
        <v>12.9</v>
      </c>
      <c r="E128" s="106"/>
      <c r="F128" s="107" t="s">
        <v>16</v>
      </c>
      <c r="G128" s="723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700">
        <v>76</v>
      </c>
      <c r="B132" s="725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700"/>
      <c r="B133" s="725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700"/>
      <c r="B134" s="725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700"/>
      <c r="B135" s="725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700">
        <v>78</v>
      </c>
      <c r="B137" s="726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700"/>
      <c r="B138" s="726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27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27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700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700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700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701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701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700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700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701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701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701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701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701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701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701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701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700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700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700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700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700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700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701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724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701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724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700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700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700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700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700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700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700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700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700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701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701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700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700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701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701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700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700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701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701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701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701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701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700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700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701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701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701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700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700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701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701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700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700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701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701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700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700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700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701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701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700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723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700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723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700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700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701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701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701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701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700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700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700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700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700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700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701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701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700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700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700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700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701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701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700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700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700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700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700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701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701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700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700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701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701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700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11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700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11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701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701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700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723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700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723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700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700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700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38.2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700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700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700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700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700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701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701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700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700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701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701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700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700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700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700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701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701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701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701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701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701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701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701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700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700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701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724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701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724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701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701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701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701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701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701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701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701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701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701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701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701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701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701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700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700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701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701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700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700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700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700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701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701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701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701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701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701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700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700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701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701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701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701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706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701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706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700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700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700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700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700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700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700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700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700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700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700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700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701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701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700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700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701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701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701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701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701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701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701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701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700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700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701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701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701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700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700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701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701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701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706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701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706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700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700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700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700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700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700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22" t="s">
        <v>133</v>
      </c>
      <c r="J420" s="722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701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701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700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700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701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701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700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700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700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700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701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701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701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701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701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700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700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700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701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701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700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700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701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701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700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03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700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03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701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701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700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700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700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700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700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700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04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04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04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700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700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701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701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700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700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700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700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700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700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700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700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701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701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701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701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700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700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700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701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701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701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706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701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706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700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700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701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21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701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21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700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21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700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21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700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21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700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700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700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700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700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700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701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701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701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700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700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700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701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701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701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701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701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700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700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700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701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701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701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701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701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701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700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700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700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701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701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701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701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700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700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700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701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701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701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700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03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700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03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700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700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700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700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700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701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701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701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701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700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700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700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701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701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701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700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700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700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700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700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700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701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701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701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701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701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701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701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701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700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700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700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701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706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701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706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701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701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700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700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700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700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700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700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700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700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700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700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700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700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701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701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701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700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700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700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701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701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701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701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701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700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700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701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701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701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700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700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700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700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701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701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701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701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701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701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38.25" hidden="1" thickBot="1" x14ac:dyDescent="0.3">
      <c r="A651" s="700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700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38.25" hidden="1" thickBot="1" x14ac:dyDescent="0.3">
      <c r="A653" s="700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701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706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701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706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701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701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18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701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18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701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700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700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700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701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701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701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700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700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701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701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701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701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701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701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700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700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701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701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700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700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700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700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700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700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700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700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700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701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706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701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706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719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719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719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701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701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701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719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719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701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701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701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719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719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700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700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700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701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701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701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700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700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700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700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700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700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700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700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701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701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701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701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701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701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701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700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20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700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20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700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700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700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700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700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701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701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701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701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701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701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701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700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700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700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700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732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732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732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732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732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732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701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706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701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706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700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700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700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701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701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701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702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702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702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702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702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701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701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701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701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701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733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733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701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701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701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700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700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701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701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700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700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700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700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701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701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701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701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701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701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701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700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700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700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700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701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701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700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03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700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03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38.25" hidden="1" thickBot="1" x14ac:dyDescent="0.3">
      <c r="A817" s="701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701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38.25" hidden="1" thickBot="1" x14ac:dyDescent="0.3">
      <c r="A819" s="701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701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701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701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701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701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701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701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701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701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701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700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700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700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701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701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701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700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700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701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701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701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701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700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700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700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701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701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701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701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701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701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701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701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701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700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700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700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700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700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700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700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700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700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700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701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701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701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700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700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700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700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700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701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701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700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700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700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701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701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701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700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700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700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700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700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700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700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701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701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700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700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700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701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701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701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700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700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701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701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700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700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701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701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700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700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701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701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701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701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700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03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700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03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701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701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701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701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701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700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700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701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701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701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701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701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701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701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701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700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700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700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700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700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700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17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17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700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700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701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701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700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700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700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700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700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701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701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701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701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701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700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700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700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701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701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701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700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700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700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701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706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701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706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700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700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700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701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701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700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700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700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701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701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701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701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701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700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700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04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04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700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700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701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701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700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700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700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700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700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700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700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701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701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700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700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701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701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700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700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700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701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701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700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700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701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706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701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706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700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700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700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701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701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700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700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701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701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701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700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700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701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701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701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701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701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701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701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701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700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700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700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700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700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701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701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700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700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701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701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701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700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700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700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701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701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700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03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700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03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701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701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701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701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701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701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701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701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700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700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701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701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701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701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700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700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701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701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701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700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700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701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701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701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701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700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03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700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03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701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701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700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700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700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700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701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701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700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700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701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701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700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700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701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701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701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701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700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700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700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700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700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700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700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700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701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701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701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701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700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03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700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03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700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700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701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701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700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700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700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700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701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701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700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700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701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701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701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701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701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701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701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700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700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700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700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700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700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700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03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700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03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700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700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701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701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700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700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701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701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701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701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700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700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700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700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701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701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701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701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701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701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701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701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701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701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701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701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701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700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700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701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701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700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700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701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701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700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03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700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03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701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701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701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701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700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700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700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700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701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701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701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701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700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700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700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700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700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700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700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700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700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700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701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701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700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700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700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700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701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706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701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706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701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701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700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700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700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701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701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700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700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701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701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701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701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701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701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701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701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701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701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701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701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701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700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700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701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701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701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16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701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16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700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700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700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701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701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701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700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700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700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700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701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701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701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701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700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700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701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701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700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700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700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700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700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700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701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701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701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706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701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706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701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701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700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700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701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701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700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700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701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701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701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701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700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700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701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706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701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706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701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706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701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706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700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700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701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701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701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701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701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701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701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706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701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706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701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701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701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701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700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700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701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701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701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701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701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700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700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700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700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700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700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700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700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701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701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700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700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700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701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706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701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706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701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701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701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701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700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700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701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701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701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701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701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701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701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701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701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700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700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701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701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700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03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700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03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701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701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700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700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700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701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701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701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701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701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701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701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701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700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700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701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701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700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700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700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701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706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701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706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701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701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701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700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700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700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700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700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701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701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700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700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700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700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700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701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701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700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700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700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701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701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700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700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701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701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700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700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700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700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700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700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701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701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701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701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701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701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701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701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700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700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701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701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700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700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700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03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700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03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700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700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700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701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701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701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701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701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701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701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701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701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701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701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700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700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700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700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701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701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701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701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701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700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700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701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706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701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706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700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700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700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700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700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700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700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700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701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701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701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700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03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700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03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700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700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700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700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700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701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701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701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701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701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701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701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700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700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700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700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700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701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701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700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700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700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701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706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701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706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701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701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700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700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700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700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700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700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700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701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701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700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700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700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700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701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701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700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700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701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701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700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700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701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706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701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706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701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706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700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700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701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701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701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700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700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701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701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701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701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700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03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700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03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701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701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701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701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701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701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701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701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700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700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700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700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700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700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700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700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700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700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701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701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701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701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701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701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700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700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701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701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701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701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706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701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706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700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700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700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701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701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701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701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701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701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701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701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701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701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701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701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701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701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700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700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701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706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701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706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700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700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701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701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700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700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700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701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701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701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701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701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701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701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701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701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701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701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701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700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700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701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706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701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706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701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701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700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700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700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700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701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701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701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701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700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700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700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701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701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701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701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701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701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700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03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700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03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701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701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701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701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700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700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700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700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701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701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700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700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700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700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700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700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700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38.25" hidden="1" thickBot="1" x14ac:dyDescent="0.3">
      <c r="A1951" s="701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701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701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700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700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700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700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700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700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700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700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700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701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701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700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700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700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700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701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701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700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700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700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04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04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04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700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700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700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700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701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706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701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706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701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701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700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700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701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701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700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700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700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701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706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701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706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701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701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701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701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701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700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700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701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701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700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700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700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701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701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701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701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700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03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700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03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701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701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700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700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700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700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700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700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701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701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700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700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700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701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701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700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700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700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700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701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701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701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700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700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701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701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700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700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701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701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700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700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700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700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700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700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700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700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701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701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701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701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700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700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701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701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700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700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700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700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701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701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700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700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700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700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700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700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700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701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701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12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13" t="s">
        <v>467</v>
      </c>
      <c r="H2160" s="414" t="s">
        <v>515</v>
      </c>
      <c r="I2160" s="415" t="s">
        <v>516</v>
      </c>
      <c r="J2160" s="714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12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13"/>
      <c r="H2161" s="421" t="s">
        <v>515</v>
      </c>
      <c r="I2161" s="422" t="s">
        <v>516</v>
      </c>
      <c r="J2161" s="714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12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13"/>
      <c r="H2162" s="429" t="s">
        <v>515</v>
      </c>
      <c r="I2162" s="430" t="s">
        <v>516</v>
      </c>
      <c r="J2162" s="714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12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13" t="s">
        <v>467</v>
      </c>
      <c r="H2165" s="414" t="s">
        <v>516</v>
      </c>
      <c r="I2165" s="415" t="s">
        <v>516</v>
      </c>
      <c r="J2165" s="714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12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13"/>
      <c r="H2166" s="429" t="s">
        <v>516</v>
      </c>
      <c r="I2166" s="430" t="s">
        <v>516</v>
      </c>
      <c r="J2166" s="714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701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701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701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700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700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701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701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700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700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75.7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700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700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701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706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701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706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701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701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701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700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03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700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03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701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15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701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15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700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11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700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11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701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701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701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701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700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700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701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701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700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700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700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700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700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701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701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701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700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700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700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701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701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700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700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700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700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700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700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701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701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701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701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700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700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701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701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701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700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700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700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700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700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700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701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701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701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701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701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701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701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700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700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700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700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700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700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700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701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701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701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701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701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700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700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700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700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700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04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04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700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700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700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701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701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700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700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700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700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700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700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700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701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701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701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701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701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701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701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701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702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702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702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701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701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701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701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701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700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700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701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701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701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700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700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700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700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700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701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701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701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701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701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702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702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702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701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701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702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702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701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701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701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700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700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700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700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701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701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701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701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701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700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700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700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700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700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700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701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701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700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700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04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04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700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700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700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700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700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700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700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701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701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701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701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701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700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700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701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701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700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700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04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04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700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700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700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700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700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700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700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701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701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701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700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700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701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701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701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701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701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04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04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04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700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700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700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701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701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700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700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700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700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700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700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03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700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03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700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03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04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04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04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04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701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701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700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700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04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04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700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03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700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03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700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700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701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701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700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700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701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701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701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701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701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701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09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10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09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10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700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700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701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706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701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706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701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701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702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702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700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700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700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701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701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700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700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04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04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700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700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700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700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04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05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04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05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700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700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700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03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700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03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701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701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701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701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702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702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700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700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701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701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700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700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700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701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701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701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701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701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701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701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700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700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700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03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700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03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700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700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700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700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04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04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04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700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700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701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701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701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701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701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700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700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702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702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702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702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702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702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701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701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08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08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700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700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700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700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701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701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700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700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700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700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700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700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701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701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04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04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04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04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04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04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700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700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701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701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701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701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702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702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700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700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700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701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701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700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700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700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700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701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701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701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701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700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03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700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03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700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03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04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04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04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04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700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700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701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701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700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700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701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701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701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701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701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700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700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700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701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701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700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700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04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04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04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04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04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700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700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701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701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701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701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700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700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04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04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700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700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700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700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702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702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701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701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701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701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701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702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07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702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07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701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701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701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706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701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706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700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700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701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701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701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04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04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701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701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700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700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700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701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701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701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700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700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700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700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702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702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702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702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702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701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701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700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03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700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03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701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701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701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701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700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700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04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04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700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700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700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701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701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701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701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04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04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04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701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706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701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706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702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702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702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702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701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701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701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706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701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706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701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701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700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700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700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04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04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700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700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700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700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04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04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700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700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702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702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702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702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702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701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701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701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701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700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700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700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04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706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04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706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701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701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700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700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701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701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701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04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04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04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702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702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702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702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702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702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701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701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700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700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700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700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700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701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701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701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702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03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702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03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702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03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701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701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700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700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701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701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701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700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700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701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701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702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702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701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701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700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700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701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701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700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03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700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03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700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03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700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03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04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04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04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04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04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700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700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700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03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700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03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700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03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701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701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702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702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702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701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701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700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700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701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701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700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700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700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701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701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701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701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701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700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03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700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03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04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04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700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700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701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701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700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700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701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701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702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702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702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702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702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702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702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702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701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701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701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701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700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700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700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700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700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701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701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701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702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702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701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701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700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700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701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701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701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701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700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700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700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700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701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701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701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701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700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700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700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700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702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702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702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701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701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700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700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701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706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701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706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701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706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701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706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700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700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701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701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700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700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700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701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701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701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700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700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701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701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700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700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700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700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702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702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702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700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700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700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700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700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701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701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701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701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701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700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700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04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04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700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700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701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701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700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700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04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05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04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05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04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05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04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05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04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05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04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05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700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700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700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700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701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701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700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700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04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04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04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04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700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700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700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701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701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701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700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700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701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701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700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700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04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04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04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701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701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700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700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702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702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702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702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702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702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702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702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701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701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700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700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700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700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04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04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04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700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700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700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700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700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701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701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700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700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701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701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701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701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04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04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700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700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701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701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702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702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702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702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702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702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702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702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702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701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701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04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04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04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701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701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701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702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702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701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701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702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702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701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701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702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702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04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04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04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700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700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701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701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700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700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04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04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04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04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04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04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04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04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700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700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701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701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700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700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04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706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04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706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700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700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700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701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701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700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700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700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700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701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706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701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706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57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04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04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04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04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04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04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701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701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700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700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700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700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701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706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701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706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702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702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702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702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700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700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700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700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700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700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700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700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04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04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701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701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701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701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701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701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701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701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701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700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700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04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05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04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05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04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05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700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700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700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700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701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701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700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700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700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701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701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701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701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702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702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702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702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702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701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701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700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03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700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03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701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701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04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04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701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701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700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700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700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700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700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701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701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701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702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702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702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702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702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702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702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701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701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700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03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700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03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701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701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700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700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700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700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702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702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700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700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700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700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700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701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701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700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03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700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03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680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690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81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689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80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690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81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689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81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689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81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689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83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694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80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693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80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690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693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696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80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81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81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81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83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85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85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85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694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80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693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83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694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80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81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81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81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81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81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683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86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694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695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80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693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83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86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694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695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80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81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81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693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80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81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83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85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85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694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83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85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85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80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81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81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81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81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81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83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694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80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690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693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696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80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690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693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696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80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693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83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694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80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81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80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693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83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694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80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81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693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83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85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694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83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85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85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85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85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85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80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693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83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86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694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695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80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693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83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694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80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81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81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693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680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690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693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696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83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85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694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80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693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683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86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694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695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80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81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81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81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81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81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83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694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83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694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83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86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694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695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80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81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693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83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85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694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80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81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693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83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85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85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85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83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694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80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81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693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80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81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81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81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83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85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83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85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85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85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85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85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80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693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80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690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81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689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693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696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80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81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693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83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85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694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80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81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81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680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690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693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696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83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85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85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694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80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693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80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693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83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694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83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85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85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85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85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80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693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80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81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693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83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694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80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693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83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694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80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690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693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696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83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85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80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81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693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83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694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80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693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83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694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80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693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80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81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85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85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85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85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85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85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80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693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80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693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83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85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85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694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80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81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81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81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81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693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80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693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83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85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85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694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83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85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85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85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85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85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80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693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80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690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693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696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83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85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694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80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81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81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693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83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85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694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80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690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81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689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693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696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83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86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694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695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80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693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83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694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80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81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81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81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81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81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83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694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80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693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83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85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694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80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81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81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693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83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694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80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690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693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696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80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693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83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85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694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83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694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80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81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83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85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83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85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85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85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85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80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693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80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81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83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86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694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695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80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81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81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81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81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81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693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83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85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85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85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80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81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693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80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693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83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694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80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81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693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80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693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697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698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699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80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81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81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81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81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693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83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694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80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81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693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83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694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80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693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80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693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83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85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84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80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81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82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83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84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80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690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82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691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80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81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83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86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84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687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80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81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81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81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81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83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84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80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82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80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81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82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83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84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80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81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81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683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86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685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688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84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687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83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84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83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85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84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80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81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82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83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85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85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85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85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80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82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83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85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84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80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81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81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82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83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84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80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81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81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82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80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82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83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85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85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80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82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83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85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85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85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85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80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82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83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85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84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80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82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83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84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80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82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80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81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82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80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82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83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84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83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85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84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80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81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81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81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82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80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81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83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84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83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84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83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84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80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81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82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83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85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85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84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80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81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82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680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690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82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691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83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85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84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83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85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84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80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81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81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82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80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82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683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86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685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688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685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688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84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687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80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81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82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80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82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83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85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84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80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82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83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85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85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683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86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84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687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80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82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83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85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84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83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84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80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82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83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85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80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82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83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85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85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85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85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80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81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82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80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690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81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689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81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689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82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691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83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84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80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82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80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82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83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85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84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80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82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683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86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84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687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83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85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83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85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85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85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85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84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80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81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83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85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84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80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82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80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81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82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83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85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84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80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81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82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83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85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84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83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84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80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82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83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85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84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80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81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81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82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83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86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85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687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80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81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82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83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84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80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81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81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81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83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84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80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82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83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85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85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84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80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82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83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84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83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84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80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82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83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85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80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81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81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82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80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82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80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81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81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82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83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84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83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84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80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81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82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83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85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84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83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85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84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83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85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84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80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82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80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81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81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82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83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86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85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688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80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82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83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84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80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82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83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84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80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82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80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81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82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83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84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80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82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83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85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84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80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81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82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83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84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80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82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80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81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83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85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84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80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81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82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80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82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80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82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83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84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80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82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83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84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80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81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82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83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85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84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83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85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84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80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82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83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85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84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680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690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681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689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82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691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83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85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84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83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84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83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84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80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81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82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80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82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83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85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80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81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81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82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80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82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680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690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82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691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83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84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83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85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83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84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80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81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81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82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83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85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80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82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80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82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80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81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82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83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85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84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80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82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83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85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84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80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82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83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84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80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82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83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85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84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81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81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83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85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80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82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83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85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85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84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80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82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83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84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80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82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680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690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82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691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80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81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82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83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85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84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80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81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82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19.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83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85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83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84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80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81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83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84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80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82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83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86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85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688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85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688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84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687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83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85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84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83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86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84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687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80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81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80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81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82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83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85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84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80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690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82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691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80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82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83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85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83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85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85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84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80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690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81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689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83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84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83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84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80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82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83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84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680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690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82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691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80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81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82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83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85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84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683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86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84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687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80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82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80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81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19.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80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82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83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85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85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85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80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82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83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84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80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82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83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86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85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688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84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687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80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82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80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690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82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691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83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84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80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81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81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82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683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86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84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687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80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82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83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84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80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82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83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85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19.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80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690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82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691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83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85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85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80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82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680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690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82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691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83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85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85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84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80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82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83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85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84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80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81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81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82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83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84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80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82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83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84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680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690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82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691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83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85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83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85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84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680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690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81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689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83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84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83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85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84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80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81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82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80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82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80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82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83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85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85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84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80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690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82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691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80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82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683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86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84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687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19.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80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81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81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83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84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80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82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83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84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680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690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82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691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83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84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80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82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83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86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84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687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80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82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83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85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84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80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82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83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85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84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19.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83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86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84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687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80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81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83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85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85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80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82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80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81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82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83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85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84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683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86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84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687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83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86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84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687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80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81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80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81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82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83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85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84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80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82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83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84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19.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683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86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84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687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83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85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85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80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82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683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86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84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687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80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82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83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85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84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80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690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81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689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81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689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83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86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84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687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81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81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81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81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81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81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19.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80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81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683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684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680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690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681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692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681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681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681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19.5" hidden="1" thickBot="1" x14ac:dyDescent="0.3">
      <c r="A5070" s="683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684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680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681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682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683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684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680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682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680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682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9.5" hidden="1" thickBot="1" x14ac:dyDescent="0.3">
      <c r="A5084" s="683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86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9.5" hidden="1" thickBot="1" x14ac:dyDescent="0.3">
      <c r="A5085" s="685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688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684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687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9.5" hidden="1" thickBot="1" x14ac:dyDescent="0.3">
      <c r="A5087" s="680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681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9.5" hidden="1" thickBot="1" x14ac:dyDescent="0.3">
      <c r="A5091" s="683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86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684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687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9.5" hidden="1" thickBot="1" x14ac:dyDescent="0.3">
      <c r="A5094" s="683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9.5" hidden="1" thickBot="1" x14ac:dyDescent="0.3">
      <c r="A5095" s="685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9.5" hidden="1" thickBot="1" x14ac:dyDescent="0.3">
      <c r="A5096" s="685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684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9.5" hidden="1" thickBot="1" x14ac:dyDescent="0.3">
      <c r="A5099" s="683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9.5" hidden="1" thickBot="1" x14ac:dyDescent="0.3">
      <c r="A5100" s="685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684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9.5" hidden="1" thickBot="1" x14ac:dyDescent="0.3">
      <c r="A5102" s="680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9.5" hidden="1" thickBot="1" x14ac:dyDescent="0.3">
      <c r="A5103" s="681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682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19.5" hidden="1" thickBot="1" x14ac:dyDescent="0.3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t="19.5" hidden="1" thickBot="1" x14ac:dyDescent="0.3">
      <c r="A5110" s="680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690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t="19.5" hidden="1" thickBot="1" x14ac:dyDescent="0.3">
      <c r="A5111" s="681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689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t="19.5" hidden="1" thickBot="1" x14ac:dyDescent="0.3">
      <c r="A5112" s="681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689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t="19.5" hidden="1" thickBot="1" x14ac:dyDescent="0.3">
      <c r="A5113" s="681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689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t="19.5" hidden="1" thickBot="1" x14ac:dyDescent="0.3">
      <c r="A5114" s="683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684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t="19.5" hidden="1" thickBot="1" x14ac:dyDescent="0.3">
      <c r="A5116" s="680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690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682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691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t="19.5" hidden="1" thickBot="1" x14ac:dyDescent="0.3">
      <c r="A5121" s="680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682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t="19.5" hidden="1" thickBot="1" x14ac:dyDescent="0.3">
      <c r="A5123" s="683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t="19.5" hidden="1" thickBot="1" x14ac:dyDescent="0.3">
      <c r="A5124" s="685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684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t="19.5" hidden="1" thickBot="1" x14ac:dyDescent="0.3">
      <c r="A5126" s="680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690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682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691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t="19.5" hidden="1" thickBot="1" x14ac:dyDescent="0.3">
      <c r="A5128" s="683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t="19.5" hidden="1" thickBot="1" x14ac:dyDescent="0.3">
      <c r="A5129" s="685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</row>
    <row r="5131" spans="1:14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</row>
    <row r="5132" spans="1:14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</row>
    <row r="5133" spans="1:14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</row>
    <row r="5134" spans="1:14" ht="19.5" hidden="1" thickBot="1" x14ac:dyDescent="0.3">
      <c r="A5134" s="680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</row>
    <row r="5135" spans="1:14" ht="19.5" hidden="1" thickBot="1" x14ac:dyDescent="0.3">
      <c r="A5135" s="681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</row>
    <row r="5136" spans="1:14" ht="19.5" hidden="1" thickBot="1" x14ac:dyDescent="0.3">
      <c r="A5136" s="681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</row>
    <row r="5137" spans="1:14" ht="19.5" hidden="1" thickBot="1" x14ac:dyDescent="0.3">
      <c r="A5137" s="682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</row>
    <row r="5138" spans="1:14" ht="19.5" hidden="1" thickBot="1" x14ac:dyDescent="0.3">
      <c r="A5138" s="683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</row>
    <row r="5139" spans="1:14" ht="19.5" hidden="1" thickBot="1" x14ac:dyDescent="0.3">
      <c r="A5139" s="684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</row>
    <row r="5140" spans="1:14" ht="27.75" hidden="1" customHeight="1" x14ac:dyDescent="0.25">
      <c r="A5140" s="680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690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</row>
    <row r="5141" spans="1:14" ht="27.75" hidden="1" customHeight="1" thickBot="1" x14ac:dyDescent="0.3">
      <c r="A5141" s="682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691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</row>
    <row r="5142" spans="1:14" ht="19.5" hidden="1" thickBot="1" x14ac:dyDescent="0.3">
      <c r="A5142" s="683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</row>
    <row r="5143" spans="1:14" ht="19.5" hidden="1" thickBot="1" x14ac:dyDescent="0.3">
      <c r="A5143" s="685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</row>
    <row r="5144" spans="1:14" ht="19.5" hidden="1" thickBot="1" x14ac:dyDescent="0.3">
      <c r="A5144" s="684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</row>
    <row r="5145" spans="1:14" ht="19.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</row>
    <row r="5146" spans="1:14" ht="19.5" hidden="1" thickBot="1" x14ac:dyDescent="0.3">
      <c r="A5146" s="683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</row>
    <row r="5147" spans="1:14" ht="19.5" hidden="1" thickBot="1" x14ac:dyDescent="0.3">
      <c r="A5147" s="685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</row>
    <row r="5148" spans="1:14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</row>
    <row r="5149" spans="1:14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</row>
    <row r="5150" spans="1:14" ht="19.5" hidden="1" thickBot="1" x14ac:dyDescent="0.3">
      <c r="A5150" s="680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</row>
    <row r="5151" spans="1:14" ht="19.5" hidden="1" thickBot="1" x14ac:dyDescent="0.3">
      <c r="A5151" s="681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</row>
    <row r="5152" spans="1:14" ht="19.5" hidden="1" thickBot="1" x14ac:dyDescent="0.3">
      <c r="A5152" s="681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</row>
    <row r="5153" spans="1:14" ht="19.5" hidden="1" thickBot="1" x14ac:dyDescent="0.3">
      <c r="A5153" s="683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</row>
    <row r="5154" spans="1:14" ht="19.5" hidden="1" thickBot="1" x14ac:dyDescent="0.3">
      <c r="A5154" s="684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</row>
    <row r="5155" spans="1:14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</row>
    <row r="5156" spans="1:14" ht="19.5" hidden="1" thickBot="1" x14ac:dyDescent="0.3">
      <c r="A5156" s="683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</row>
    <row r="5157" spans="1:14" ht="19.5" hidden="1" thickBot="1" x14ac:dyDescent="0.3">
      <c r="A5157" s="685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</row>
    <row r="5158" spans="1:14" ht="19.5" hidden="1" thickBot="1" x14ac:dyDescent="0.3">
      <c r="A5158" s="685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</row>
    <row r="5159" spans="1:14" ht="19.5" hidden="1" thickBot="1" x14ac:dyDescent="0.3">
      <c r="A5159" s="684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</row>
    <row r="5160" spans="1:14" ht="57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</row>
    <row r="5161" spans="1:14" ht="19.5" hidden="1" thickBot="1" x14ac:dyDescent="0.3">
      <c r="A5161" s="683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</row>
    <row r="5162" spans="1:14" ht="19.5" hidden="1" thickBot="1" x14ac:dyDescent="0.3">
      <c r="A5162" s="684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</row>
    <row r="5163" spans="1:14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</row>
    <row r="5164" spans="1:14" ht="19.5" hidden="1" thickBot="1" x14ac:dyDescent="0.3">
      <c r="A5164" s="683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</row>
    <row r="5165" spans="1:14" ht="19.5" hidden="1" thickBot="1" x14ac:dyDescent="0.3">
      <c r="A5165" s="685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</row>
    <row r="5166" spans="1:14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</row>
    <row r="5167" spans="1:14" ht="38.25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</row>
    <row r="5168" spans="1:14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</row>
    <row r="5169" spans="1:14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</row>
    <row r="5170" spans="1:14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</row>
    <row r="5171" spans="1:14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</row>
    <row r="5172" spans="1:14" ht="19.5" hidden="1" thickBot="1" x14ac:dyDescent="0.3">
      <c r="A5172" s="680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</row>
    <row r="5173" spans="1:14" ht="19.5" hidden="1" thickBot="1" x14ac:dyDescent="0.3">
      <c r="A5173" s="681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</row>
    <row r="5174" spans="1:14" ht="57" hidden="1" thickBot="1" x14ac:dyDescent="0.3">
      <c r="A5174" s="681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</row>
    <row r="5175" spans="1:14" ht="19.5" hidden="1" thickBot="1" x14ac:dyDescent="0.3">
      <c r="A5175" s="682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</row>
    <row r="5176" spans="1:14" ht="19.5" hidden="1" thickBot="1" x14ac:dyDescent="0.3">
      <c r="A5176" s="683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</row>
    <row r="5177" spans="1:14" ht="19.5" hidden="1" thickBot="1" x14ac:dyDescent="0.3">
      <c r="A5177" s="685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</row>
    <row r="5178" spans="1:14" ht="19.5" hidden="1" thickBot="1" x14ac:dyDescent="0.3">
      <c r="A5178" s="684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</row>
    <row r="5179" spans="1:14" ht="19.5" hidden="1" thickBot="1" x14ac:dyDescent="0.3">
      <c r="A5179" s="680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</row>
    <row r="5180" spans="1:14" ht="19.5" hidden="1" thickBot="1" x14ac:dyDescent="0.3">
      <c r="A5180" s="682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</row>
    <row r="5181" spans="1:14" ht="19.5" hidden="1" thickBot="1" x14ac:dyDescent="0.3">
      <c r="A5181" s="683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</row>
    <row r="5182" spans="1:14" ht="19.5" hidden="1" thickBot="1" x14ac:dyDescent="0.3">
      <c r="A5182" s="684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</row>
    <row r="5183" spans="1:14" ht="19.5" hidden="1" thickBot="1" x14ac:dyDescent="0.3">
      <c r="A5183" s="680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</row>
    <row r="5184" spans="1:14" ht="19.5" hidden="1" thickBot="1" x14ac:dyDescent="0.3">
      <c r="A5184" s="682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</row>
    <row r="5185" spans="1:14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</row>
    <row r="5186" spans="1:14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</row>
    <row r="5187" spans="1:14" ht="19.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</row>
    <row r="5188" spans="1:14" ht="19.5" hidden="1" thickBot="1" x14ac:dyDescent="0.3">
      <c r="A5188" s="680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690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</row>
    <row r="5189" spans="1:14" ht="19.5" hidden="1" thickBot="1" x14ac:dyDescent="0.3">
      <c r="A5189" s="681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689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</row>
    <row r="5190" spans="1:14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</row>
    <row r="5191" spans="1:14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</row>
    <row r="5192" spans="1:14" ht="19.5" hidden="1" thickBot="1" x14ac:dyDescent="0.3">
      <c r="A5192" s="683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</row>
    <row r="5193" spans="1:14" ht="19.5" hidden="1" thickBot="1" x14ac:dyDescent="0.3">
      <c r="A5193" s="685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</row>
    <row r="5194" spans="1:14" ht="19.5" hidden="1" thickBot="1" x14ac:dyDescent="0.3">
      <c r="A5194" s="685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</row>
    <row r="5195" spans="1:14" ht="19.5" hidden="1" thickBot="1" x14ac:dyDescent="0.3">
      <c r="A5195" s="684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</row>
    <row r="5196" spans="1:14" ht="19.5" hidden="1" thickBot="1" x14ac:dyDescent="0.3">
      <c r="A5196" s="680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690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</row>
    <row r="5197" spans="1:14" ht="19.5" hidden="1" thickBot="1" x14ac:dyDescent="0.3">
      <c r="A5197" s="682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691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</row>
    <row r="5198" spans="1:14" ht="19.5" hidden="1" thickBot="1" x14ac:dyDescent="0.3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</row>
    <row r="5199" spans="1:14" ht="19.5" hidden="1" thickBot="1" x14ac:dyDescent="0.3">
      <c r="A5199" s="680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</row>
    <row r="5200" spans="1:14" ht="19.5" hidden="1" thickBot="1" x14ac:dyDescent="0.3">
      <c r="A5200" s="682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</row>
    <row r="5201" spans="1:14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</row>
    <row r="5202" spans="1:14" ht="28.5" hidden="1" customHeight="1" x14ac:dyDescent="0.25">
      <c r="A5202" s="680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690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</row>
    <row r="5203" spans="1:14" ht="28.5" hidden="1" customHeight="1" thickBot="1" x14ac:dyDescent="0.3">
      <c r="A5203" s="682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691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</row>
    <row r="5204" spans="1:14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</row>
    <row r="5205" spans="1:14" ht="19.5" hidden="1" thickBot="1" x14ac:dyDescent="0.3">
      <c r="A5205" s="680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</row>
    <row r="5206" spans="1:14" ht="19.5" hidden="1" thickBot="1" x14ac:dyDescent="0.3">
      <c r="A5206" s="681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</row>
    <row r="5207" spans="1:14" ht="19.5" hidden="1" thickBot="1" x14ac:dyDescent="0.3">
      <c r="A5207" s="682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</row>
    <row r="5208" spans="1:14" ht="19.5" hidden="1" thickBot="1" x14ac:dyDescent="0.3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</row>
    <row r="5209" spans="1:14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</row>
    <row r="5210" spans="1:14" ht="19.5" hidden="1" thickBot="1" x14ac:dyDescent="0.3">
      <c r="A5210" s="683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</row>
    <row r="5211" spans="1:14" ht="57" hidden="1" thickBot="1" x14ac:dyDescent="0.3">
      <c r="A5211" s="684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</row>
    <row r="5212" spans="1:14" ht="19.5" hidden="1" thickBot="1" x14ac:dyDescent="0.3">
      <c r="A5212" s="680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</row>
    <row r="5213" spans="1:14" ht="19.5" hidden="1" thickBot="1" x14ac:dyDescent="0.3">
      <c r="A5213" s="682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</row>
    <row r="5214" spans="1:14" ht="19.5" hidden="1" thickBot="1" x14ac:dyDescent="0.3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</row>
    <row r="5215" spans="1:14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</row>
    <row r="5216" spans="1:14" ht="19.5" hidden="1" thickBot="1" x14ac:dyDescent="0.3">
      <c r="A5216" s="683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686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</row>
    <row r="5217" spans="1:14" ht="19.5" hidden="1" thickBot="1" x14ac:dyDescent="0.3">
      <c r="A5217" s="684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687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</row>
    <row r="5218" spans="1:14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</row>
    <row r="5219" spans="1:14" ht="19.5" hidden="1" thickBot="1" x14ac:dyDescent="0.3">
      <c r="A5219" s="683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</row>
    <row r="5220" spans="1:14" ht="19.5" hidden="1" thickBot="1" x14ac:dyDescent="0.3">
      <c r="A5220" s="685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</row>
    <row r="5221" spans="1:14" ht="19.5" hidden="1" thickBot="1" x14ac:dyDescent="0.3">
      <c r="A5221" s="684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</row>
    <row r="5222" spans="1:14" ht="19.5" hidden="1" thickBot="1" x14ac:dyDescent="0.3">
      <c r="A5222" s="680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</row>
    <row r="5223" spans="1:14" ht="19.5" hidden="1" thickBot="1" x14ac:dyDescent="0.3">
      <c r="A5223" s="681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</row>
    <row r="5224" spans="1:14" ht="19.5" hidden="1" thickBot="1" x14ac:dyDescent="0.3">
      <c r="A5224" s="681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</row>
    <row r="5225" spans="1:14" ht="19.5" hidden="1" thickBot="1" x14ac:dyDescent="0.3">
      <c r="A5225" s="682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</row>
    <row r="5226" spans="1:14" ht="19.5" hidden="1" thickBot="1" x14ac:dyDescent="0.3">
      <c r="A5226" s="683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</row>
    <row r="5227" spans="1:14" ht="19.5" hidden="1" thickBot="1" x14ac:dyDescent="0.3">
      <c r="A5227" s="685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</row>
    <row r="5228" spans="1:14" ht="19.5" hidden="1" thickBot="1" x14ac:dyDescent="0.3">
      <c r="A5228" s="684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</row>
    <row r="5229" spans="1:14" ht="19.5" hidden="1" thickBot="1" x14ac:dyDescent="0.3">
      <c r="A5229" s="680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</row>
    <row r="5230" spans="1:14" ht="19.5" hidden="1" thickBot="1" x14ac:dyDescent="0.3">
      <c r="A5230" s="681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</row>
    <row r="5231" spans="1:14" ht="19.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</row>
    <row r="5232" spans="1:14" ht="19.5" hidden="1" thickBot="1" x14ac:dyDescent="0.3">
      <c r="A5232" s="680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690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</row>
    <row r="5233" spans="1:14" ht="19.5" hidden="1" thickBot="1" x14ac:dyDescent="0.3">
      <c r="A5233" s="682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691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</row>
    <row r="5234" spans="1:14" ht="19.5" hidden="1" thickBot="1" x14ac:dyDescent="0.3">
      <c r="A5234" s="683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</row>
    <row r="5235" spans="1:14" ht="19.5" hidden="1" thickBot="1" x14ac:dyDescent="0.3">
      <c r="A5235" s="685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</row>
    <row r="5236" spans="1:14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</row>
    <row r="5237" spans="1:14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</row>
    <row r="5238" spans="1:14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</row>
    <row r="5239" spans="1:14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</row>
    <row r="5240" spans="1:14" ht="19.5" hidden="1" thickBot="1" x14ac:dyDescent="0.3">
      <c r="A5240" s="680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</row>
    <row r="5241" spans="1:14" ht="19.5" hidden="1" thickBot="1" x14ac:dyDescent="0.3">
      <c r="A5241" s="681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</row>
    <row r="5242" spans="1:14" ht="19.5" hidden="1" thickBot="1" x14ac:dyDescent="0.3">
      <c r="A5242" s="681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</row>
    <row r="5243" spans="1:14" ht="19.5" hidden="1" thickBot="1" x14ac:dyDescent="0.3">
      <c r="A5243" s="683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</row>
    <row r="5244" spans="1:14" ht="19.5" hidden="1" thickBot="1" x14ac:dyDescent="0.3">
      <c r="A5244" s="684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</row>
    <row r="5245" spans="1:14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</row>
    <row r="5246" spans="1:14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</row>
    <row r="5247" spans="1:14" ht="19.5" hidden="1" thickBot="1" x14ac:dyDescent="0.3">
      <c r="A5247" s="680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</row>
    <row r="5248" spans="1:14" ht="19.5" hidden="1" thickBot="1" x14ac:dyDescent="0.3">
      <c r="A5248" s="681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</row>
    <row r="5249" spans="1:14" ht="19.5" hidden="1" thickBot="1" x14ac:dyDescent="0.3">
      <c r="A5249" s="682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</row>
    <row r="5250" spans="1:14" ht="19.5" hidden="1" thickBot="1" x14ac:dyDescent="0.3">
      <c r="A5250" s="683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</row>
    <row r="5251" spans="1:14" ht="19.5" hidden="1" thickBot="1" x14ac:dyDescent="0.3">
      <c r="A5251" s="684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</row>
    <row r="5252" spans="1:14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</row>
    <row r="5253" spans="1:14" ht="19.5" hidden="1" thickBot="1" x14ac:dyDescent="0.3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</row>
    <row r="5254" spans="1:14" ht="19.5" hidden="1" thickBot="1" x14ac:dyDescent="0.3">
      <c r="A5254" s="680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</row>
    <row r="5255" spans="1:14" ht="19.5" hidden="1" thickBot="1" x14ac:dyDescent="0.3">
      <c r="A5255" s="682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</row>
    <row r="5256" spans="1:14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</row>
    <row r="5257" spans="1:14" ht="19.5" hidden="1" thickBot="1" x14ac:dyDescent="0.3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</row>
    <row r="5258" spans="1:14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</row>
    <row r="5259" spans="1:14" ht="94.5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</row>
    <row r="5260" spans="1:14" ht="19.5" hidden="1" thickBot="1" x14ac:dyDescent="0.3">
      <c r="A5260" s="683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</row>
    <row r="5261" spans="1:14" ht="19.5" hidden="1" thickBot="1" x14ac:dyDescent="0.3">
      <c r="A5261" s="684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</row>
    <row r="5262" spans="1:14" ht="19.5" hidden="1" thickBot="1" x14ac:dyDescent="0.3">
      <c r="A5262" s="680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</row>
    <row r="5263" spans="1:14" ht="19.5" hidden="1" thickBot="1" x14ac:dyDescent="0.3">
      <c r="A5263" s="682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</row>
    <row r="5264" spans="1:14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</row>
    <row r="5265" spans="1:14" ht="19.5" hidden="1" thickBot="1" x14ac:dyDescent="0.3">
      <c r="A5265" s="680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</row>
    <row r="5266" spans="1:14" ht="19.5" hidden="1" thickBot="1" x14ac:dyDescent="0.3">
      <c r="A5266" s="682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</row>
    <row r="5267" spans="1:14" ht="19.5" hidden="1" thickBot="1" x14ac:dyDescent="0.3">
      <c r="A5267" s="683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</row>
    <row r="5268" spans="1:14" ht="19.5" hidden="1" thickBot="1" x14ac:dyDescent="0.3">
      <c r="A5268" s="685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</row>
    <row r="5269" spans="1:14" ht="19.5" hidden="1" thickBot="1" x14ac:dyDescent="0.3">
      <c r="A5269" s="684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</row>
    <row r="5270" spans="1:14" ht="19.5" hidden="1" thickBot="1" x14ac:dyDescent="0.3">
      <c r="A5270" s="680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</row>
    <row r="5271" spans="1:14" ht="19.5" hidden="1" thickBot="1" x14ac:dyDescent="0.3">
      <c r="A5271" s="682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</row>
    <row r="5272" spans="1:14" ht="19.5" hidden="1" thickBot="1" x14ac:dyDescent="0.3">
      <c r="A5272" s="683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</row>
    <row r="5273" spans="1:14" ht="19.5" hidden="1" thickBot="1" x14ac:dyDescent="0.3">
      <c r="A5273" s="684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</row>
    <row r="5274" spans="1:14" ht="19.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</row>
    <row r="5275" spans="1:14" ht="19.5" hidden="1" thickBot="1" x14ac:dyDescent="0.3">
      <c r="A5275" s="683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686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</row>
    <row r="5276" spans="1:14" ht="19.5" hidden="1" thickBot="1" x14ac:dyDescent="0.3">
      <c r="A5276" s="685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688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</row>
    <row r="5277" spans="1:14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</row>
    <row r="5278" spans="1:14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</row>
    <row r="5279" spans="1:14" ht="19.5" hidden="1" thickBot="1" x14ac:dyDescent="0.3">
      <c r="A5279" s="680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</row>
    <row r="5280" spans="1:14" ht="19.5" hidden="1" thickBot="1" x14ac:dyDescent="0.3">
      <c r="A5280" s="681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</row>
    <row r="5281" spans="1:14" ht="19.5" hidden="1" thickBot="1" x14ac:dyDescent="0.3">
      <c r="A5281" s="681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</row>
    <row r="5282" spans="1:14" ht="19.5" hidden="1" thickBot="1" x14ac:dyDescent="0.3">
      <c r="A5282" s="683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</row>
    <row r="5283" spans="1:14" ht="19.5" hidden="1" thickBot="1" x14ac:dyDescent="0.3">
      <c r="A5283" s="684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</row>
    <row r="5284" spans="1:14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</row>
    <row r="5285" spans="1:14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</row>
    <row r="5286" spans="1:14" ht="19.5" hidden="1" thickBot="1" x14ac:dyDescent="0.3">
      <c r="A5286" s="680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</row>
    <row r="5287" spans="1:14" ht="19.5" hidden="1" thickBot="1" x14ac:dyDescent="0.3">
      <c r="A5287" s="681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</row>
    <row r="5288" spans="1:14" ht="19.5" hidden="1" thickBot="1" x14ac:dyDescent="0.3">
      <c r="A5288" s="681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</row>
    <row r="5289" spans="1:14" ht="19.5" hidden="1" thickBot="1" x14ac:dyDescent="0.3">
      <c r="A5289" s="682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</row>
    <row r="5290" spans="1:14" ht="19.5" hidden="1" thickBot="1" x14ac:dyDescent="0.3">
      <c r="A5290" s="683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</row>
    <row r="5291" spans="1:14" ht="19.5" hidden="1" thickBot="1" x14ac:dyDescent="0.3">
      <c r="A5291" s="685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</row>
    <row r="5292" spans="1:14" ht="19.5" hidden="1" thickBot="1" x14ac:dyDescent="0.3">
      <c r="A5292" s="684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</row>
    <row r="5293" spans="1:14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</row>
    <row r="5294" spans="1:14" ht="19.5" hidden="1" thickBot="1" x14ac:dyDescent="0.3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</row>
    <row r="5295" spans="1:14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</row>
    <row r="5296" spans="1:14" ht="19.5" hidden="1" thickBot="1" x14ac:dyDescent="0.3">
      <c r="A5296" s="683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</row>
    <row r="5297" spans="1:14" ht="19.5" hidden="1" thickBot="1" x14ac:dyDescent="0.3">
      <c r="A5297" s="685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</row>
    <row r="5298" spans="1:14" ht="19.5" hidden="1" thickBot="1" x14ac:dyDescent="0.3">
      <c r="A5298" s="680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</row>
    <row r="5299" spans="1:14" ht="19.5" hidden="1" thickBot="1" x14ac:dyDescent="0.3">
      <c r="A5299" s="682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</row>
    <row r="5300" spans="1:14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</row>
    <row r="5301" spans="1:14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</row>
    <row r="5302" spans="1:14" ht="19.5" hidden="1" thickBot="1" x14ac:dyDescent="0.3">
      <c r="A5302" s="683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</row>
    <row r="5303" spans="1:14" ht="19.5" hidden="1" thickBot="1" x14ac:dyDescent="0.3">
      <c r="A5303" s="685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</row>
    <row r="5304" spans="1:14" ht="19.5" hidden="1" thickBot="1" x14ac:dyDescent="0.3">
      <c r="A5304" s="684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</row>
    <row r="5305" spans="1:14" ht="19.5" hidden="1" thickBot="1" x14ac:dyDescent="0.3">
      <c r="A5305" s="680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</row>
    <row r="5306" spans="1:14" ht="19.5" hidden="1" thickBot="1" x14ac:dyDescent="0.3">
      <c r="A5306" s="681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</row>
    <row r="5307" spans="1:14" ht="19.5" hidden="1" thickBot="1" x14ac:dyDescent="0.3">
      <c r="A5307" s="681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</row>
    <row r="5308" spans="1:14" ht="19.5" hidden="1" thickBot="1" x14ac:dyDescent="0.3">
      <c r="A5308" s="682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</row>
    <row r="5309" spans="1:14" ht="19.5" hidden="1" thickBot="1" x14ac:dyDescent="0.3">
      <c r="A5309" s="683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</row>
    <row r="5310" spans="1:14" ht="19.5" hidden="1" thickBot="1" x14ac:dyDescent="0.3">
      <c r="A5310" s="684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</row>
    <row r="5311" spans="1:14" ht="19.5" hidden="1" thickBot="1" x14ac:dyDescent="0.3">
      <c r="A5311" s="680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</row>
    <row r="5312" spans="1:14" ht="19.5" hidden="1" thickBot="1" x14ac:dyDescent="0.3">
      <c r="A5312" s="682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</row>
    <row r="5313" spans="1:14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</row>
    <row r="5314" spans="1:14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</row>
    <row r="5315" spans="1:14" ht="19.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</row>
    <row r="5316" spans="1:14" ht="19.5" hidden="1" thickBot="1" x14ac:dyDescent="0.3">
      <c r="A5316" s="680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</row>
    <row r="5317" spans="1:14" ht="19.5" hidden="1" thickBot="1" x14ac:dyDescent="0.3">
      <c r="A5317" s="681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</row>
    <row r="5318" spans="1:14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</row>
    <row r="5319" spans="1:14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</row>
    <row r="5320" spans="1:14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</row>
    <row r="5321" spans="1:14" ht="19.5" hidden="1" thickBot="1" x14ac:dyDescent="0.3">
      <c r="A5321" s="680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690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</row>
    <row r="5322" spans="1:14" ht="19.5" hidden="1" thickBot="1" x14ac:dyDescent="0.3">
      <c r="A5322" s="681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689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</row>
    <row r="5323" spans="1:14" ht="19.5" hidden="1" thickBot="1" x14ac:dyDescent="0.3">
      <c r="A5323" s="681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689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</row>
    <row r="5324" spans="1:14" ht="19.5" hidden="1" thickBot="1" x14ac:dyDescent="0.3">
      <c r="A5324" s="681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689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</row>
    <row r="5325" spans="1:14" ht="19.5" hidden="1" thickBot="1" x14ac:dyDescent="0.3">
      <c r="A5325" s="681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689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</row>
    <row r="5326" spans="1:14" ht="19.5" hidden="1" thickBot="1" x14ac:dyDescent="0.3">
      <c r="A5326" s="683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</row>
    <row r="5327" spans="1:14" ht="19.5" hidden="1" thickBot="1" x14ac:dyDescent="0.3">
      <c r="A5327" s="684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</row>
    <row r="5328" spans="1:14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</row>
    <row r="5329" spans="1:14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</row>
    <row r="5330" spans="1:14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</row>
    <row r="5331" spans="1:14" ht="19.5" hidden="1" thickBot="1" x14ac:dyDescent="0.3">
      <c r="A5331" s="683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</row>
    <row r="5332" spans="1:14" ht="19.5" hidden="1" thickBot="1" x14ac:dyDescent="0.3">
      <c r="A5332" s="685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</row>
    <row r="5333" spans="1:14" ht="19.5" hidden="1" thickBot="1" x14ac:dyDescent="0.3">
      <c r="A5333" s="685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</row>
    <row r="5334" spans="1:14" ht="19.5" hidden="1" thickBot="1" x14ac:dyDescent="0.3">
      <c r="A5334" s="684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</row>
    <row r="5335" spans="1:14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</row>
    <row r="5336" spans="1:14" ht="19.5" hidden="1" thickBot="1" x14ac:dyDescent="0.3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</row>
    <row r="5337" spans="1:14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</row>
    <row r="5338" spans="1:14" ht="19.5" hidden="1" thickBot="1" x14ac:dyDescent="0.3">
      <c r="A5338" s="683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</row>
    <row r="5339" spans="1:14" ht="57" hidden="1" thickBot="1" x14ac:dyDescent="0.3">
      <c r="A5339" s="685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</row>
    <row r="5340" spans="1:14" ht="19.5" hidden="1" thickBot="1" x14ac:dyDescent="0.3">
      <c r="A5340" s="685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</row>
    <row r="5341" spans="1:14" ht="19.5" hidden="1" thickBot="1" x14ac:dyDescent="0.3">
      <c r="A5341" s="684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</row>
    <row r="5342" spans="1:14" ht="19.5" hidden="1" thickBot="1" x14ac:dyDescent="0.3">
      <c r="A5342" s="680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</row>
    <row r="5343" spans="1:14" ht="19.5" hidden="1" thickBot="1" x14ac:dyDescent="0.3">
      <c r="A5343" s="682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</row>
    <row r="5344" spans="1:14" ht="19.5" hidden="1" thickBot="1" x14ac:dyDescent="0.3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</row>
    <row r="5345" spans="1:14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</row>
    <row r="5346" spans="1:14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</row>
    <row r="5347" spans="1:14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</row>
    <row r="5348" spans="1:14" ht="19.5" hidden="1" thickBot="1" x14ac:dyDescent="0.3">
      <c r="A5348" s="683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</row>
    <row r="5349" spans="1:14" ht="19.5" hidden="1" thickBot="1" x14ac:dyDescent="0.3">
      <c r="A5349" s="685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</row>
    <row r="5350" spans="1:14" ht="19.5" hidden="1" thickBot="1" x14ac:dyDescent="0.3">
      <c r="A5350" s="684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</row>
    <row r="5351" spans="1:14" ht="19.5" hidden="1" thickBot="1" x14ac:dyDescent="0.3">
      <c r="A5351" s="680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</row>
    <row r="5352" spans="1:14" ht="19.5" hidden="1" thickBot="1" x14ac:dyDescent="0.3">
      <c r="A5352" s="681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</row>
    <row r="5353" spans="1:14" ht="19.5" hidden="1" thickBot="1" x14ac:dyDescent="0.3">
      <c r="A5353" s="682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</row>
    <row r="5354" spans="1:14" ht="19.5" hidden="1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</row>
    <row r="5355" spans="1:14" ht="19.5" hidden="1" thickBot="1" x14ac:dyDescent="0.3">
      <c r="A5355" s="680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</row>
    <row r="5356" spans="1:14" ht="19.5" hidden="1" thickBot="1" x14ac:dyDescent="0.3">
      <c r="A5356" s="681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</row>
    <row r="5357" spans="1:14" ht="19.5" hidden="1" thickBot="1" x14ac:dyDescent="0.3">
      <c r="A5357" s="682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</row>
    <row r="5358" spans="1:14" ht="19.5" hidden="1" thickBot="1" x14ac:dyDescent="0.3">
      <c r="A5358" s="683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</row>
    <row r="5359" spans="1:14" ht="19.5" hidden="1" thickBot="1" x14ac:dyDescent="0.3">
      <c r="A5359" s="684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</row>
    <row r="5360" spans="1:14" ht="19.5" hidden="1" thickBot="1" x14ac:dyDescent="0.3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</row>
    <row r="5361" spans="1:14" ht="38.25" hidden="1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</row>
    <row r="5362" spans="1:14" ht="19.5" hidden="1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</row>
    <row r="5363" spans="1:14" ht="19.5" hidden="1" thickBot="1" x14ac:dyDescent="0.3">
      <c r="A5363" s="683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686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</row>
    <row r="5364" spans="1:14" ht="19.5" hidden="1" thickBot="1" x14ac:dyDescent="0.3">
      <c r="A5364" s="684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687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</row>
    <row r="5365" spans="1:14" ht="19.5" hidden="1" thickBot="1" x14ac:dyDescent="0.3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</row>
    <row r="5366" spans="1:14" ht="19.5" hidden="1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</row>
    <row r="5367" spans="1:14" ht="19.5" hidden="1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4">RIGHT(I5367,5)</f>
        <v>12,25</v>
      </c>
      <c r="L5367" s="518" t="s">
        <v>266</v>
      </c>
      <c r="M5367" s="518">
        <v>18052.32</v>
      </c>
      <c r="N5367" s="522">
        <v>0.45833333333333331</v>
      </c>
    </row>
    <row r="5368" spans="1:14" ht="19.5" hidden="1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</row>
    <row r="5369" spans="1:14" ht="19.5" hidden="1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</row>
    <row r="5370" spans="1:14" ht="19.5" hidden="1" thickBot="1" x14ac:dyDescent="0.3">
      <c r="A5370" s="683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686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</row>
    <row r="5371" spans="1:14" ht="19.5" hidden="1" thickBot="1" x14ac:dyDescent="0.3">
      <c r="A5371" s="685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688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</row>
    <row r="5372" spans="1:14" ht="19.5" hidden="1" thickBot="1" x14ac:dyDescent="0.3">
      <c r="A5372" s="685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688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</row>
    <row r="5373" spans="1:14" ht="19.5" hidden="1" thickBot="1" x14ac:dyDescent="0.3">
      <c r="A5373" s="685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688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</row>
    <row r="5374" spans="1:14" ht="19.5" hidden="1" thickBot="1" x14ac:dyDescent="0.3">
      <c r="A5374" s="680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</row>
    <row r="5375" spans="1:14" ht="19.5" hidden="1" thickBot="1" x14ac:dyDescent="0.3">
      <c r="A5375" s="682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</row>
    <row r="5376" spans="1:14" ht="19.5" hidden="1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</row>
    <row r="5377" spans="1:14" ht="19.5" hidden="1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</row>
    <row r="5378" spans="1:14" ht="19.5" hidden="1" thickBot="1" x14ac:dyDescent="0.3">
      <c r="A5378" s="683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</row>
    <row r="5379" spans="1:14" ht="19.5" hidden="1" thickBot="1" x14ac:dyDescent="0.3">
      <c r="A5379" s="684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</row>
    <row r="5380" spans="1:14" ht="19.5" hidden="1" thickBot="1" x14ac:dyDescent="0.3">
      <c r="A5380" s="680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</row>
    <row r="5381" spans="1:14" ht="19.5" hidden="1" thickBot="1" x14ac:dyDescent="0.3">
      <c r="A5381" s="682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</row>
    <row r="5382" spans="1:14" ht="19.5" hidden="1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</row>
    <row r="5383" spans="1:14" ht="19.5" hidden="1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</row>
    <row r="5384" spans="1:14" ht="19.5" hidden="1" thickBot="1" x14ac:dyDescent="0.3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</row>
    <row r="5385" spans="1:14" ht="19.5" hidden="1" thickBot="1" x14ac:dyDescent="0.3">
      <c r="A5385" s="680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</row>
    <row r="5386" spans="1:14" ht="57" hidden="1" thickBot="1" x14ac:dyDescent="0.3">
      <c r="A5386" s="682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</row>
    <row r="5387" spans="1:14" ht="19.5" hidden="1" thickBot="1" x14ac:dyDescent="0.3">
      <c r="A5387" s="683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</row>
    <row r="5388" spans="1:14" ht="19.5" hidden="1" thickBot="1" x14ac:dyDescent="0.3">
      <c r="A5388" s="684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</row>
    <row r="5389" spans="1:14" ht="19.5" hidden="1" thickBot="1" x14ac:dyDescent="0.3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</row>
    <row r="5390" spans="1:14" ht="19.5" hidden="1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</row>
    <row r="5391" spans="1:14" ht="19.5" hidden="1" thickBot="1" x14ac:dyDescent="0.3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</row>
    <row r="5392" spans="1:14" ht="38.25" hidden="1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</row>
    <row r="5393" spans="1:14" ht="19.5" hidden="1" thickBot="1" x14ac:dyDescent="0.3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</row>
    <row r="5394" spans="1:14" ht="19.5" hidden="1" thickBot="1" x14ac:dyDescent="0.3">
      <c r="A5394" s="683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</row>
    <row r="5395" spans="1:14" ht="19.5" hidden="1" thickBot="1" x14ac:dyDescent="0.3">
      <c r="A5395" s="685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</row>
    <row r="5396" spans="1:14" ht="19.5" hidden="1" thickBot="1" x14ac:dyDescent="0.3">
      <c r="A5396" s="685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</row>
    <row r="5397" spans="1:14" ht="19.5" hidden="1" thickBot="1" x14ac:dyDescent="0.3">
      <c r="A5397" s="684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</row>
    <row r="5398" spans="1:14" ht="19.5" hidden="1" thickBot="1" x14ac:dyDescent="0.3">
      <c r="A5398" s="681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</row>
    <row r="5399" spans="1:14" ht="19.5" hidden="1" thickBot="1" x14ac:dyDescent="0.3">
      <c r="A5399" s="681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</row>
    <row r="5400" spans="1:14" ht="19.5" hidden="1" thickBot="1" x14ac:dyDescent="0.3">
      <c r="A5400" s="683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</row>
    <row r="5401" spans="1:14" ht="19.5" hidden="1" thickBot="1" x14ac:dyDescent="0.3">
      <c r="A5401" s="684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</row>
    <row r="5402" spans="1:14" ht="49.5" hidden="1" customHeight="1" x14ac:dyDescent="0.25">
      <c r="A5402" s="681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689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</row>
    <row r="5403" spans="1:14" ht="49.5" hidden="1" customHeight="1" thickBot="1" x14ac:dyDescent="0.3">
      <c r="A5403" s="681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689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</row>
    <row r="5404" spans="1:14" ht="19.5" hidden="1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4"/>
        <v>12,25</v>
      </c>
      <c r="L5404" s="508" t="s">
        <v>28</v>
      </c>
      <c r="M5404" s="508">
        <v>9047.4</v>
      </c>
      <c r="N5404" s="512">
        <v>0.45833333333333331</v>
      </c>
    </row>
    <row r="5405" spans="1:14" ht="19.5" hidden="1" thickBot="1" x14ac:dyDescent="0.3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4"/>
        <v>12,25</v>
      </c>
      <c r="L5405" s="499" t="s">
        <v>28</v>
      </c>
      <c r="M5405" s="499">
        <v>11079.839999999998</v>
      </c>
      <c r="N5405" s="502">
        <v>0.5</v>
      </c>
    </row>
    <row r="5406" spans="1:14" ht="19.5" hidden="1" thickBot="1" x14ac:dyDescent="0.3">
      <c r="A5406" s="683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4"/>
        <v>12,25</v>
      </c>
      <c r="L5406" s="535" t="s">
        <v>28</v>
      </c>
      <c r="M5406" s="535">
        <v>9513.4</v>
      </c>
      <c r="N5406" s="539">
        <v>0.54166666666666663</v>
      </c>
    </row>
    <row r="5407" spans="1:14" ht="19.5" hidden="1" thickBot="1" x14ac:dyDescent="0.3">
      <c r="A5407" s="685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4"/>
        <v>12,25</v>
      </c>
      <c r="L5407" s="594" t="s">
        <v>28</v>
      </c>
      <c r="M5407" s="594">
        <v>2150.4</v>
      </c>
      <c r="N5407" s="598">
        <v>0.54166666666666663</v>
      </c>
    </row>
    <row r="5408" spans="1:14" ht="19.5" hidden="1" thickBot="1" x14ac:dyDescent="0.3">
      <c r="A5408" s="680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690" t="s">
        <v>467</v>
      </c>
      <c r="H5408" s="483" t="s">
        <v>1184</v>
      </c>
      <c r="I5408" s="484" t="s">
        <v>1189</v>
      </c>
      <c r="J5408" s="485"/>
      <c r="K5408" s="483" t="str">
        <f t="shared" si="154"/>
        <v>12,25</v>
      </c>
      <c r="L5408" s="483" t="s">
        <v>266</v>
      </c>
      <c r="M5408" s="483">
        <v>6002.9400000000005</v>
      </c>
      <c r="N5408" s="486">
        <v>0.54166666666666663</v>
      </c>
    </row>
    <row r="5409" spans="1:14" ht="19.5" hidden="1" thickBot="1" x14ac:dyDescent="0.3">
      <c r="A5409" s="682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691"/>
      <c r="H5409" s="649" t="s">
        <v>1186</v>
      </c>
      <c r="I5409" s="651" t="s">
        <v>1189</v>
      </c>
      <c r="J5409" s="652"/>
      <c r="K5409" s="649" t="str">
        <f t="shared" si="154"/>
        <v>12,25</v>
      </c>
      <c r="L5409" s="649" t="s">
        <v>266</v>
      </c>
      <c r="M5409" s="649">
        <v>1418.4</v>
      </c>
      <c r="N5409" s="653">
        <v>0.375</v>
      </c>
    </row>
    <row r="5410" spans="1:14" ht="19.5" hidden="1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4"/>
        <v>12,25</v>
      </c>
      <c r="L5410" s="508" t="s">
        <v>266</v>
      </c>
      <c r="M5410" s="508">
        <v>16341.720000000001</v>
      </c>
      <c r="N5410" s="512">
        <v>0.41666666666666669</v>
      </c>
    </row>
    <row r="5411" spans="1:14" ht="19.5" hidden="1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4"/>
        <v>12,25</v>
      </c>
      <c r="L5411" s="518" t="s">
        <v>266</v>
      </c>
      <c r="M5411" s="518">
        <v>18102.440000000002</v>
      </c>
      <c r="N5411" s="522">
        <v>0.45833333333333331</v>
      </c>
    </row>
    <row r="5412" spans="1:14" ht="19.5" hidden="1" thickBot="1" x14ac:dyDescent="0.3">
      <c r="A5412" s="683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4"/>
        <v>12,25</v>
      </c>
      <c r="L5412" s="535" t="s">
        <v>266</v>
      </c>
      <c r="M5412" s="535">
        <v>15212.200000000003</v>
      </c>
      <c r="N5412" s="539">
        <v>0.5</v>
      </c>
    </row>
    <row r="5413" spans="1:14" ht="19.5" hidden="1" thickBot="1" x14ac:dyDescent="0.3">
      <c r="A5413" s="685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4"/>
        <v>12,25</v>
      </c>
      <c r="L5413" s="594" t="s">
        <v>266</v>
      </c>
      <c r="M5413" s="594">
        <v>2751.77</v>
      </c>
      <c r="N5413" s="598">
        <v>0.5</v>
      </c>
    </row>
    <row r="5414" spans="1:14" ht="19.5" hidden="1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4"/>
        <v>12,25</v>
      </c>
      <c r="L5414" s="518" t="s">
        <v>265</v>
      </c>
      <c r="M5414" s="518">
        <v>17755.46</v>
      </c>
      <c r="N5414" s="522">
        <v>0.375</v>
      </c>
    </row>
    <row r="5415" spans="1:14" ht="19.5" hidden="1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4"/>
        <v>12,25</v>
      </c>
      <c r="L5415" s="508" t="s">
        <v>266</v>
      </c>
      <c r="M5415" s="508">
        <v>17984.2</v>
      </c>
      <c r="N5415" s="512">
        <v>0.41666666666666669</v>
      </c>
    </row>
    <row r="5416" spans="1:14" ht="19.5" hidden="1" thickBot="1" x14ac:dyDescent="0.3">
      <c r="A5416" s="680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690" t="s">
        <v>467</v>
      </c>
      <c r="H5416" s="483" t="s">
        <v>1188</v>
      </c>
      <c r="I5416" s="484" t="s">
        <v>1189</v>
      </c>
      <c r="J5416" s="485"/>
      <c r="K5416" s="483" t="str">
        <f t="shared" si="154"/>
        <v>12,25</v>
      </c>
      <c r="L5416" s="483" t="s">
        <v>266</v>
      </c>
      <c r="M5416" s="483">
        <v>2269.3000000000002</v>
      </c>
      <c r="N5416" s="486">
        <v>0.45833333333333331</v>
      </c>
    </row>
    <row r="5417" spans="1:14" ht="19.5" hidden="1" thickBot="1" x14ac:dyDescent="0.3">
      <c r="A5417" s="681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689"/>
      <c r="H5417" s="499" t="s">
        <v>1188</v>
      </c>
      <c r="I5417" s="500" t="s">
        <v>1189</v>
      </c>
      <c r="J5417" s="501"/>
      <c r="K5417" s="499" t="str">
        <f t="shared" si="154"/>
        <v>12,25</v>
      </c>
      <c r="L5417" s="499" t="s">
        <v>266</v>
      </c>
      <c r="M5417" s="499">
        <v>5310</v>
      </c>
      <c r="N5417" s="502">
        <v>0.45833333333333331</v>
      </c>
    </row>
    <row r="5418" spans="1:14" ht="19.5" hidden="1" thickBot="1" x14ac:dyDescent="0.3">
      <c r="A5418" s="683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4"/>
        <v>12,25</v>
      </c>
      <c r="L5418" s="535" t="s">
        <v>265</v>
      </c>
      <c r="M5418" s="535">
        <v>11332.480000000001</v>
      </c>
      <c r="N5418" s="539">
        <v>0.375</v>
      </c>
    </row>
    <row r="5419" spans="1:14" ht="19.5" hidden="1" thickBot="1" x14ac:dyDescent="0.3">
      <c r="A5419" s="684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4"/>
        <v>12,25</v>
      </c>
      <c r="L5419" s="640" t="s">
        <v>265</v>
      </c>
      <c r="M5419" s="640">
        <v>6470.5</v>
      </c>
      <c r="N5419" s="644">
        <v>0.375</v>
      </c>
    </row>
    <row r="5420" spans="1:14" ht="19.5" hidden="1" thickBot="1" x14ac:dyDescent="0.3">
      <c r="A5420" s="680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4"/>
        <v>12,25</v>
      </c>
      <c r="L5420" s="483" t="s">
        <v>28</v>
      </c>
      <c r="M5420" s="483">
        <v>7612.36</v>
      </c>
      <c r="N5420" s="486">
        <v>0.41666666666666669</v>
      </c>
    </row>
    <row r="5421" spans="1:14" ht="19.5" hidden="1" thickBot="1" x14ac:dyDescent="0.3">
      <c r="A5421" s="682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4"/>
        <v>12,25</v>
      </c>
      <c r="L5421" s="649" t="s">
        <v>28</v>
      </c>
      <c r="M5421" s="649">
        <v>10550.220000000001</v>
      </c>
      <c r="N5421" s="653">
        <v>0.41666666666666669</v>
      </c>
    </row>
    <row r="5422" spans="1:14" ht="19.5" hidden="1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4"/>
        <v>12,25</v>
      </c>
      <c r="L5422" s="508" t="s">
        <v>28</v>
      </c>
      <c r="M5422" s="508">
        <v>10328.039999999999</v>
      </c>
      <c r="N5422" s="512">
        <v>0.41666666666666669</v>
      </c>
    </row>
    <row r="5423" spans="1:14" ht="19.5" hidden="1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4"/>
        <v>12,25</v>
      </c>
      <c r="L5423" s="518" t="s">
        <v>265</v>
      </c>
      <c r="M5423" s="518">
        <v>11880.959999999997</v>
      </c>
      <c r="N5423" s="522">
        <v>0.375</v>
      </c>
    </row>
    <row r="5424" spans="1:14" ht="19.5" hidden="1" thickBot="1" x14ac:dyDescent="0.3">
      <c r="A5424" s="551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4"/>
        <v>01,26</v>
      </c>
      <c r="L5424" s="556" t="s">
        <v>28</v>
      </c>
      <c r="M5424" s="556">
        <v>8586.36</v>
      </c>
      <c r="N5424" s="560">
        <v>0.41666666666666669</v>
      </c>
    </row>
    <row r="5425" spans="1:14" ht="19.5" hidden="1" thickBot="1" x14ac:dyDescent="0.3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4"/>
        <v>01,26</v>
      </c>
      <c r="L5425" s="518" t="s">
        <v>265</v>
      </c>
      <c r="M5425" s="518">
        <v>17484.350000000002</v>
      </c>
      <c r="N5425" s="522">
        <v>0.375</v>
      </c>
    </row>
    <row r="5426" spans="1:14" ht="19.5" hidden="1" thickBot="1" x14ac:dyDescent="0.3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4"/>
        <v>01,26</v>
      </c>
      <c r="L5426" s="508" t="s">
        <v>265</v>
      </c>
      <c r="M5426" s="508">
        <v>17660.150000000001</v>
      </c>
      <c r="N5426" s="512">
        <v>0.41666666666666669</v>
      </c>
    </row>
    <row r="5427" spans="1:14" ht="19.5" hidden="1" thickBot="1" x14ac:dyDescent="0.3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4"/>
        <v>01,26</v>
      </c>
      <c r="L5427" s="518" t="s">
        <v>265</v>
      </c>
      <c r="M5427" s="518">
        <v>17677.400000000001</v>
      </c>
      <c r="N5427" s="522">
        <v>0.375</v>
      </c>
    </row>
    <row r="5428" spans="1:14" ht="19.5" hidden="1" thickBot="1" x14ac:dyDescent="0.3">
      <c r="A5428" s="683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4"/>
        <v>01,26</v>
      </c>
      <c r="L5428" s="535" t="s">
        <v>28</v>
      </c>
      <c r="M5428" s="535">
        <v>10179.870000000001</v>
      </c>
      <c r="N5428" s="539">
        <v>0.41666666666666669</v>
      </c>
    </row>
    <row r="5429" spans="1:14" ht="19.5" hidden="1" thickBot="1" x14ac:dyDescent="0.3">
      <c r="A5429" s="684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4"/>
        <v>01,26</v>
      </c>
      <c r="L5429" s="640" t="s">
        <v>28</v>
      </c>
      <c r="M5429" s="640">
        <v>7337.1</v>
      </c>
      <c r="N5429" s="644">
        <v>0.41666666666666669</v>
      </c>
    </row>
    <row r="5430" spans="1:14" ht="19.5" hidden="1" thickBot="1" x14ac:dyDescent="0.3">
      <c r="A5430" s="680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4"/>
        <v>01,26</v>
      </c>
      <c r="L5430" s="483" t="s">
        <v>28</v>
      </c>
      <c r="M5430" s="483">
        <v>6405.9400000000005</v>
      </c>
      <c r="N5430" s="486">
        <v>0.45833333333333331</v>
      </c>
    </row>
    <row r="5431" spans="1:14" ht="19.5" hidden="1" thickBot="1" x14ac:dyDescent="0.3">
      <c r="A5431" s="682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5">RIGHT(I5431,5)</f>
        <v>01,26</v>
      </c>
      <c r="L5431" s="649" t="s">
        <v>28</v>
      </c>
      <c r="M5431" s="649">
        <v>11112.15</v>
      </c>
      <c r="N5431" s="653">
        <v>0.45833333333333331</v>
      </c>
    </row>
    <row r="5432" spans="1:14" ht="19.5" hidden="1" thickBot="1" x14ac:dyDescent="0.3">
      <c r="A5432" s="683">
        <f t="shared" si="153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5"/>
        <v>01,26</v>
      </c>
      <c r="L5432" s="535" t="s">
        <v>28</v>
      </c>
      <c r="M5432" s="535">
        <v>8556.9600000000009</v>
      </c>
      <c r="N5432" s="539">
        <v>0.5</v>
      </c>
    </row>
    <row r="5433" spans="1:14" ht="19.5" hidden="1" thickBot="1" x14ac:dyDescent="0.3">
      <c r="A5433" s="684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5"/>
        <v>01,26</v>
      </c>
      <c r="L5433" s="640" t="s">
        <v>28</v>
      </c>
      <c r="M5433" s="640">
        <v>8772.86</v>
      </c>
      <c r="N5433" s="644">
        <v>0.5</v>
      </c>
    </row>
    <row r="5434" spans="1:14" ht="19.5" hidden="1" thickBot="1" x14ac:dyDescent="0.3">
      <c r="A5434" s="513">
        <f t="shared" ref="A5434:A5454" si="156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5"/>
        <v>01,26</v>
      </c>
      <c r="L5434" s="518" t="s">
        <v>265</v>
      </c>
      <c r="M5434" s="518">
        <v>13133.72</v>
      </c>
      <c r="N5434" s="522">
        <v>0.375</v>
      </c>
    </row>
    <row r="5435" spans="1:14" ht="19.5" hidden="1" thickBot="1" x14ac:dyDescent="0.3">
      <c r="A5435" s="551">
        <f t="shared" si="156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5"/>
        <v>01,26</v>
      </c>
      <c r="L5435" s="556" t="s">
        <v>28</v>
      </c>
      <c r="M5435" s="556">
        <v>10923.560000000001</v>
      </c>
      <c r="N5435" s="560">
        <v>0.41666666666666669</v>
      </c>
    </row>
    <row r="5436" spans="1:14" ht="19.5" hidden="1" thickBot="1" x14ac:dyDescent="0.3">
      <c r="A5436" s="680">
        <f t="shared" si="156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690" t="s">
        <v>1195</v>
      </c>
      <c r="H5436" s="483" t="s">
        <v>1194</v>
      </c>
      <c r="I5436" s="484" t="s">
        <v>1197</v>
      </c>
      <c r="J5436" s="485"/>
      <c r="K5436" s="483" t="str">
        <f t="shared" si="155"/>
        <v>01,26</v>
      </c>
      <c r="L5436" s="483" t="s">
        <v>28</v>
      </c>
      <c r="M5436" s="483">
        <v>4034.4</v>
      </c>
      <c r="N5436" s="486">
        <v>0.41666666666666669</v>
      </c>
    </row>
    <row r="5437" spans="1:14" ht="19.5" hidden="1" thickBot="1" x14ac:dyDescent="0.3">
      <c r="A5437" s="682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691"/>
      <c r="H5437" s="649" t="s">
        <v>1194</v>
      </c>
      <c r="I5437" s="651" t="s">
        <v>1197</v>
      </c>
      <c r="J5437" s="652"/>
      <c r="K5437" s="649" t="str">
        <f t="shared" si="155"/>
        <v>01,26</v>
      </c>
      <c r="L5437" s="649" t="s">
        <v>28</v>
      </c>
      <c r="M5437" s="649">
        <v>4048.2</v>
      </c>
      <c r="N5437" s="653">
        <v>0.41666666666666669</v>
      </c>
    </row>
    <row r="5438" spans="1:14" ht="19.5" hidden="1" thickBot="1" x14ac:dyDescent="0.3">
      <c r="A5438" s="503">
        <f t="shared" si="156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5"/>
        <v>01,26</v>
      </c>
      <c r="L5438" s="508" t="s">
        <v>265</v>
      </c>
      <c r="M5438" s="508">
        <v>17702.410000000003</v>
      </c>
      <c r="N5438" s="512">
        <v>0.375</v>
      </c>
    </row>
    <row r="5439" spans="1:14" ht="19.5" hidden="1" thickBot="1" x14ac:dyDescent="0.3">
      <c r="A5439" s="680">
        <f t="shared" si="156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5"/>
        <v>01,26</v>
      </c>
      <c r="L5439" s="483" t="s">
        <v>28</v>
      </c>
      <c r="M5439" s="483">
        <v>10237.230000000001</v>
      </c>
      <c r="N5439" s="486">
        <v>0.41666666666666669</v>
      </c>
    </row>
    <row r="5440" spans="1:14" ht="19.5" hidden="1" thickBot="1" x14ac:dyDescent="0.3">
      <c r="A5440" s="682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5"/>
        <v>01,26</v>
      </c>
      <c r="L5440" s="649" t="s">
        <v>28</v>
      </c>
      <c r="M5440" s="649">
        <v>7158.72</v>
      </c>
      <c r="N5440" s="653">
        <v>0.41666666666666669</v>
      </c>
    </row>
    <row r="5441" spans="1:14" ht="19.5" hidden="1" thickBot="1" x14ac:dyDescent="0.3">
      <c r="A5441" s="683">
        <f t="shared" si="156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5"/>
        <v>01,26</v>
      </c>
      <c r="L5441" s="535" t="s">
        <v>28</v>
      </c>
      <c r="M5441" s="535">
        <v>6325.2</v>
      </c>
      <c r="N5441" s="539">
        <v>0.45833333333333331</v>
      </c>
    </row>
    <row r="5442" spans="1:14" ht="19.5" hidden="1" thickBot="1" x14ac:dyDescent="0.3">
      <c r="A5442" s="684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5"/>
        <v>01,26</v>
      </c>
      <c r="L5442" s="640" t="s">
        <v>28</v>
      </c>
      <c r="M5442" s="640">
        <v>11127.899999999998</v>
      </c>
      <c r="N5442" s="644">
        <v>0.45833333333333331</v>
      </c>
    </row>
    <row r="5443" spans="1:14" ht="19.5" hidden="1" thickBot="1" x14ac:dyDescent="0.3">
      <c r="A5443" s="680">
        <f t="shared" si="156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5"/>
        <v>01,26</v>
      </c>
      <c r="L5443" s="483" t="s">
        <v>28</v>
      </c>
      <c r="M5443" s="483">
        <v>8537.340000000002</v>
      </c>
      <c r="N5443" s="486">
        <v>0.5</v>
      </c>
    </row>
    <row r="5444" spans="1:14" ht="19.5" hidden="1" thickBot="1" x14ac:dyDescent="0.3">
      <c r="A5444" s="682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5"/>
        <v>01,26</v>
      </c>
      <c r="L5444" s="649" t="s">
        <v>28</v>
      </c>
      <c r="M5444" s="649">
        <v>8865.0799999999981</v>
      </c>
      <c r="N5444" s="653">
        <v>0.5</v>
      </c>
    </row>
    <row r="5445" spans="1:14" ht="19.5" hidden="1" thickBot="1" x14ac:dyDescent="0.3">
      <c r="A5445" s="683">
        <f t="shared" si="156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5"/>
        <v>01,26</v>
      </c>
      <c r="L5445" s="535" t="s">
        <v>266</v>
      </c>
      <c r="M5445" s="535">
        <v>14950.859999999999</v>
      </c>
      <c r="N5445" s="539">
        <v>0.54166666666666663</v>
      </c>
    </row>
    <row r="5446" spans="1:14" ht="19.5" hidden="1" thickBot="1" x14ac:dyDescent="0.3">
      <c r="A5446" s="684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5"/>
        <v>01,26</v>
      </c>
      <c r="L5446" s="640" t="s">
        <v>28</v>
      </c>
      <c r="M5446" s="640">
        <v>2406.84</v>
      </c>
      <c r="N5446" s="644">
        <v>0.54166666666666663</v>
      </c>
    </row>
    <row r="5447" spans="1:14" ht="38.25" hidden="1" thickBot="1" x14ac:dyDescent="0.3">
      <c r="A5447" s="513">
        <f t="shared" si="156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5"/>
        <v>01,26</v>
      </c>
      <c r="L5447" s="518" t="s">
        <v>28</v>
      </c>
      <c r="M5447" s="518">
        <v>15656.76</v>
      </c>
      <c r="N5447" s="522">
        <v>0.58333333333333337</v>
      </c>
    </row>
    <row r="5448" spans="1:14" ht="19.5" hidden="1" thickBot="1" x14ac:dyDescent="0.3">
      <c r="A5448" s="503">
        <f t="shared" si="156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5"/>
        <v>01,26</v>
      </c>
      <c r="L5448" s="508" t="s">
        <v>266</v>
      </c>
      <c r="M5448" s="508">
        <v>15533.4</v>
      </c>
      <c r="N5448" s="512">
        <v>0.41666666666666669</v>
      </c>
    </row>
    <row r="5449" spans="1:14" ht="19.5" hidden="1" thickBot="1" x14ac:dyDescent="0.3">
      <c r="A5449" s="680">
        <f t="shared" si="156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5"/>
        <v>01,26</v>
      </c>
      <c r="L5449" s="483" t="s">
        <v>28</v>
      </c>
      <c r="M5449" s="483">
        <v>3487.16</v>
      </c>
      <c r="N5449" s="486">
        <v>0.41666666666666669</v>
      </c>
    </row>
    <row r="5450" spans="1:14" ht="19.5" hidden="1" thickBot="1" x14ac:dyDescent="0.3">
      <c r="A5450" s="681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5"/>
        <v>01,26</v>
      </c>
      <c r="L5450" s="527" t="s">
        <v>28</v>
      </c>
      <c r="M5450" s="527">
        <v>2834.28</v>
      </c>
      <c r="N5450" s="530">
        <v>0.41666666666666669</v>
      </c>
    </row>
    <row r="5451" spans="1:14" ht="19.5" hidden="1" thickBot="1" x14ac:dyDescent="0.3">
      <c r="A5451" s="682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5"/>
        <v>01,26</v>
      </c>
      <c r="L5451" s="649" t="s">
        <v>28</v>
      </c>
      <c r="M5451" s="649">
        <v>5481.0800000000008</v>
      </c>
      <c r="N5451" s="653">
        <v>0.41666666666666669</v>
      </c>
    </row>
    <row r="5452" spans="1:14" ht="19.5" hidden="1" thickBot="1" x14ac:dyDescent="0.3">
      <c r="A5452" s="683">
        <f t="shared" si="156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5"/>
        <v>01,26</v>
      </c>
      <c r="L5452" s="535" t="s">
        <v>28</v>
      </c>
      <c r="M5452" s="535">
        <v>7989</v>
      </c>
      <c r="N5452" s="539">
        <v>0.45833333333333331</v>
      </c>
    </row>
    <row r="5453" spans="1:14" ht="19.5" hidden="1" thickBot="1" x14ac:dyDescent="0.3">
      <c r="A5453" s="684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5"/>
        <v>01,26</v>
      </c>
      <c r="L5453" s="640" t="s">
        <v>28</v>
      </c>
      <c r="M5453" s="640">
        <v>3471.84</v>
      </c>
      <c r="N5453" s="644">
        <v>0.45833333333333331</v>
      </c>
    </row>
    <row r="5454" spans="1:14" ht="19.5" hidden="1" thickBot="1" x14ac:dyDescent="0.3">
      <c r="A5454" s="572">
        <f t="shared" si="156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5"/>
        <v>01,26</v>
      </c>
      <c r="L5454" s="577" t="s">
        <v>28</v>
      </c>
      <c r="M5454" s="577">
        <v>9398.4</v>
      </c>
      <c r="N5454" s="581">
        <v>0.5</v>
      </c>
    </row>
    <row r="5455" spans="1:14" ht="19.5" hidden="1" thickBot="1" x14ac:dyDescent="0.3">
      <c r="A5455" s="683">
        <f t="shared" ref="A5455:A5518" si="157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5"/>
        <v>01,26</v>
      </c>
      <c r="L5455" s="535" t="s">
        <v>265</v>
      </c>
      <c r="M5455" s="535">
        <v>15482.119999999999</v>
      </c>
      <c r="N5455" s="539">
        <v>0.39583333333333331</v>
      </c>
    </row>
    <row r="5456" spans="1:14" ht="19.5" hidden="1" thickBot="1" x14ac:dyDescent="0.3">
      <c r="A5456" s="684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5"/>
        <v>01,26</v>
      </c>
      <c r="L5456" s="640" t="s">
        <v>265</v>
      </c>
      <c r="M5456" s="640">
        <v>2253.1</v>
      </c>
      <c r="N5456" s="644">
        <v>0.39583333333333331</v>
      </c>
    </row>
    <row r="5457" spans="1:14" ht="19.5" hidden="1" thickBot="1" x14ac:dyDescent="0.3">
      <c r="A5457" s="513">
        <f t="shared" si="157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5"/>
        <v>01,26</v>
      </c>
      <c r="L5457" s="518" t="s">
        <v>266</v>
      </c>
      <c r="M5457" s="518">
        <v>17997.919999999998</v>
      </c>
      <c r="N5457" s="522">
        <v>0.45833333333333331</v>
      </c>
    </row>
    <row r="5458" spans="1:14" ht="19.5" hidden="1" thickBot="1" x14ac:dyDescent="0.3">
      <c r="A5458" s="503">
        <f t="shared" si="157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5"/>
        <v>01,26</v>
      </c>
      <c r="L5458" s="508" t="s">
        <v>266</v>
      </c>
      <c r="M5458" s="508">
        <v>18154.95</v>
      </c>
      <c r="N5458" s="512">
        <v>0.5</v>
      </c>
    </row>
    <row r="5459" spans="1:14" ht="19.5" hidden="1" thickBot="1" x14ac:dyDescent="0.3">
      <c r="A5459" s="513">
        <f t="shared" si="157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5"/>
        <v>01,26</v>
      </c>
      <c r="L5459" s="518" t="s">
        <v>265</v>
      </c>
      <c r="M5459" s="518">
        <v>17758.97</v>
      </c>
      <c r="N5459" s="522">
        <v>0.375</v>
      </c>
    </row>
    <row r="5460" spans="1:14" ht="19.5" hidden="1" thickBot="1" x14ac:dyDescent="0.3">
      <c r="A5460" s="551">
        <f t="shared" si="157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5"/>
        <v>01,26</v>
      </c>
      <c r="L5460" s="556" t="s">
        <v>265</v>
      </c>
      <c r="M5460" s="556">
        <v>12000.76</v>
      </c>
      <c r="N5460" s="560">
        <v>0.375</v>
      </c>
    </row>
    <row r="5461" spans="1:14" ht="19.5" hidden="1" thickBot="1" x14ac:dyDescent="0.3">
      <c r="A5461" s="513">
        <f t="shared" si="157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5"/>
        <v>01,26</v>
      </c>
      <c r="L5461" s="518" t="s">
        <v>266</v>
      </c>
      <c r="M5461" s="518">
        <v>18168.139999999996</v>
      </c>
      <c r="N5461" s="522">
        <v>0.41666666666666669</v>
      </c>
    </row>
    <row r="5462" spans="1:14" ht="19.5" hidden="1" thickBot="1" x14ac:dyDescent="0.3">
      <c r="A5462" s="503">
        <f t="shared" si="157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5"/>
        <v>01,26</v>
      </c>
      <c r="L5462" s="508" t="s">
        <v>266</v>
      </c>
      <c r="M5462" s="508">
        <v>18299.759999999995</v>
      </c>
      <c r="N5462" s="512">
        <v>0.45833333333333331</v>
      </c>
    </row>
    <row r="5463" spans="1:14" ht="19.5" hidden="1" thickBot="1" x14ac:dyDescent="0.3">
      <c r="A5463" s="513">
        <f t="shared" si="157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5"/>
        <v>01,26</v>
      </c>
      <c r="L5463" s="518" t="s">
        <v>266</v>
      </c>
      <c r="M5463" s="518">
        <v>18175.439999999999</v>
      </c>
      <c r="N5463" s="522">
        <v>0.5</v>
      </c>
    </row>
    <row r="5464" spans="1:14" ht="19.5" hidden="1" thickBot="1" x14ac:dyDescent="0.3">
      <c r="A5464" s="683">
        <f t="shared" si="157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5"/>
        <v>01,26</v>
      </c>
      <c r="L5464" s="535" t="s">
        <v>266</v>
      </c>
      <c r="M5464" s="535">
        <v>9287.3200000000015</v>
      </c>
      <c r="N5464" s="539">
        <v>0.54166666666666663</v>
      </c>
    </row>
    <row r="5465" spans="1:14" ht="19.5" hidden="1" thickBot="1" x14ac:dyDescent="0.3">
      <c r="A5465" s="685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5"/>
        <v>01,26</v>
      </c>
      <c r="L5465" s="567" t="s">
        <v>266</v>
      </c>
      <c r="M5465" s="567">
        <v>4605.9600000000019</v>
      </c>
      <c r="N5465" s="571">
        <v>0.54166666666666663</v>
      </c>
    </row>
    <row r="5466" spans="1:14" ht="19.5" hidden="1" thickBot="1" x14ac:dyDescent="0.3">
      <c r="A5466" s="685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5"/>
        <v>01,26</v>
      </c>
      <c r="L5466" s="594" t="s">
        <v>266</v>
      </c>
      <c r="M5466" s="594">
        <v>3015</v>
      </c>
      <c r="N5466" s="598">
        <v>0.54166666666666663</v>
      </c>
    </row>
    <row r="5467" spans="1:14" ht="19.5" hidden="1" thickBot="1" x14ac:dyDescent="0.3">
      <c r="A5467" s="680">
        <f t="shared" si="157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5"/>
        <v>01,26</v>
      </c>
      <c r="L5467" s="483" t="s">
        <v>265</v>
      </c>
      <c r="M5467" s="483">
        <v>15395.74</v>
      </c>
      <c r="N5467" s="486">
        <v>0.375</v>
      </c>
    </row>
    <row r="5468" spans="1:14" ht="19.5" hidden="1" thickBot="1" x14ac:dyDescent="0.3">
      <c r="A5468" s="682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5"/>
        <v>01,26</v>
      </c>
      <c r="L5468" s="649" t="s">
        <v>265</v>
      </c>
      <c r="M5468" s="649">
        <v>2072.6999999999998</v>
      </c>
      <c r="N5468" s="653">
        <v>0.375</v>
      </c>
    </row>
    <row r="5469" spans="1:14" ht="19.5" hidden="1" thickBot="1" x14ac:dyDescent="0.3">
      <c r="A5469" s="503">
        <f t="shared" si="157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5"/>
        <v>01,26</v>
      </c>
      <c r="L5469" s="508" t="s">
        <v>266</v>
      </c>
      <c r="M5469" s="508">
        <v>12250.32</v>
      </c>
      <c r="N5469" s="512">
        <v>0.41666666666666669</v>
      </c>
    </row>
    <row r="5470" spans="1:14" ht="19.5" hidden="1" thickBot="1" x14ac:dyDescent="0.3">
      <c r="A5470" s="680">
        <f t="shared" si="157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5"/>
        <v>01,26</v>
      </c>
      <c r="L5470" s="483" t="s">
        <v>265</v>
      </c>
      <c r="M5470" s="483">
        <v>17206.269999999997</v>
      </c>
      <c r="N5470" s="486">
        <v>0.375</v>
      </c>
    </row>
    <row r="5471" spans="1:14" ht="19.5" hidden="1" thickBot="1" x14ac:dyDescent="0.3">
      <c r="A5471" s="682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5"/>
        <v>01,26</v>
      </c>
      <c r="L5471" s="649" t="s">
        <v>265</v>
      </c>
      <c r="M5471" s="649">
        <v>444.00000000000006</v>
      </c>
      <c r="N5471" s="653">
        <v>0.375</v>
      </c>
    </row>
    <row r="5472" spans="1:14" ht="19.5" hidden="1" thickBot="1" x14ac:dyDescent="0.3">
      <c r="A5472" s="683">
        <f t="shared" si="157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5"/>
        <v>01,26</v>
      </c>
      <c r="L5472" s="535" t="s">
        <v>28</v>
      </c>
      <c r="M5472" s="535">
        <v>8556.4000000000015</v>
      </c>
      <c r="N5472" s="539">
        <v>0.41666666666666669</v>
      </c>
    </row>
    <row r="5473" spans="1:14" ht="57" hidden="1" thickBot="1" x14ac:dyDescent="0.3">
      <c r="A5473" s="685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5"/>
        <v>01,26</v>
      </c>
      <c r="L5473" s="567" t="s">
        <v>28</v>
      </c>
      <c r="M5473" s="567">
        <v>1312.8</v>
      </c>
      <c r="N5473" s="571">
        <v>0.41666666666666669</v>
      </c>
    </row>
    <row r="5474" spans="1:14" ht="19.5" hidden="1" thickBot="1" x14ac:dyDescent="0.3">
      <c r="A5474" s="684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5"/>
        <v>01,26</v>
      </c>
      <c r="L5474" s="640" t="s">
        <v>28</v>
      </c>
      <c r="M5474" s="640">
        <v>7342.8</v>
      </c>
      <c r="N5474" s="644">
        <v>0.41666666666666669</v>
      </c>
    </row>
    <row r="5475" spans="1:14" ht="19.5" hidden="1" thickBot="1" x14ac:dyDescent="0.3">
      <c r="A5475" s="513">
        <f t="shared" si="157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5"/>
        <v>01,26</v>
      </c>
      <c r="L5475" s="518" t="s">
        <v>265</v>
      </c>
      <c r="M5475" s="518">
        <v>12544.32</v>
      </c>
      <c r="N5475" s="522">
        <v>0.375</v>
      </c>
    </row>
    <row r="5476" spans="1:14" ht="19.5" hidden="1" thickBot="1" x14ac:dyDescent="0.3">
      <c r="A5476" s="683">
        <f t="shared" si="157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5"/>
        <v>01,26</v>
      </c>
      <c r="L5476" s="535" t="s">
        <v>266</v>
      </c>
      <c r="M5476" s="535">
        <v>3627.5400000000004</v>
      </c>
      <c r="N5476" s="539">
        <v>0.45833333333333331</v>
      </c>
    </row>
    <row r="5477" spans="1:14" ht="19.5" hidden="1" thickBot="1" x14ac:dyDescent="0.3">
      <c r="A5477" s="685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5"/>
        <v>01,26</v>
      </c>
      <c r="L5477" s="567" t="s">
        <v>28</v>
      </c>
      <c r="M5477" s="567">
        <v>1229.58</v>
      </c>
      <c r="N5477" s="571">
        <v>0.45833333333333331</v>
      </c>
    </row>
    <row r="5478" spans="1:14" ht="19.5" hidden="1" thickBot="1" x14ac:dyDescent="0.3">
      <c r="A5478" s="684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5"/>
        <v>01,26</v>
      </c>
      <c r="L5478" s="640" t="s">
        <v>28</v>
      </c>
      <c r="M5478" s="640">
        <v>12532.46</v>
      </c>
      <c r="N5478" s="644">
        <v>0.45833333333333331</v>
      </c>
    </row>
    <row r="5479" spans="1:14" ht="19.5" hidden="1" thickBot="1" x14ac:dyDescent="0.3">
      <c r="A5479" s="680">
        <f t="shared" si="157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5"/>
        <v>01,26</v>
      </c>
      <c r="L5479" s="483" t="s">
        <v>28</v>
      </c>
      <c r="M5479" s="483">
        <v>2025</v>
      </c>
      <c r="N5479" s="486">
        <v>0.5</v>
      </c>
    </row>
    <row r="5480" spans="1:14" ht="19.5" hidden="1" thickBot="1" x14ac:dyDescent="0.3">
      <c r="A5480" s="681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5"/>
        <v>01,26</v>
      </c>
      <c r="L5480" s="527" t="s">
        <v>28</v>
      </c>
      <c r="M5480" s="527">
        <v>14188.970000000001</v>
      </c>
      <c r="N5480" s="530">
        <v>0.5</v>
      </c>
    </row>
    <row r="5481" spans="1:14" ht="19.5" hidden="1" thickBot="1" x14ac:dyDescent="0.3">
      <c r="A5481" s="682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5"/>
        <v>01,26</v>
      </c>
      <c r="L5481" s="649" t="s">
        <v>28</v>
      </c>
      <c r="M5481" s="649">
        <v>1197.04</v>
      </c>
      <c r="N5481" s="653">
        <v>0.5</v>
      </c>
    </row>
    <row r="5482" spans="1:14" ht="19.5" hidden="1" thickBot="1" x14ac:dyDescent="0.3">
      <c r="A5482" s="683">
        <f t="shared" si="157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5"/>
        <v>01,26</v>
      </c>
      <c r="L5482" s="535" t="s">
        <v>28</v>
      </c>
      <c r="M5482" s="535">
        <v>4882.13</v>
      </c>
      <c r="N5482" s="539">
        <v>0.54166666666666663</v>
      </c>
    </row>
    <row r="5483" spans="1:14" ht="19.5" hidden="1" thickBot="1" x14ac:dyDescent="0.3">
      <c r="A5483" s="685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5"/>
        <v>01,26</v>
      </c>
      <c r="L5483" s="567" t="s">
        <v>28</v>
      </c>
      <c r="M5483" s="567">
        <v>6505.7999999999993</v>
      </c>
      <c r="N5483" s="571">
        <v>0.54166666666666663</v>
      </c>
    </row>
    <row r="5484" spans="1:14" ht="19.5" hidden="1" thickBot="1" x14ac:dyDescent="0.3">
      <c r="A5484" s="684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5"/>
        <v>01,26</v>
      </c>
      <c r="L5484" s="640" t="s">
        <v>28</v>
      </c>
      <c r="M5484" s="640">
        <v>5985.72</v>
      </c>
      <c r="N5484" s="644">
        <v>0.54166666666666663</v>
      </c>
    </row>
    <row r="5485" spans="1:14" ht="19.5" hidden="1" thickBot="1" x14ac:dyDescent="0.3">
      <c r="A5485" s="680">
        <f t="shared" si="157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5"/>
        <v>01,26</v>
      </c>
      <c r="L5485" s="483" t="s">
        <v>265</v>
      </c>
      <c r="M5485" s="483">
        <v>15389.899999999998</v>
      </c>
      <c r="N5485" s="486">
        <v>0.375</v>
      </c>
    </row>
    <row r="5486" spans="1:14" ht="19.5" hidden="1" thickBot="1" x14ac:dyDescent="0.3">
      <c r="A5486" s="681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5"/>
        <v>01,26</v>
      </c>
      <c r="L5486" s="499" t="s">
        <v>266</v>
      </c>
      <c r="M5486" s="499">
        <v>1975.4999999999998</v>
      </c>
      <c r="N5486" s="502">
        <v>0.375</v>
      </c>
    </row>
    <row r="5487" spans="1:14" ht="19.5" hidden="1" thickBot="1" x14ac:dyDescent="0.3">
      <c r="A5487" s="503">
        <f t="shared" si="157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5"/>
        <v>01,26</v>
      </c>
      <c r="L5487" s="508" t="s">
        <v>28</v>
      </c>
      <c r="M5487" s="508">
        <v>11061.36</v>
      </c>
      <c r="N5487" s="512">
        <v>0.41666666666666669</v>
      </c>
    </row>
    <row r="5488" spans="1:14" ht="19.5" hidden="1" thickBot="1" x14ac:dyDescent="0.3">
      <c r="A5488" s="513">
        <f t="shared" si="157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5"/>
        <v>01,26</v>
      </c>
      <c r="L5488" s="518" t="s">
        <v>265</v>
      </c>
      <c r="M5488" s="518">
        <v>11592.84</v>
      </c>
      <c r="N5488" s="522">
        <v>0.375</v>
      </c>
    </row>
    <row r="5489" spans="1:14" ht="19.5" hidden="1" thickBot="1" x14ac:dyDescent="0.3">
      <c r="A5489" s="683">
        <f t="shared" si="157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686" t="s">
        <v>1206</v>
      </c>
      <c r="H5489" s="535" t="s">
        <v>1205</v>
      </c>
      <c r="I5489" s="537" t="s">
        <v>1205</v>
      </c>
      <c r="J5489" s="538"/>
      <c r="K5489" s="535" t="str">
        <f t="shared" si="155"/>
        <v>01,26</v>
      </c>
      <c r="L5489" s="535" t="s">
        <v>28</v>
      </c>
      <c r="M5489" s="535">
        <v>7185.22</v>
      </c>
      <c r="N5489" s="539">
        <v>0.41666666666666669</v>
      </c>
    </row>
    <row r="5490" spans="1:14" ht="19.5" hidden="1" thickBot="1" x14ac:dyDescent="0.3">
      <c r="A5490" s="684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687"/>
      <c r="H5490" s="640" t="s">
        <v>1205</v>
      </c>
      <c r="I5490" s="642" t="s">
        <v>1205</v>
      </c>
      <c r="J5490" s="643"/>
      <c r="K5490" s="640" t="str">
        <f t="shared" si="155"/>
        <v>01,26</v>
      </c>
      <c r="L5490" s="640" t="s">
        <v>28</v>
      </c>
      <c r="M5490" s="640">
        <v>2242.9000000000005</v>
      </c>
      <c r="N5490" s="644">
        <v>0.41666666666666669</v>
      </c>
    </row>
    <row r="5491" spans="1:14" ht="38.25" hidden="1" thickBot="1" x14ac:dyDescent="0.3">
      <c r="A5491" s="513">
        <f t="shared" si="157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5"/>
        <v>01,26</v>
      </c>
      <c r="L5491" s="518" t="s">
        <v>266</v>
      </c>
      <c r="M5491" s="518">
        <v>14826.3</v>
      </c>
      <c r="N5491" s="522">
        <v>0.45833333333333331</v>
      </c>
    </row>
    <row r="5492" spans="1:14" ht="19.5" hidden="1" thickBot="1" x14ac:dyDescent="0.3">
      <c r="A5492" s="503">
        <f t="shared" si="157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5"/>
        <v>01,26</v>
      </c>
      <c r="L5492" s="508" t="s">
        <v>265</v>
      </c>
      <c r="M5492" s="508">
        <v>17673.060000000001</v>
      </c>
      <c r="N5492" s="512">
        <v>0.375</v>
      </c>
    </row>
    <row r="5493" spans="1:14" ht="19.5" hidden="1" thickBot="1" x14ac:dyDescent="0.3">
      <c r="A5493" s="680">
        <f t="shared" si="157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5"/>
        <v>01,26</v>
      </c>
      <c r="L5493" s="483" t="s">
        <v>28</v>
      </c>
      <c r="M5493" s="483">
        <v>2021.5400000000002</v>
      </c>
      <c r="N5493" s="486">
        <v>0.41666666666666669</v>
      </c>
    </row>
    <row r="5494" spans="1:14" ht="19.5" hidden="1" thickBot="1" x14ac:dyDescent="0.3">
      <c r="A5494" s="681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5"/>
        <v>01,26</v>
      </c>
      <c r="L5494" s="527" t="s">
        <v>28</v>
      </c>
      <c r="M5494" s="527">
        <v>13816.050000000001</v>
      </c>
      <c r="N5494" s="530">
        <v>0.41666666666666669</v>
      </c>
    </row>
    <row r="5495" spans="1:14" ht="19.5" hidden="1" thickBot="1" x14ac:dyDescent="0.3">
      <c r="A5495" s="682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25" si="158">RIGHT(I5495,5)</f>
        <v>01,26</v>
      </c>
      <c r="L5495" s="649" t="s">
        <v>28</v>
      </c>
      <c r="M5495" s="649">
        <v>1500</v>
      </c>
      <c r="N5495" s="653">
        <v>0.41666666666666669</v>
      </c>
    </row>
    <row r="5496" spans="1:14" ht="19.5" hidden="1" thickBot="1" x14ac:dyDescent="0.3">
      <c r="A5496" s="503">
        <f t="shared" si="157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8"/>
        <v>01,26</v>
      </c>
      <c r="L5496" s="508" t="s">
        <v>28</v>
      </c>
      <c r="M5496" s="508">
        <v>17211.36</v>
      </c>
      <c r="N5496" s="512">
        <v>0.45833333333333331</v>
      </c>
    </row>
    <row r="5497" spans="1:14" ht="19.5" hidden="1" thickBot="1" x14ac:dyDescent="0.3">
      <c r="A5497" s="680">
        <f t="shared" si="157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8"/>
        <v>01,26</v>
      </c>
      <c r="L5497" s="483" t="s">
        <v>28</v>
      </c>
      <c r="M5497" s="483">
        <v>3358.6800000000003</v>
      </c>
      <c r="N5497" s="486">
        <v>0.41666666666666669</v>
      </c>
    </row>
    <row r="5498" spans="1:14" ht="19.5" hidden="1" thickBot="1" x14ac:dyDescent="0.3">
      <c r="A5498" s="682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8"/>
        <v>01,26</v>
      </c>
      <c r="L5498" s="649" t="s">
        <v>28</v>
      </c>
      <c r="M5498" s="649">
        <v>8727.6</v>
      </c>
      <c r="N5498" s="653">
        <v>0.41666666666666669</v>
      </c>
    </row>
    <row r="5499" spans="1:14" ht="19.5" hidden="1" thickBot="1" x14ac:dyDescent="0.3">
      <c r="A5499" s="683">
        <f t="shared" si="157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8"/>
        <v>01,26</v>
      </c>
      <c r="L5499" s="535" t="s">
        <v>28</v>
      </c>
      <c r="M5499" s="535">
        <v>1491.6</v>
      </c>
      <c r="N5499" s="539">
        <v>0.45833333333333331</v>
      </c>
    </row>
    <row r="5500" spans="1:14" ht="19.5" hidden="1" thickBot="1" x14ac:dyDescent="0.3">
      <c r="A5500" s="684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8"/>
        <v>01,26</v>
      </c>
      <c r="L5500" s="640" t="s">
        <v>28</v>
      </c>
      <c r="M5500" s="640">
        <v>8926.84</v>
      </c>
      <c r="N5500" s="644">
        <v>0.45833333333333331</v>
      </c>
    </row>
    <row r="5501" spans="1:14" ht="19.5" hidden="1" thickBot="1" x14ac:dyDescent="0.3">
      <c r="A5501" s="680">
        <f t="shared" si="157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8"/>
        <v>01,26</v>
      </c>
      <c r="L5501" s="483" t="s">
        <v>28</v>
      </c>
      <c r="M5501" s="483">
        <v>4416.8</v>
      </c>
      <c r="N5501" s="486">
        <v>0.5</v>
      </c>
    </row>
    <row r="5502" spans="1:14" ht="19.5" hidden="1" thickBot="1" x14ac:dyDescent="0.3">
      <c r="A5502" s="682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8"/>
        <v>01,26</v>
      </c>
      <c r="L5502" s="649" t="s">
        <v>28</v>
      </c>
      <c r="M5502" s="649">
        <v>6702.72</v>
      </c>
      <c r="N5502" s="653">
        <v>0.5</v>
      </c>
    </row>
    <row r="5503" spans="1:14" ht="19.5" hidden="1" thickBot="1" x14ac:dyDescent="0.3">
      <c r="A5503" s="551">
        <f t="shared" si="157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8"/>
        <v>01,26</v>
      </c>
      <c r="L5503" s="556" t="s">
        <v>266</v>
      </c>
      <c r="M5503" s="556">
        <v>18062.420000000002</v>
      </c>
      <c r="N5503" s="560">
        <v>0.5</v>
      </c>
    </row>
    <row r="5504" spans="1:14" ht="19.5" hidden="1" thickBot="1" x14ac:dyDescent="0.3">
      <c r="A5504" s="680">
        <f t="shared" si="157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690" t="s">
        <v>1209</v>
      </c>
      <c r="H5504" s="483" t="s">
        <v>1208</v>
      </c>
      <c r="I5504" s="484" t="s">
        <v>1211</v>
      </c>
      <c r="J5504" s="485"/>
      <c r="K5504" s="483" t="str">
        <f t="shared" si="158"/>
        <v>01,26</v>
      </c>
      <c r="L5504" s="483" t="s">
        <v>28</v>
      </c>
      <c r="M5504" s="483">
        <v>5632.6200000000008</v>
      </c>
      <c r="N5504" s="486">
        <v>0.41666666666666669</v>
      </c>
    </row>
    <row r="5505" spans="1:14" ht="19.5" hidden="1" thickBot="1" x14ac:dyDescent="0.3">
      <c r="A5505" s="682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691"/>
      <c r="H5505" s="649" t="s">
        <v>1208</v>
      </c>
      <c r="I5505" s="651" t="s">
        <v>1211</v>
      </c>
      <c r="J5505" s="652"/>
      <c r="K5505" s="649" t="str">
        <f t="shared" si="158"/>
        <v>01,26</v>
      </c>
      <c r="L5505" s="649" t="s">
        <v>28</v>
      </c>
      <c r="M5505" s="649">
        <v>4526.7000000000007</v>
      </c>
      <c r="N5505" s="653">
        <v>0.41666666666666669</v>
      </c>
    </row>
    <row r="5506" spans="1:14" ht="19.5" hidden="1" thickBot="1" x14ac:dyDescent="0.3">
      <c r="A5506" s="503">
        <f t="shared" si="157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8"/>
        <v>01,26</v>
      </c>
      <c r="L5506" s="508" t="s">
        <v>266</v>
      </c>
      <c r="M5506" s="508">
        <v>14519.400000000001</v>
      </c>
      <c r="N5506" s="512">
        <v>0.45833333333333331</v>
      </c>
    </row>
    <row r="5507" spans="1:14" ht="19.5" hidden="1" thickBot="1" x14ac:dyDescent="0.3">
      <c r="A5507" s="680">
        <f t="shared" si="157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8"/>
        <v>01,26</v>
      </c>
      <c r="L5507" s="483" t="s">
        <v>266</v>
      </c>
      <c r="M5507" s="483">
        <v>11804.050000000001</v>
      </c>
      <c r="N5507" s="486">
        <v>0.5</v>
      </c>
    </row>
    <row r="5508" spans="1:14" ht="19.5" hidden="1" thickBot="1" x14ac:dyDescent="0.3">
      <c r="A5508" s="682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8"/>
        <v>01,26</v>
      </c>
      <c r="L5508" s="649" t="s">
        <v>266</v>
      </c>
      <c r="M5508" s="649">
        <v>2330.9300000000003</v>
      </c>
      <c r="N5508" s="653">
        <v>0.5</v>
      </c>
    </row>
    <row r="5509" spans="1:14" ht="19.5" hidden="1" thickBot="1" x14ac:dyDescent="0.3">
      <c r="A5509" s="503">
        <f t="shared" si="157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8"/>
        <v>01,26</v>
      </c>
      <c r="L5509" s="508" t="s">
        <v>266</v>
      </c>
      <c r="M5509" s="508">
        <v>17914.5</v>
      </c>
      <c r="N5509" s="512">
        <v>0.41666666666666669</v>
      </c>
    </row>
    <row r="5510" spans="1:14" ht="19.5" hidden="1" thickBot="1" x14ac:dyDescent="0.3">
      <c r="A5510" s="572">
        <f t="shared" si="157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8"/>
        <v>01,26</v>
      </c>
      <c r="L5510" s="577" t="s">
        <v>266</v>
      </c>
      <c r="M5510" s="577">
        <v>18033.170000000002</v>
      </c>
      <c r="N5510" s="581">
        <v>0.45833333333333331</v>
      </c>
    </row>
    <row r="5511" spans="1:14" ht="19.5" hidden="1" thickBot="1" x14ac:dyDescent="0.3">
      <c r="A5511" s="683">
        <f t="shared" si="157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8"/>
        <v>01,26</v>
      </c>
      <c r="L5511" s="535" t="s">
        <v>265</v>
      </c>
      <c r="M5511" s="535">
        <v>11332.949999999997</v>
      </c>
      <c r="N5511" s="539">
        <v>0.375</v>
      </c>
    </row>
    <row r="5512" spans="1:14" ht="19.5" hidden="1" thickBot="1" x14ac:dyDescent="0.3">
      <c r="A5512" s="684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8"/>
        <v>01,26</v>
      </c>
      <c r="L5512" s="640" t="s">
        <v>265</v>
      </c>
      <c r="M5512" s="640">
        <v>5843.7</v>
      </c>
      <c r="N5512" s="644">
        <v>0.375</v>
      </c>
    </row>
    <row r="5513" spans="1:14" ht="19.5" hidden="1" thickBot="1" x14ac:dyDescent="0.3">
      <c r="A5513" s="680">
        <f t="shared" si="157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8"/>
        <v>01,26</v>
      </c>
      <c r="L5513" s="483" t="s">
        <v>266</v>
      </c>
      <c r="M5513" s="483">
        <v>13280.520000000002</v>
      </c>
      <c r="N5513" s="486">
        <v>0.41666666666666669</v>
      </c>
    </row>
    <row r="5514" spans="1:14" ht="19.5" hidden="1" thickBot="1" x14ac:dyDescent="0.3">
      <c r="A5514" s="682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8"/>
        <v>01,26</v>
      </c>
      <c r="L5514" s="649" t="s">
        <v>266</v>
      </c>
      <c r="M5514" s="649">
        <v>3909.85</v>
      </c>
      <c r="N5514" s="653">
        <v>0.41666666666666669</v>
      </c>
    </row>
    <row r="5515" spans="1:14" ht="19.5" hidden="1" thickBot="1" x14ac:dyDescent="0.3">
      <c r="A5515" s="683">
        <f t="shared" si="157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686" t="s">
        <v>467</v>
      </c>
      <c r="H5515" s="535" t="s">
        <v>1212</v>
      </c>
      <c r="I5515" s="537" t="s">
        <v>1213</v>
      </c>
      <c r="J5515" s="538"/>
      <c r="K5515" s="535" t="str">
        <f t="shared" si="158"/>
        <v>01,26</v>
      </c>
      <c r="L5515" s="535" t="s">
        <v>266</v>
      </c>
      <c r="M5515" s="535">
        <v>4138.5599999999995</v>
      </c>
      <c r="N5515" s="539">
        <v>0.45833333333333331</v>
      </c>
    </row>
    <row r="5516" spans="1:14" ht="19.5" hidden="1" thickBot="1" x14ac:dyDescent="0.3">
      <c r="A5516" s="684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687"/>
      <c r="H5516" s="640" t="s">
        <v>1212</v>
      </c>
      <c r="I5516" s="642" t="s">
        <v>1213</v>
      </c>
      <c r="J5516" s="643"/>
      <c r="K5516" s="640" t="str">
        <f t="shared" si="158"/>
        <v>01,26</v>
      </c>
      <c r="L5516" s="640" t="s">
        <v>266</v>
      </c>
      <c r="M5516" s="640">
        <v>3564.8</v>
      </c>
      <c r="N5516" s="644">
        <v>0.45833333333333331</v>
      </c>
    </row>
    <row r="5517" spans="1:14" ht="19.5" hidden="1" thickBot="1" x14ac:dyDescent="0.3">
      <c r="A5517" s="513">
        <f t="shared" si="157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8"/>
        <v>01,26</v>
      </c>
      <c r="L5517" s="518" t="s">
        <v>265</v>
      </c>
      <c r="M5517" s="518">
        <v>17705.539999999997</v>
      </c>
      <c r="N5517" s="522">
        <v>0.375</v>
      </c>
    </row>
    <row r="5518" spans="1:14" ht="19.5" hidden="1" thickBot="1" x14ac:dyDescent="0.3">
      <c r="A5518" s="683">
        <f t="shared" si="157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8"/>
        <v>01,26</v>
      </c>
      <c r="L5518" s="535" t="s">
        <v>28</v>
      </c>
      <c r="M5518" s="535">
        <v>1493.7000000000003</v>
      </c>
      <c r="N5518" s="539">
        <v>0.41666666666666669</v>
      </c>
    </row>
    <row r="5519" spans="1:14" ht="19.5" hidden="1" thickBot="1" x14ac:dyDescent="0.3">
      <c r="A5519" s="685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8"/>
        <v>01,26</v>
      </c>
      <c r="L5519" s="567" t="s">
        <v>28</v>
      </c>
      <c r="M5519" s="567">
        <v>1568.2799999999997</v>
      </c>
      <c r="N5519" s="571">
        <v>0.41666666666666669</v>
      </c>
    </row>
    <row r="5520" spans="1:14" ht="57" hidden="1" thickBot="1" x14ac:dyDescent="0.3">
      <c r="A5520" s="685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8"/>
        <v>01,26</v>
      </c>
      <c r="L5520" s="567" t="s">
        <v>28</v>
      </c>
      <c r="M5520" s="567">
        <v>1362.24</v>
      </c>
      <c r="N5520" s="571">
        <v>0.41666666666666669</v>
      </c>
    </row>
    <row r="5521" spans="1:14" ht="19.5" hidden="1" thickBot="1" x14ac:dyDescent="0.3">
      <c r="A5521" s="685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8"/>
        <v>01,26</v>
      </c>
      <c r="L5521" s="567" t="s">
        <v>28</v>
      </c>
      <c r="M5521" s="567">
        <v>5167.7199999999993</v>
      </c>
      <c r="N5521" s="571">
        <v>0.41666666666666669</v>
      </c>
    </row>
    <row r="5522" spans="1:14" ht="19.5" hidden="1" thickBot="1" x14ac:dyDescent="0.3">
      <c r="A5522" s="684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8"/>
        <v>01,26</v>
      </c>
      <c r="L5522" s="640" t="s">
        <v>28</v>
      </c>
      <c r="M5522" s="640">
        <v>8351.7200000000012</v>
      </c>
      <c r="N5522" s="644">
        <v>0.41666666666666669</v>
      </c>
    </row>
    <row r="5523" spans="1:14" ht="19.5" hidden="1" thickBot="1" x14ac:dyDescent="0.3">
      <c r="A5523" s="680">
        <f t="shared" ref="A5523:A5584" si="159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8"/>
        <v>01,26</v>
      </c>
      <c r="L5523" s="483" t="s">
        <v>28</v>
      </c>
      <c r="M5523" s="483">
        <v>4936.93</v>
      </c>
      <c r="N5523" s="486">
        <v>0.45833333333333331</v>
      </c>
    </row>
    <row r="5524" spans="1:14" ht="19.5" hidden="1" thickBot="1" x14ac:dyDescent="0.3">
      <c r="A5524" s="681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8"/>
        <v>01,26</v>
      </c>
      <c r="L5524" s="527" t="s">
        <v>28</v>
      </c>
      <c r="M5524" s="527">
        <v>2166.0299999999997</v>
      </c>
      <c r="N5524" s="530">
        <v>0.45833333333333331</v>
      </c>
    </row>
    <row r="5525" spans="1:14" ht="19.5" hidden="1" thickBot="1" x14ac:dyDescent="0.3">
      <c r="A5525" s="682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8"/>
        <v>01,26</v>
      </c>
      <c r="L5525" s="649" t="s">
        <v>28</v>
      </c>
      <c r="M5525" s="649">
        <v>10466.16</v>
      </c>
      <c r="N5525" s="653">
        <v>0.45833333333333331</v>
      </c>
    </row>
    <row r="5526" spans="1:14" ht="19.5" thickBot="1" x14ac:dyDescent="0.3">
      <c r="A5526" s="503">
        <f t="shared" si="159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4"/>
      <c r="L5526" s="508" t="s">
        <v>265</v>
      </c>
      <c r="M5526" s="508">
        <v>12140.16</v>
      </c>
      <c r="N5526" s="512">
        <v>0.375</v>
      </c>
    </row>
    <row r="5527" spans="1:14" x14ac:dyDescent="0.25">
      <c r="A5527" s="680">
        <f t="shared" si="159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79"/>
      <c r="L5527" s="483" t="s">
        <v>265</v>
      </c>
      <c r="M5527" s="483">
        <v>15180.859999999999</v>
      </c>
      <c r="N5527" s="486">
        <v>0.375</v>
      </c>
    </row>
    <row r="5528" spans="1:14" ht="19.5" thickBot="1" x14ac:dyDescent="0.3">
      <c r="A5528" s="681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5"/>
      <c r="L5528" s="499" t="s">
        <v>266</v>
      </c>
      <c r="M5528" s="499">
        <v>2377.9199999999996</v>
      </c>
      <c r="N5528" s="502">
        <v>0.375</v>
      </c>
    </row>
    <row r="5529" spans="1:14" ht="19.5" thickBot="1" x14ac:dyDescent="0.3">
      <c r="A5529" s="503">
        <f t="shared" si="159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4"/>
      <c r="L5529" s="508" t="s">
        <v>265</v>
      </c>
      <c r="M5529" s="508">
        <v>13880.28</v>
      </c>
      <c r="N5529" s="512">
        <v>0.375</v>
      </c>
    </row>
    <row r="5530" spans="1:14" ht="19.5" thickBot="1" x14ac:dyDescent="0.3">
      <c r="A5530" s="513">
        <f t="shared" si="159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4"/>
      <c r="L5530" s="518" t="s">
        <v>28</v>
      </c>
      <c r="M5530" s="518">
        <v>9602.64</v>
      </c>
      <c r="N5530" s="522">
        <v>0.41666666666666669</v>
      </c>
    </row>
    <row r="5531" spans="1:14" x14ac:dyDescent="0.25">
      <c r="A5531" s="683">
        <f t="shared" si="159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686" t="s">
        <v>1152</v>
      </c>
      <c r="H5531" s="535" t="s">
        <v>1214</v>
      </c>
      <c r="I5531" s="537" t="s">
        <v>1214</v>
      </c>
      <c r="J5531" s="538"/>
      <c r="K5531" s="531"/>
      <c r="L5531" s="535" t="s">
        <v>28</v>
      </c>
      <c r="M5531" s="535">
        <v>6405.5300000000007</v>
      </c>
      <c r="N5531" s="539">
        <v>0.41666666666666669</v>
      </c>
    </row>
    <row r="5532" spans="1:14" ht="19.5" thickBot="1" x14ac:dyDescent="0.3">
      <c r="A5532" s="684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687"/>
      <c r="H5532" s="640" t="s">
        <v>1214</v>
      </c>
      <c r="I5532" s="642" t="s">
        <v>1214</v>
      </c>
      <c r="J5532" s="643"/>
      <c r="K5532" s="636"/>
      <c r="L5532" s="640" t="s">
        <v>28</v>
      </c>
      <c r="M5532" s="640">
        <v>7049</v>
      </c>
      <c r="N5532" s="644">
        <v>0.41666666666666669</v>
      </c>
    </row>
    <row r="5533" spans="1:14" ht="19.5" thickBot="1" x14ac:dyDescent="0.3">
      <c r="A5533" s="513">
        <f t="shared" si="159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4"/>
      <c r="L5533" s="518" t="s">
        <v>265</v>
      </c>
      <c r="M5533" s="518">
        <v>17714.829999999998</v>
      </c>
      <c r="N5533" s="522">
        <v>0.375</v>
      </c>
    </row>
    <row r="5534" spans="1:14" x14ac:dyDescent="0.25">
      <c r="A5534" s="683">
        <f t="shared" si="159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686" t="s">
        <v>1217</v>
      </c>
      <c r="H5534" s="535" t="s">
        <v>1215</v>
      </c>
      <c r="I5534" s="537" t="s">
        <v>1216</v>
      </c>
      <c r="J5534" s="538"/>
      <c r="K5534" s="531"/>
      <c r="L5534" s="535" t="s">
        <v>28</v>
      </c>
      <c r="M5534" s="535">
        <v>3575.6900000000005</v>
      </c>
      <c r="N5534" s="539">
        <v>0.41666666666666669</v>
      </c>
    </row>
    <row r="5535" spans="1:14" x14ac:dyDescent="0.25">
      <c r="A5535" s="685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688"/>
      <c r="H5535" s="567" t="s">
        <v>1215</v>
      </c>
      <c r="I5535" s="569" t="s">
        <v>1216</v>
      </c>
      <c r="J5535" s="677" t="s">
        <v>644</v>
      </c>
      <c r="K5535" s="563"/>
      <c r="L5535" s="567" t="s">
        <v>28</v>
      </c>
      <c r="M5535" s="567">
        <v>17.760000000000002</v>
      </c>
      <c r="N5535" s="571">
        <v>0.41666666666666669</v>
      </c>
    </row>
    <row r="5536" spans="1:14" x14ac:dyDescent="0.25">
      <c r="A5536" s="685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688"/>
      <c r="H5536" s="567" t="s">
        <v>1215</v>
      </c>
      <c r="I5536" s="569" t="s">
        <v>1216</v>
      </c>
      <c r="J5536" s="570"/>
      <c r="K5536" s="563"/>
      <c r="L5536" s="567" t="s">
        <v>28</v>
      </c>
      <c r="M5536" s="567">
        <v>2990.49</v>
      </c>
      <c r="N5536" s="571">
        <v>0.41666666666666669</v>
      </c>
    </row>
    <row r="5537" spans="1:14" x14ac:dyDescent="0.25">
      <c r="A5537" s="685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688"/>
      <c r="H5537" s="567" t="s">
        <v>1215</v>
      </c>
      <c r="I5537" s="569" t="s">
        <v>1216</v>
      </c>
      <c r="J5537" s="677" t="s">
        <v>644</v>
      </c>
      <c r="K5537" s="563"/>
      <c r="L5537" s="567" t="s">
        <v>28</v>
      </c>
      <c r="M5537" s="567">
        <v>28.860000000000003</v>
      </c>
      <c r="N5537" s="571">
        <v>0.41666666666666669</v>
      </c>
    </row>
    <row r="5538" spans="1:14" ht="19.5" thickBot="1" x14ac:dyDescent="0.3">
      <c r="A5538" s="684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687"/>
      <c r="H5538" s="640" t="s">
        <v>1215</v>
      </c>
      <c r="I5538" s="642" t="s">
        <v>1216</v>
      </c>
      <c r="J5538" s="643"/>
      <c r="K5538" s="636"/>
      <c r="L5538" s="640" t="s">
        <v>28</v>
      </c>
      <c r="M5538" s="640">
        <v>9196.8599999999988</v>
      </c>
      <c r="N5538" s="644">
        <v>0.41666666666666669</v>
      </c>
    </row>
    <row r="5539" spans="1:14" x14ac:dyDescent="0.25">
      <c r="A5539" s="680">
        <f t="shared" si="159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79"/>
      <c r="L5539" s="483" t="s">
        <v>266</v>
      </c>
      <c r="M5539" s="483">
        <v>13939.980000000001</v>
      </c>
      <c r="N5539" s="486">
        <v>0.45833333333333331</v>
      </c>
    </row>
    <row r="5540" spans="1:14" x14ac:dyDescent="0.25">
      <c r="A5540" s="681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3"/>
      <c r="L5540" s="527" t="s">
        <v>28</v>
      </c>
      <c r="M5540" s="527">
        <v>3493.17</v>
      </c>
      <c r="N5540" s="530">
        <v>0.45833333333333331</v>
      </c>
    </row>
    <row r="5541" spans="1:14" ht="19.5" thickBot="1" x14ac:dyDescent="0.3">
      <c r="A5541" s="682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5"/>
      <c r="L5541" s="649" t="s">
        <v>28</v>
      </c>
      <c r="M5541" s="649">
        <v>44.400000000000006</v>
      </c>
      <c r="N5541" s="653">
        <v>0.45833333333333331</v>
      </c>
    </row>
    <row r="5542" spans="1:14" x14ac:dyDescent="0.25">
      <c r="A5542" s="683">
        <f t="shared" si="159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1"/>
      <c r="L5542" s="535" t="s">
        <v>266</v>
      </c>
      <c r="M5542" s="535">
        <v>7347.9</v>
      </c>
      <c r="N5542" s="539">
        <v>0.5</v>
      </c>
    </row>
    <row r="5543" spans="1:14" x14ac:dyDescent="0.25">
      <c r="A5543" s="685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3"/>
      <c r="L5543" s="567" t="s">
        <v>28</v>
      </c>
      <c r="M5543" s="567">
        <v>5437.0800000000008</v>
      </c>
      <c r="N5543" s="571">
        <v>0.5</v>
      </c>
    </row>
    <row r="5544" spans="1:14" x14ac:dyDescent="0.25">
      <c r="A5544" s="685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3"/>
      <c r="L5544" s="567" t="s">
        <v>28</v>
      </c>
      <c r="M5544" s="567">
        <v>44.400000000000006</v>
      </c>
      <c r="N5544" s="571">
        <v>0.5</v>
      </c>
    </row>
    <row r="5545" spans="1:14" x14ac:dyDescent="0.25">
      <c r="A5545" s="685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3"/>
      <c r="L5545" s="567" t="s">
        <v>28</v>
      </c>
      <c r="M5545" s="567">
        <v>2440.92</v>
      </c>
      <c r="N5545" s="571">
        <v>0.5</v>
      </c>
    </row>
    <row r="5546" spans="1:14" ht="19.5" thickBot="1" x14ac:dyDescent="0.3">
      <c r="A5546" s="684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36"/>
      <c r="L5546" s="640" t="s">
        <v>28</v>
      </c>
      <c r="M5546" s="640">
        <v>1938.3600000000001</v>
      </c>
      <c r="N5546" s="644">
        <v>0.5</v>
      </c>
    </row>
    <row r="5547" spans="1:14" ht="19.5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4"/>
      <c r="L5547" s="518" t="s">
        <v>266</v>
      </c>
      <c r="M5547" s="518">
        <v>17037.8</v>
      </c>
      <c r="N5547" s="522">
        <v>0.33333333333333331</v>
      </c>
    </row>
    <row r="5548" spans="1:14" ht="19.5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4"/>
      <c r="L5548" s="508" t="s">
        <v>265</v>
      </c>
      <c r="M5548" s="508">
        <v>17721.960000000003</v>
      </c>
      <c r="N5548" s="512">
        <v>0.375</v>
      </c>
    </row>
    <row r="5549" spans="1:14" ht="27.75" customHeight="1" x14ac:dyDescent="0.25">
      <c r="A5549" s="680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690" t="s">
        <v>1218</v>
      </c>
      <c r="H5549" s="483" t="s">
        <v>1215</v>
      </c>
      <c r="I5549" s="484" t="s">
        <v>1215</v>
      </c>
      <c r="J5549" s="485"/>
      <c r="K5549" s="479"/>
      <c r="L5549" s="483" t="s">
        <v>28</v>
      </c>
      <c r="M5549" s="483">
        <v>7957.7999999999993</v>
      </c>
      <c r="N5549" s="486">
        <v>0.41666666666666669</v>
      </c>
    </row>
    <row r="5550" spans="1:14" ht="27.75" customHeight="1" thickBot="1" x14ac:dyDescent="0.3">
      <c r="A5550" s="682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691"/>
      <c r="H5550" s="649" t="s">
        <v>1215</v>
      </c>
      <c r="I5550" s="651" t="s">
        <v>1215</v>
      </c>
      <c r="J5550" s="652"/>
      <c r="K5550" s="645"/>
      <c r="L5550" s="649" t="s">
        <v>28</v>
      </c>
      <c r="M5550" s="649">
        <v>1628.16</v>
      </c>
      <c r="N5550" s="653">
        <v>0.41666666666666669</v>
      </c>
    </row>
    <row r="5551" spans="1:14" x14ac:dyDescent="0.25">
      <c r="A5551" s="683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1"/>
      <c r="L5551" s="535" t="s">
        <v>28</v>
      </c>
      <c r="M5551" s="535">
        <v>7814.4400000000014</v>
      </c>
      <c r="N5551" s="539">
        <v>0.45833333333333331</v>
      </c>
    </row>
    <row r="5552" spans="1:14" ht="19.5" thickBot="1" x14ac:dyDescent="0.3">
      <c r="A5552" s="684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36"/>
      <c r="L5552" s="640" t="s">
        <v>28</v>
      </c>
      <c r="M5552" s="640">
        <v>5664.4800000000005</v>
      </c>
      <c r="N5552" s="644">
        <v>0.45833333333333331</v>
      </c>
    </row>
    <row r="5553" spans="1:14" x14ac:dyDescent="0.25">
      <c r="A5553" s="680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79"/>
      <c r="L5553" s="483" t="s">
        <v>28</v>
      </c>
      <c r="M5553" s="483">
        <v>4014.96</v>
      </c>
      <c r="N5553" s="486">
        <v>0.5</v>
      </c>
    </row>
    <row r="5554" spans="1:14" x14ac:dyDescent="0.25">
      <c r="A5554" s="681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3"/>
      <c r="L5554" s="527" t="s">
        <v>28</v>
      </c>
      <c r="M5554" s="527">
        <v>4923.2</v>
      </c>
      <c r="N5554" s="530">
        <v>0.5</v>
      </c>
    </row>
    <row r="5555" spans="1:14" ht="19.5" thickBot="1" x14ac:dyDescent="0.3">
      <c r="A5555" s="682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5"/>
      <c r="L5555" s="649" t="s">
        <v>28</v>
      </c>
      <c r="M5555" s="649">
        <v>4802.6799999999994</v>
      </c>
      <c r="N5555" s="653">
        <v>0.5</v>
      </c>
    </row>
    <row r="5556" spans="1:14" ht="19.5" thickBot="1" x14ac:dyDescent="0.3">
      <c r="A5556" s="503">
        <f t="shared" ref="A5556:A5561" si="160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4"/>
      <c r="L5556" s="508" t="s">
        <v>28</v>
      </c>
      <c r="M5556" s="508">
        <v>8870.64</v>
      </c>
      <c r="N5556" s="512">
        <v>0.54166666666666663</v>
      </c>
    </row>
    <row r="5557" spans="1:14" ht="19.5" thickBot="1" x14ac:dyDescent="0.3">
      <c r="A5557" s="513">
        <f t="shared" si="160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4"/>
      <c r="L5557" s="518" t="s">
        <v>266</v>
      </c>
      <c r="M5557" s="518">
        <v>18148.900000000001</v>
      </c>
      <c r="N5557" s="522">
        <v>0.41666666666666669</v>
      </c>
    </row>
    <row r="5558" spans="1:14" ht="19.5" thickBot="1" x14ac:dyDescent="0.3">
      <c r="A5558" s="678">
        <f t="shared" si="160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2"/>
      <c r="L5558" s="556" t="s">
        <v>266</v>
      </c>
      <c r="M5558" s="556">
        <v>17421.900000000001</v>
      </c>
      <c r="N5558" s="560">
        <v>0.41666666666666669</v>
      </c>
    </row>
    <row r="5559" spans="1:14" ht="19.5" thickBot="1" x14ac:dyDescent="0.3">
      <c r="A5559" s="513">
        <f t="shared" si="160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4"/>
      <c r="L5559" s="518" t="s">
        <v>266</v>
      </c>
      <c r="M5559" s="518">
        <v>18067.14</v>
      </c>
      <c r="N5559" s="522">
        <v>0.41666666666666669</v>
      </c>
    </row>
    <row r="5560" spans="1:14" ht="19.5" thickBot="1" x14ac:dyDescent="0.3">
      <c r="A5560" s="503">
        <f t="shared" si="160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4"/>
      <c r="L5560" s="508" t="s">
        <v>266</v>
      </c>
      <c r="M5560" s="508">
        <v>17970.34</v>
      </c>
      <c r="N5560" s="512">
        <v>0.45833333333333331</v>
      </c>
    </row>
    <row r="5561" spans="1:14" x14ac:dyDescent="0.25">
      <c r="A5561" s="680">
        <f t="shared" si="160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79"/>
      <c r="L5561" s="483" t="s">
        <v>266</v>
      </c>
      <c r="M5561" s="483">
        <v>10775.11</v>
      </c>
      <c r="N5561" s="486">
        <v>0.5</v>
      </c>
    </row>
    <row r="5562" spans="1:14" ht="19.5" thickBot="1" x14ac:dyDescent="0.3">
      <c r="A5562" s="682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5"/>
      <c r="L5562" s="649" t="s">
        <v>266</v>
      </c>
      <c r="M5562" s="649">
        <v>6525</v>
      </c>
      <c r="N5562" s="653">
        <v>0.5</v>
      </c>
    </row>
    <row r="5563" spans="1:14" ht="19.5" thickBot="1" x14ac:dyDescent="0.3">
      <c r="A5563" s="679">
        <f t="shared" si="159"/>
        <v>3162</v>
      </c>
      <c r="B5563" s="552" t="s">
        <v>1216</v>
      </c>
      <c r="C5563" s="553" t="s">
        <v>848</v>
      </c>
      <c r="D5563" s="554">
        <v>10.016999999999999</v>
      </c>
      <c r="E5563" s="555"/>
      <c r="F5563" s="556" t="s">
        <v>16</v>
      </c>
      <c r="G5563" s="557"/>
      <c r="H5563" s="556" t="s">
        <v>1222</v>
      </c>
      <c r="I5563" s="558"/>
      <c r="J5563" s="559"/>
      <c r="K5563" s="552"/>
      <c r="L5563" s="556" t="s">
        <v>266</v>
      </c>
      <c r="M5563" s="556">
        <v>10156.560000000001</v>
      </c>
      <c r="N5563" s="560">
        <v>0.54166666666666663</v>
      </c>
    </row>
    <row r="5564" spans="1:14" x14ac:dyDescent="0.25">
      <c r="A5564" s="680">
        <f t="shared" si="159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79"/>
      <c r="L5564" s="483" t="s">
        <v>265</v>
      </c>
      <c r="M5564" s="483">
        <v>11200.539999999999</v>
      </c>
      <c r="N5564" s="486">
        <v>0.375</v>
      </c>
    </row>
    <row r="5565" spans="1:14" ht="19.5" thickBot="1" x14ac:dyDescent="0.3">
      <c r="A5565" s="682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5"/>
      <c r="L5565" s="649" t="s">
        <v>265</v>
      </c>
      <c r="M5565" s="649">
        <v>6001.119999999999</v>
      </c>
      <c r="N5565" s="653">
        <v>0.375</v>
      </c>
    </row>
    <row r="5566" spans="1:14" ht="19.5" thickBot="1" x14ac:dyDescent="0.3">
      <c r="A5566" s="503">
        <f t="shared" si="159"/>
        <v>3164</v>
      </c>
      <c r="B5566" s="504" t="s">
        <v>1221</v>
      </c>
      <c r="C5566" s="505" t="s">
        <v>26</v>
      </c>
      <c r="D5566" s="506">
        <v>17.529</v>
      </c>
      <c r="E5566" s="507"/>
      <c r="F5566" s="508" t="s">
        <v>16</v>
      </c>
      <c r="G5566" s="509"/>
      <c r="H5566" s="508" t="s">
        <v>1223</v>
      </c>
      <c r="I5566" s="510"/>
      <c r="J5566" s="511"/>
      <c r="K5566" s="504"/>
      <c r="L5566" s="508" t="s">
        <v>265</v>
      </c>
      <c r="M5566" s="508">
        <v>17696.570000000003</v>
      </c>
      <c r="N5566" s="512">
        <v>0.41666666666666669</v>
      </c>
    </row>
    <row r="5567" spans="1:14" ht="19.5" thickBot="1" x14ac:dyDescent="0.3">
      <c r="A5567" s="513">
        <f t="shared" si="159"/>
        <v>3165</v>
      </c>
      <c r="B5567" s="514" t="s">
        <v>1221</v>
      </c>
      <c r="C5567" s="515" t="s">
        <v>26</v>
      </c>
      <c r="D5567" s="516">
        <v>17.529</v>
      </c>
      <c r="E5567" s="517"/>
      <c r="F5567" s="518" t="s">
        <v>16</v>
      </c>
      <c r="G5567" s="519"/>
      <c r="H5567" s="518" t="s">
        <v>1224</v>
      </c>
      <c r="I5567" s="520"/>
      <c r="J5567" s="521"/>
      <c r="K5567" s="514"/>
      <c r="L5567" s="518" t="s">
        <v>265</v>
      </c>
      <c r="M5567" s="518">
        <v>17749.739999999998</v>
      </c>
      <c r="N5567" s="522">
        <v>0.375</v>
      </c>
    </row>
    <row r="5568" spans="1:14" ht="19.5" thickBot="1" x14ac:dyDescent="0.3">
      <c r="A5568" s="503">
        <f t="shared" si="159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4"/>
      <c r="L5568" s="508" t="s">
        <v>265</v>
      </c>
      <c r="M5568" s="508">
        <v>11049.6</v>
      </c>
      <c r="N5568" s="512">
        <v>0.375</v>
      </c>
    </row>
    <row r="5569" spans="1:14" ht="19.5" thickBot="1" x14ac:dyDescent="0.3">
      <c r="A5569" s="513">
        <f t="shared" si="159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4"/>
      <c r="L5569" s="518" t="s">
        <v>265</v>
      </c>
      <c r="M5569" s="518">
        <v>12942.6</v>
      </c>
      <c r="N5569" s="522">
        <v>0.41666666666666669</v>
      </c>
    </row>
    <row r="5570" spans="1:14" x14ac:dyDescent="0.25">
      <c r="A5570" s="683">
        <f t="shared" si="159"/>
        <v>3168</v>
      </c>
      <c r="B5570" s="531" t="s">
        <v>1221</v>
      </c>
      <c r="C5570" s="532" t="s">
        <v>15</v>
      </c>
      <c r="D5570" s="533">
        <v>6.976</v>
      </c>
      <c r="E5570" s="534"/>
      <c r="F5570" s="535" t="s">
        <v>16</v>
      </c>
      <c r="G5570" s="536"/>
      <c r="H5570" s="535" t="s">
        <v>1224</v>
      </c>
      <c r="I5570" s="537"/>
      <c r="J5570" s="538"/>
      <c r="K5570" s="531"/>
      <c r="L5570" s="535" t="s">
        <v>28</v>
      </c>
      <c r="M5570" s="535">
        <v>7087.78</v>
      </c>
      <c r="N5570" s="539">
        <v>0.41666666666666669</v>
      </c>
    </row>
    <row r="5571" spans="1:14" x14ac:dyDescent="0.25">
      <c r="A5571" s="685"/>
      <c r="B5571" s="563" t="s">
        <v>1221</v>
      </c>
      <c r="C5571" s="564" t="s">
        <v>839</v>
      </c>
      <c r="D5571" s="565">
        <v>2.125</v>
      </c>
      <c r="E5571" s="566"/>
      <c r="F5571" s="567" t="s">
        <v>16</v>
      </c>
      <c r="G5571" s="568"/>
      <c r="H5571" s="567" t="s">
        <v>1224</v>
      </c>
      <c r="I5571" s="569"/>
      <c r="J5571" s="570"/>
      <c r="K5571" s="563"/>
      <c r="L5571" s="567" t="s">
        <v>28</v>
      </c>
      <c r="M5571" s="567">
        <v>2183.4000000000005</v>
      </c>
      <c r="N5571" s="571">
        <v>0.41666666666666669</v>
      </c>
    </row>
    <row r="5572" spans="1:14" ht="19.5" thickBot="1" x14ac:dyDescent="0.3">
      <c r="A5572" s="684"/>
      <c r="B5572" s="636" t="s">
        <v>1221</v>
      </c>
      <c r="C5572" s="637" t="s">
        <v>23</v>
      </c>
      <c r="D5572" s="638">
        <v>7.9039999999999999</v>
      </c>
      <c r="E5572" s="639"/>
      <c r="F5572" s="640" t="s">
        <v>16</v>
      </c>
      <c r="G5572" s="641"/>
      <c r="H5572" s="640" t="s">
        <v>1224</v>
      </c>
      <c r="I5572" s="642"/>
      <c r="J5572" s="643"/>
      <c r="K5572" s="636"/>
      <c r="L5572" s="640" t="s">
        <v>28</v>
      </c>
      <c r="M5572" s="640">
        <v>8039.09</v>
      </c>
      <c r="N5572" s="644">
        <v>0.41666666666666669</v>
      </c>
    </row>
    <row r="5573" spans="1:14" x14ac:dyDescent="0.25">
      <c r="A5573" s="680">
        <f t="shared" si="159"/>
        <v>3169</v>
      </c>
      <c r="B5573" s="479" t="s">
        <v>1221</v>
      </c>
      <c r="C5573" s="480" t="s">
        <v>24</v>
      </c>
      <c r="D5573" s="481">
        <v>11.51</v>
      </c>
      <c r="E5573" s="482"/>
      <c r="F5573" s="483" t="s">
        <v>16</v>
      </c>
      <c r="G5573" s="549"/>
      <c r="H5573" s="483" t="s">
        <v>1224</v>
      </c>
      <c r="I5573" s="484"/>
      <c r="J5573" s="485"/>
      <c r="K5573" s="479"/>
      <c r="L5573" s="483" t="s">
        <v>28</v>
      </c>
      <c r="M5573" s="483">
        <v>11630.26</v>
      </c>
      <c r="N5573" s="486">
        <v>0.45833333333333331</v>
      </c>
    </row>
    <row r="5574" spans="1:14" ht="19.5" thickBot="1" x14ac:dyDescent="0.3">
      <c r="A5574" s="682"/>
      <c r="B5574" s="645" t="s">
        <v>1221</v>
      </c>
      <c r="C5574" s="646" t="s">
        <v>21</v>
      </c>
      <c r="D5574" s="647">
        <v>5.71</v>
      </c>
      <c r="E5574" s="648"/>
      <c r="F5574" s="649" t="s">
        <v>16</v>
      </c>
      <c r="G5574" s="650"/>
      <c r="H5574" s="649" t="s">
        <v>1224</v>
      </c>
      <c r="I5574" s="651"/>
      <c r="J5574" s="652"/>
      <c r="K5574" s="645"/>
      <c r="L5574" s="649" t="s">
        <v>28</v>
      </c>
      <c r="M5574" s="649">
        <v>5785.2</v>
      </c>
      <c r="N5574" s="653">
        <v>0.45833333333333331</v>
      </c>
    </row>
    <row r="5575" spans="1:14" x14ac:dyDescent="0.25">
      <c r="A5575" s="683">
        <f t="shared" si="159"/>
        <v>3170</v>
      </c>
      <c r="B5575" s="531" t="s">
        <v>1221</v>
      </c>
      <c r="C5575" s="532" t="s">
        <v>23</v>
      </c>
      <c r="D5575" s="533">
        <v>6.09</v>
      </c>
      <c r="E5575" s="534"/>
      <c r="F5575" s="535" t="s">
        <v>16</v>
      </c>
      <c r="G5575" s="536"/>
      <c r="H5575" s="535" t="s">
        <v>1224</v>
      </c>
      <c r="I5575" s="537"/>
      <c r="J5575" s="538"/>
      <c r="K5575" s="531"/>
      <c r="L5575" s="535" t="s">
        <v>28</v>
      </c>
      <c r="M5575" s="535">
        <v>6120.4800000000014</v>
      </c>
      <c r="N5575" s="539">
        <v>0.5</v>
      </c>
    </row>
    <row r="5576" spans="1:14" ht="19.5" thickBot="1" x14ac:dyDescent="0.3">
      <c r="A5576" s="684"/>
      <c r="B5576" s="636" t="s">
        <v>1221</v>
      </c>
      <c r="C5576" s="637" t="s">
        <v>47</v>
      </c>
      <c r="D5576" s="638">
        <v>10.93</v>
      </c>
      <c r="E5576" s="639"/>
      <c r="F5576" s="640" t="s">
        <v>16</v>
      </c>
      <c r="G5576" s="641"/>
      <c r="H5576" s="640" t="s">
        <v>1224</v>
      </c>
      <c r="I5576" s="642"/>
      <c r="J5576" s="643"/>
      <c r="K5576" s="636"/>
      <c r="L5576" s="640" t="s">
        <v>28</v>
      </c>
      <c r="M5576" s="640">
        <v>11037.220000000001</v>
      </c>
      <c r="N5576" s="644">
        <v>0.5</v>
      </c>
    </row>
    <row r="5577" spans="1:14" x14ac:dyDescent="0.25">
      <c r="A5577" s="680">
        <f t="shared" si="159"/>
        <v>3171</v>
      </c>
      <c r="B5577" s="479" t="s">
        <v>1222</v>
      </c>
      <c r="C5577" s="480" t="s">
        <v>26</v>
      </c>
      <c r="D5577" s="481">
        <v>15.496</v>
      </c>
      <c r="E5577" s="482"/>
      <c r="F5577" s="483" t="s">
        <v>16</v>
      </c>
      <c r="G5577" s="549"/>
      <c r="H5577" s="483" t="s">
        <v>1225</v>
      </c>
      <c r="I5577" s="484"/>
      <c r="J5577" s="485"/>
      <c r="K5577" s="479"/>
      <c r="L5577" s="483" t="s">
        <v>265</v>
      </c>
      <c r="M5577" s="483">
        <v>15673.199999999999</v>
      </c>
      <c r="N5577" s="486">
        <v>0.375</v>
      </c>
    </row>
    <row r="5578" spans="1:14" ht="19.5" thickBot="1" x14ac:dyDescent="0.3">
      <c r="A5578" s="681"/>
      <c r="B5578" s="495" t="s">
        <v>1222</v>
      </c>
      <c r="C5578" s="496" t="s">
        <v>952</v>
      </c>
      <c r="D5578" s="497">
        <v>1.8149999999999999</v>
      </c>
      <c r="E5578" s="498"/>
      <c r="F5578" s="499" t="s">
        <v>16</v>
      </c>
      <c r="G5578" s="562"/>
      <c r="H5578" s="499" t="s">
        <v>1225</v>
      </c>
      <c r="I5578" s="500"/>
      <c r="J5578" s="501"/>
      <c r="K5578" s="495"/>
      <c r="L5578" s="499" t="s">
        <v>266</v>
      </c>
      <c r="M5578" s="499">
        <v>1906.5600000000004</v>
      </c>
      <c r="N5578" s="502">
        <v>0.375</v>
      </c>
    </row>
    <row r="5579" spans="1:14" ht="19.5" thickBot="1" x14ac:dyDescent="0.3">
      <c r="A5579" s="503">
        <f t="shared" si="159"/>
        <v>3172</v>
      </c>
      <c r="B5579" s="504" t="s">
        <v>1223</v>
      </c>
      <c r="C5579" s="505" t="s">
        <v>26</v>
      </c>
      <c r="D5579" s="506">
        <v>12.598000000000001</v>
      </c>
      <c r="E5579" s="507"/>
      <c r="F5579" s="508" t="s">
        <v>30</v>
      </c>
      <c r="G5579" s="509"/>
      <c r="H5579" s="508" t="s">
        <v>1225</v>
      </c>
      <c r="I5579" s="510"/>
      <c r="J5579" s="511"/>
      <c r="K5579" s="504"/>
      <c r="L5579" s="508" t="s">
        <v>265</v>
      </c>
      <c r="M5579" s="508">
        <v>12598.199999999997</v>
      </c>
      <c r="N5579" s="512">
        <v>0.375</v>
      </c>
    </row>
    <row r="5580" spans="1:14" ht="19.5" thickBot="1" x14ac:dyDescent="0.3">
      <c r="A5580" s="513">
        <f t="shared" si="159"/>
        <v>3173</v>
      </c>
      <c r="B5580" s="514" t="s">
        <v>1223</v>
      </c>
      <c r="C5580" s="515" t="s">
        <v>587</v>
      </c>
      <c r="D5580" s="516">
        <v>8.9710000000000001</v>
      </c>
      <c r="E5580" s="517"/>
      <c r="F5580" s="518" t="s">
        <v>30</v>
      </c>
      <c r="G5580" s="519" t="s">
        <v>23</v>
      </c>
      <c r="H5580" s="518" t="s">
        <v>1225</v>
      </c>
      <c r="I5580" s="520"/>
      <c r="J5580" s="521"/>
      <c r="K5580" s="514"/>
      <c r="L5580" s="518" t="s">
        <v>28</v>
      </c>
      <c r="M5580" s="518">
        <v>8971.32</v>
      </c>
      <c r="N5580" s="522">
        <v>0.41666666666666669</v>
      </c>
    </row>
    <row r="5581" spans="1:14" ht="38.25" thickBot="1" x14ac:dyDescent="0.3">
      <c r="A5581" s="503">
        <f t="shared" si="159"/>
        <v>3174</v>
      </c>
      <c r="B5581" s="504" t="s">
        <v>1223</v>
      </c>
      <c r="C5581" s="505" t="s">
        <v>44</v>
      </c>
      <c r="D5581" s="506">
        <v>14</v>
      </c>
      <c r="E5581" s="507"/>
      <c r="F5581" s="508" t="s">
        <v>16</v>
      </c>
      <c r="G5581" s="509" t="s">
        <v>407</v>
      </c>
      <c r="H5581" s="508" t="s">
        <v>1225</v>
      </c>
      <c r="I5581" s="510"/>
      <c r="J5581" s="511"/>
      <c r="K5581" s="504"/>
      <c r="L5581" s="508" t="s">
        <v>266</v>
      </c>
      <c r="M5581" s="508">
        <v>14017.2</v>
      </c>
      <c r="N5581" s="512">
        <v>0.41666666666666669</v>
      </c>
    </row>
    <row r="5582" spans="1:14" ht="38.25" thickBot="1" x14ac:dyDescent="0.3">
      <c r="A5582" s="513">
        <f t="shared" si="159"/>
        <v>3175</v>
      </c>
      <c r="B5582" s="514" t="s">
        <v>1223</v>
      </c>
      <c r="C5582" s="515" t="s">
        <v>47</v>
      </c>
      <c r="D5582" s="516">
        <v>10.503</v>
      </c>
      <c r="E5582" s="517"/>
      <c r="F5582" s="518" t="s">
        <v>16</v>
      </c>
      <c r="G5582" s="519" t="s">
        <v>1226</v>
      </c>
      <c r="H5582" s="518" t="s">
        <v>1225</v>
      </c>
      <c r="I5582" s="520"/>
      <c r="J5582" s="521"/>
      <c r="K5582" s="514"/>
      <c r="L5582" s="518" t="s">
        <v>28</v>
      </c>
      <c r="M5582" s="518">
        <v>10692.560000000001</v>
      </c>
      <c r="N5582" s="522">
        <v>0.45833333333333331</v>
      </c>
    </row>
    <row r="5583" spans="1:14" ht="19.5" thickBot="1" x14ac:dyDescent="0.3">
      <c r="A5583" s="503">
        <f t="shared" si="159"/>
        <v>3176</v>
      </c>
      <c r="B5583" s="504" t="s">
        <v>1223</v>
      </c>
      <c r="C5583" s="505" t="s">
        <v>26</v>
      </c>
      <c r="D5583" s="506">
        <v>17.547000000000001</v>
      </c>
      <c r="E5583" s="507"/>
      <c r="F5583" s="508" t="s">
        <v>16</v>
      </c>
      <c r="G5583" s="509"/>
      <c r="H5583" s="508" t="s">
        <v>1227</v>
      </c>
      <c r="I5583" s="510"/>
      <c r="J5583" s="511"/>
      <c r="K5583" s="504"/>
      <c r="L5583" s="508" t="s">
        <v>265</v>
      </c>
      <c r="M5583" s="508">
        <v>17759.920000000002</v>
      </c>
      <c r="N5583" s="512">
        <v>0.375</v>
      </c>
    </row>
    <row r="5584" spans="1:14" x14ac:dyDescent="0.25">
      <c r="A5584" s="680">
        <f t="shared" si="159"/>
        <v>3177</v>
      </c>
      <c r="B5584" s="479" t="s">
        <v>1223</v>
      </c>
      <c r="C5584" s="480" t="s">
        <v>913</v>
      </c>
      <c r="D5584" s="481">
        <v>3.9089999999999998</v>
      </c>
      <c r="E5584" s="482"/>
      <c r="F5584" s="483" t="s">
        <v>16</v>
      </c>
      <c r="G5584" s="549"/>
      <c r="H5584" s="483" t="s">
        <v>1227</v>
      </c>
      <c r="I5584" s="484"/>
      <c r="J5584" s="485"/>
      <c r="K5584" s="479"/>
      <c r="L5584" s="483" t="s">
        <v>266</v>
      </c>
      <c r="M5584" s="483">
        <v>3929.42</v>
      </c>
      <c r="N5584" s="486">
        <v>0.41666666666666669</v>
      </c>
    </row>
    <row r="5585" spans="1:14" x14ac:dyDescent="0.25">
      <c r="A5585" s="681"/>
      <c r="B5585" s="523" t="s">
        <v>1223</v>
      </c>
      <c r="C5585" s="524" t="s">
        <v>15</v>
      </c>
      <c r="D5585" s="525">
        <v>1.6</v>
      </c>
      <c r="E5585" s="526"/>
      <c r="F5585" s="527" t="s">
        <v>16</v>
      </c>
      <c r="G5585" s="561"/>
      <c r="H5585" s="527" t="s">
        <v>1227</v>
      </c>
      <c r="I5585" s="528"/>
      <c r="J5585" s="529"/>
      <c r="K5585" s="523"/>
      <c r="L5585" s="527" t="s">
        <v>28</v>
      </c>
      <c r="M5585" s="527">
        <v>1657.8299999999997</v>
      </c>
      <c r="N5585" s="530">
        <v>0.41666666666666669</v>
      </c>
    </row>
    <row r="5586" spans="1:14" x14ac:dyDescent="0.25">
      <c r="A5586" s="681"/>
      <c r="B5586" s="523" t="s">
        <v>1223</v>
      </c>
      <c r="C5586" s="524" t="s">
        <v>24</v>
      </c>
      <c r="D5586" s="525">
        <v>2.3199999999999998</v>
      </c>
      <c r="E5586" s="526"/>
      <c r="F5586" s="527" t="s">
        <v>16</v>
      </c>
      <c r="G5586" s="561"/>
      <c r="H5586" s="527" t="s">
        <v>1227</v>
      </c>
      <c r="I5586" s="528"/>
      <c r="J5586" s="529"/>
      <c r="K5586" s="523"/>
      <c r="L5586" s="527" t="s">
        <v>28</v>
      </c>
      <c r="M5586" s="527">
        <v>2325</v>
      </c>
      <c r="N5586" s="530">
        <v>0.41666666666666669</v>
      </c>
    </row>
    <row r="5587" spans="1:14" ht="19.5" thickBot="1" x14ac:dyDescent="0.3">
      <c r="A5587" s="682"/>
      <c r="B5587" s="645" t="s">
        <v>1223</v>
      </c>
      <c r="C5587" s="646" t="s">
        <v>25</v>
      </c>
      <c r="D5587" s="647">
        <v>9.9039999999999999</v>
      </c>
      <c r="E5587" s="648"/>
      <c r="F5587" s="649" t="s">
        <v>16</v>
      </c>
      <c r="G5587" s="650"/>
      <c r="H5587" s="649" t="s">
        <v>1227</v>
      </c>
      <c r="I5587" s="651"/>
      <c r="J5587" s="652"/>
      <c r="K5587" s="645"/>
      <c r="L5587" s="649" t="s">
        <v>28</v>
      </c>
      <c r="M5587" s="649">
        <v>9985.5000000000018</v>
      </c>
      <c r="N5587" s="653">
        <v>0.41666666666666669</v>
      </c>
    </row>
    <row r="5588" spans="1:14" x14ac:dyDescent="0.25">
      <c r="A5588" s="683">
        <f t="shared" ref="A5588:A5602" si="161">MAX(A5574:A5587)+1</f>
        <v>3178</v>
      </c>
      <c r="B5588" s="531" t="s">
        <v>1223</v>
      </c>
      <c r="C5588" s="532" t="s">
        <v>480</v>
      </c>
      <c r="D5588" s="533">
        <v>14.131</v>
      </c>
      <c r="E5588" s="534"/>
      <c r="F5588" s="535" t="s">
        <v>16</v>
      </c>
      <c r="G5588" s="536"/>
      <c r="H5588" s="535" t="s">
        <v>1227</v>
      </c>
      <c r="I5588" s="537"/>
      <c r="J5588" s="538"/>
      <c r="K5588" s="531"/>
      <c r="L5588" s="535" t="s">
        <v>266</v>
      </c>
      <c r="M5588" s="535">
        <v>14195.099999999999</v>
      </c>
      <c r="N5588" s="539">
        <v>0.45833333333333331</v>
      </c>
    </row>
    <row r="5589" spans="1:14" ht="19.5" thickBot="1" x14ac:dyDescent="0.3">
      <c r="A5589" s="684"/>
      <c r="B5589" s="636" t="s">
        <v>1223</v>
      </c>
      <c r="C5589" s="637" t="s">
        <v>23</v>
      </c>
      <c r="D5589" s="638">
        <v>2.9</v>
      </c>
      <c r="E5589" s="639"/>
      <c r="F5589" s="640" t="s">
        <v>16</v>
      </c>
      <c r="G5589" s="641"/>
      <c r="H5589" s="640" t="s">
        <v>1227</v>
      </c>
      <c r="I5589" s="642"/>
      <c r="J5589" s="643"/>
      <c r="K5589" s="636"/>
      <c r="L5589" s="640" t="s">
        <v>28</v>
      </c>
      <c r="M5589" s="640">
        <v>2917.7400000000002</v>
      </c>
      <c r="N5589" s="644">
        <v>0.45833333333333331</v>
      </c>
    </row>
    <row r="5590" spans="1:14" x14ac:dyDescent="0.25">
      <c r="A5590" s="680">
        <f t="shared" si="161"/>
        <v>3179</v>
      </c>
      <c r="B5590" s="479" t="s">
        <v>1223</v>
      </c>
      <c r="C5590" s="480" t="s">
        <v>23</v>
      </c>
      <c r="D5590" s="481">
        <v>7.7569999999999997</v>
      </c>
      <c r="E5590" s="482"/>
      <c r="F5590" s="483" t="s">
        <v>16</v>
      </c>
      <c r="G5590" s="549"/>
      <c r="H5590" s="483" t="s">
        <v>1227</v>
      </c>
      <c r="I5590" s="484"/>
      <c r="J5590" s="485"/>
      <c r="K5590" s="479"/>
      <c r="L5590" s="483" t="s">
        <v>28</v>
      </c>
      <c r="M5590" s="483">
        <v>7906.56</v>
      </c>
      <c r="N5590" s="486">
        <v>0.5</v>
      </c>
    </row>
    <row r="5591" spans="1:14" x14ac:dyDescent="0.25">
      <c r="A5591" s="681"/>
      <c r="B5591" s="523" t="s">
        <v>1223</v>
      </c>
      <c r="C5591" s="524" t="s">
        <v>47</v>
      </c>
      <c r="D5591" s="525">
        <v>5.81</v>
      </c>
      <c r="E5591" s="526"/>
      <c r="F5591" s="527" t="s">
        <v>16</v>
      </c>
      <c r="G5591" s="561"/>
      <c r="H5591" s="527" t="s">
        <v>1227</v>
      </c>
      <c r="I5591" s="528"/>
      <c r="J5591" s="529"/>
      <c r="K5591" s="523"/>
      <c r="L5591" s="527" t="s">
        <v>28</v>
      </c>
      <c r="M5591" s="527">
        <v>5870.1600000000008</v>
      </c>
      <c r="N5591" s="530">
        <v>0.5</v>
      </c>
    </row>
    <row r="5592" spans="1:14" ht="19.5" thickBot="1" x14ac:dyDescent="0.3">
      <c r="A5592" s="682"/>
      <c r="B5592" s="645" t="s">
        <v>1223</v>
      </c>
      <c r="C5592" s="646" t="s">
        <v>24</v>
      </c>
      <c r="D5592" s="647">
        <v>3.504</v>
      </c>
      <c r="E5592" s="648"/>
      <c r="F5592" s="649" t="s">
        <v>16</v>
      </c>
      <c r="G5592" s="650"/>
      <c r="H5592" s="649" t="s">
        <v>1227</v>
      </c>
      <c r="I5592" s="651"/>
      <c r="J5592" s="652"/>
      <c r="K5592" s="645"/>
      <c r="L5592" s="649" t="s">
        <v>28</v>
      </c>
      <c r="M5592" s="649">
        <v>3555.46</v>
      </c>
      <c r="N5592" s="653">
        <v>0.5</v>
      </c>
    </row>
    <row r="5593" spans="1:14" x14ac:dyDescent="0.25">
      <c r="A5593" s="683">
        <f t="shared" si="161"/>
        <v>3180</v>
      </c>
      <c r="B5593" s="531" t="s">
        <v>1223</v>
      </c>
      <c r="C5593" s="532" t="s">
        <v>587</v>
      </c>
      <c r="D5593" s="533">
        <v>7.1360000000000001</v>
      </c>
      <c r="E5593" s="534"/>
      <c r="F5593" s="535" t="s">
        <v>30</v>
      </c>
      <c r="G5593" s="536" t="s">
        <v>23</v>
      </c>
      <c r="H5593" s="535" t="s">
        <v>1227</v>
      </c>
      <c r="I5593" s="537"/>
      <c r="J5593" s="538"/>
      <c r="K5593" s="531"/>
      <c r="L5593" s="535" t="s">
        <v>28</v>
      </c>
      <c r="M5593" s="535">
        <v>7136.8</v>
      </c>
      <c r="N5593" s="539">
        <v>0.41666666666666669</v>
      </c>
    </row>
    <row r="5594" spans="1:14" ht="19.5" thickBot="1" x14ac:dyDescent="0.3">
      <c r="A5594" s="684"/>
      <c r="B5594" s="636" t="s">
        <v>1223</v>
      </c>
      <c r="C5594" s="637" t="s">
        <v>24</v>
      </c>
      <c r="D5594" s="638">
        <v>5.992</v>
      </c>
      <c r="E5594" s="639"/>
      <c r="F5594" s="640" t="s">
        <v>30</v>
      </c>
      <c r="G5594" s="641"/>
      <c r="H5594" s="640" t="s">
        <v>1227</v>
      </c>
      <c r="I5594" s="642"/>
      <c r="J5594" s="643"/>
      <c r="K5594" s="636"/>
      <c r="L5594" s="640" t="s">
        <v>28</v>
      </c>
      <c r="M5594" s="640">
        <v>5992.3200000000006</v>
      </c>
      <c r="N5594" s="644">
        <v>0.41666666666666669</v>
      </c>
    </row>
    <row r="5595" spans="1:14" x14ac:dyDescent="0.25">
      <c r="A5595" s="680">
        <f t="shared" si="161"/>
        <v>3181</v>
      </c>
      <c r="B5595" s="479" t="s">
        <v>1223</v>
      </c>
      <c r="C5595" s="480" t="s">
        <v>15</v>
      </c>
      <c r="D5595" s="481">
        <v>5.2919999999999998</v>
      </c>
      <c r="E5595" s="482"/>
      <c r="F5595" s="483" t="s">
        <v>30</v>
      </c>
      <c r="G5595" s="549"/>
      <c r="H5595" s="483" t="s">
        <v>1227</v>
      </c>
      <c r="I5595" s="484"/>
      <c r="J5595" s="485"/>
      <c r="K5595" s="479"/>
      <c r="L5595" s="483" t="s">
        <v>28</v>
      </c>
      <c r="M5595" s="483">
        <v>5292.56</v>
      </c>
      <c r="N5595" s="486">
        <v>0.45833333333333331</v>
      </c>
    </row>
    <row r="5596" spans="1:14" ht="19.5" thickBot="1" x14ac:dyDescent="0.3">
      <c r="A5596" s="682"/>
      <c r="B5596" s="645" t="s">
        <v>1223</v>
      </c>
      <c r="C5596" s="646" t="s">
        <v>23</v>
      </c>
      <c r="D5596" s="647">
        <v>6.4459999999999997</v>
      </c>
      <c r="E5596" s="648"/>
      <c r="F5596" s="649" t="s">
        <v>30</v>
      </c>
      <c r="G5596" s="650"/>
      <c r="H5596" s="649" t="s">
        <v>1227</v>
      </c>
      <c r="I5596" s="651"/>
      <c r="J5596" s="652"/>
      <c r="K5596" s="645"/>
      <c r="L5596" s="649" t="s">
        <v>28</v>
      </c>
      <c r="M5596" s="649">
        <v>6446.24</v>
      </c>
      <c r="N5596" s="653">
        <v>0.45833333333333331</v>
      </c>
    </row>
    <row r="5597" spans="1:14" ht="19.5" thickBot="1" x14ac:dyDescent="0.3">
      <c r="A5597" s="503">
        <f t="shared" si="161"/>
        <v>3182</v>
      </c>
      <c r="B5597" s="504" t="s">
        <v>1223</v>
      </c>
      <c r="C5597" s="505" t="s">
        <v>764</v>
      </c>
      <c r="D5597" s="506">
        <v>7.9690000000000003</v>
      </c>
      <c r="E5597" s="507"/>
      <c r="F5597" s="508" t="s">
        <v>30</v>
      </c>
      <c r="G5597" s="509"/>
      <c r="H5597" s="508" t="s">
        <v>1227</v>
      </c>
      <c r="I5597" s="510"/>
      <c r="J5597" s="511"/>
      <c r="K5597" s="504"/>
      <c r="L5597" s="508" t="s">
        <v>28</v>
      </c>
      <c r="M5597" s="508">
        <v>7969.2</v>
      </c>
      <c r="N5597" s="512">
        <v>0.5</v>
      </c>
    </row>
    <row r="5598" spans="1:14" ht="19.5" thickBot="1" x14ac:dyDescent="0.3">
      <c r="A5598" s="513">
        <f t="shared" si="161"/>
        <v>3183</v>
      </c>
      <c r="B5598" s="514" t="s">
        <v>1223</v>
      </c>
      <c r="C5598" s="515" t="s">
        <v>47</v>
      </c>
      <c r="D5598" s="516">
        <v>11.05</v>
      </c>
      <c r="E5598" s="517"/>
      <c r="F5598" s="518" t="s">
        <v>30</v>
      </c>
      <c r="G5598" s="519"/>
      <c r="H5598" s="518" t="s">
        <v>1227</v>
      </c>
      <c r="I5598" s="520"/>
      <c r="J5598" s="521"/>
      <c r="K5598" s="514"/>
      <c r="L5598" s="518" t="s">
        <v>28</v>
      </c>
      <c r="M5598" s="518">
        <v>11050.04</v>
      </c>
      <c r="N5598" s="522">
        <v>0.54166666666666663</v>
      </c>
    </row>
    <row r="5599" spans="1:14" x14ac:dyDescent="0.25">
      <c r="A5599" s="676">
        <f t="shared" si="161"/>
        <v>3184</v>
      </c>
      <c r="B5599" s="676"/>
      <c r="C5599" s="473"/>
      <c r="D5599" s="474"/>
      <c r="E5599" s="475"/>
      <c r="F5599" s="676"/>
      <c r="G5599" s="476"/>
      <c r="H5599" s="676"/>
      <c r="I5599" s="477"/>
      <c r="J5599" s="478"/>
      <c r="K5599" s="676"/>
      <c r="L5599" s="676"/>
      <c r="M5599" s="676"/>
      <c r="N5599" s="676"/>
    </row>
    <row r="5600" spans="1:14" x14ac:dyDescent="0.25">
      <c r="A5600" s="676">
        <f t="shared" si="161"/>
        <v>3185</v>
      </c>
      <c r="B5600" s="676"/>
      <c r="C5600" s="473"/>
      <c r="D5600" s="474"/>
      <c r="E5600" s="475"/>
      <c r="F5600" s="676"/>
      <c r="G5600" s="476"/>
      <c r="H5600" s="676"/>
      <c r="I5600" s="477"/>
      <c r="J5600" s="478"/>
      <c r="K5600" s="676"/>
      <c r="L5600" s="676"/>
      <c r="M5600" s="676"/>
      <c r="N5600" s="676"/>
    </row>
    <row r="5601" spans="1:14" x14ac:dyDescent="0.25">
      <c r="A5601" s="676">
        <f t="shared" si="161"/>
        <v>3186</v>
      </c>
      <c r="B5601" s="676"/>
      <c r="C5601" s="473"/>
      <c r="D5601" s="474"/>
      <c r="E5601" s="475"/>
      <c r="F5601" s="676"/>
      <c r="G5601" s="476"/>
      <c r="H5601" s="676"/>
      <c r="I5601" s="477"/>
      <c r="J5601" s="478"/>
      <c r="K5601" s="676"/>
      <c r="L5601" s="676"/>
      <c r="M5601" s="676"/>
      <c r="N5601" s="676"/>
    </row>
    <row r="5602" spans="1:14" x14ac:dyDescent="0.25">
      <c r="A5602" s="676">
        <f t="shared" si="161"/>
        <v>3187</v>
      </c>
      <c r="B5602" s="676"/>
      <c r="C5602" s="473"/>
      <c r="D5602" s="474"/>
      <c r="E5602" s="475"/>
      <c r="F5602" s="676"/>
      <c r="G5602" s="476"/>
      <c r="H5602" s="676"/>
      <c r="I5602" s="477"/>
      <c r="J5602" s="478"/>
      <c r="K5602" s="676"/>
      <c r="L5602" s="676"/>
      <c r="M5602" s="676"/>
      <c r="N5602" s="676"/>
    </row>
  </sheetData>
  <autoFilter ref="A2:N5568" xr:uid="{79D26EB9-2ECC-4189-8AEF-8CA7CBA20027}">
    <filterColumn colId="10">
      <filters blank="1"/>
    </filterColumn>
  </autoFilter>
  <mergeCells count="1674">
    <mergeCell ref="A889:A890"/>
    <mergeCell ref="A5577:A5578"/>
    <mergeCell ref="G5549:G5550"/>
    <mergeCell ref="A5549:A5550"/>
    <mergeCell ref="G5275:G5276"/>
    <mergeCell ref="A5029:A5030"/>
    <mergeCell ref="A5082:A5083"/>
    <mergeCell ref="G5196:G5197"/>
    <mergeCell ref="G5188:G5189"/>
    <mergeCell ref="A5026:A5028"/>
    <mergeCell ref="A5534:A5538"/>
    <mergeCell ref="A5539:A5541"/>
    <mergeCell ref="A891:A893"/>
    <mergeCell ref="A931:A933"/>
    <mergeCell ref="A959:A960"/>
    <mergeCell ref="A963:A967"/>
    <mergeCell ref="A5196:A5197"/>
    <mergeCell ref="A5188:A5189"/>
    <mergeCell ref="A5176:A5178"/>
    <mergeCell ref="A5094:A5097"/>
    <mergeCell ref="A4939:A4941"/>
    <mergeCell ref="A919:A920"/>
    <mergeCell ref="A939:A941"/>
    <mergeCell ref="A943:A947"/>
    <mergeCell ref="A948:A949"/>
    <mergeCell ref="A951:A954"/>
    <mergeCell ref="A935:A936"/>
    <mergeCell ref="A974:A976"/>
    <mergeCell ref="A977:A979"/>
    <mergeCell ref="A980:A982"/>
    <mergeCell ref="A983:A984"/>
    <mergeCell ref="A1026:A1027"/>
    <mergeCell ref="A1115:A1116"/>
    <mergeCell ref="A1117:A1120"/>
    <mergeCell ref="G167:G168"/>
    <mergeCell ref="A186:A187"/>
    <mergeCell ref="A188:A189"/>
    <mergeCell ref="A190:A192"/>
    <mergeCell ref="G4391:G4392"/>
    <mergeCell ref="G4331:G4332"/>
    <mergeCell ref="A4416:A4419"/>
    <mergeCell ref="A400:A402"/>
    <mergeCell ref="A490:A492"/>
    <mergeCell ref="A379:A380"/>
    <mergeCell ref="A405:A406"/>
    <mergeCell ref="A410:A411"/>
    <mergeCell ref="A403:A404"/>
    <mergeCell ref="A486:A489"/>
    <mergeCell ref="A574:A579"/>
    <mergeCell ref="A584:A585"/>
    <mergeCell ref="A587:A592"/>
    <mergeCell ref="A593:A595"/>
    <mergeCell ref="A564:A567"/>
    <mergeCell ref="A568:A570"/>
    <mergeCell ref="A762:A763"/>
    <mergeCell ref="A766:A768"/>
    <mergeCell ref="A4400:A4401"/>
    <mergeCell ref="G929:G930"/>
    <mergeCell ref="G596:G597"/>
    <mergeCell ref="A894:A896"/>
    <mergeCell ref="A833:A835"/>
    <mergeCell ref="A747:A750"/>
    <mergeCell ref="A1023:A1025"/>
    <mergeCell ref="A1028:A1029"/>
    <mergeCell ref="A1087:A1090"/>
    <mergeCell ref="A1092:A1093"/>
    <mergeCell ref="A1096:A1097"/>
    <mergeCell ref="A1102:A1105"/>
    <mergeCell ref="A1106:A1107"/>
    <mergeCell ref="A1110:A1112"/>
    <mergeCell ref="A769:A771"/>
    <mergeCell ref="A571:A573"/>
    <mergeCell ref="A817:A819"/>
    <mergeCell ref="A842:A843"/>
    <mergeCell ref="A865:A866"/>
    <mergeCell ref="A868:A870"/>
    <mergeCell ref="A872:A874"/>
    <mergeCell ref="A876:A877"/>
    <mergeCell ref="A912:A914"/>
    <mergeCell ref="A915:A916"/>
    <mergeCell ref="A907:A908"/>
    <mergeCell ref="A909:A911"/>
    <mergeCell ref="A921:A922"/>
    <mergeCell ref="A862:A864"/>
    <mergeCell ref="A897:A898"/>
    <mergeCell ref="A917:A918"/>
    <mergeCell ref="A923:A924"/>
    <mergeCell ref="A925:A928"/>
    <mergeCell ref="A929:A930"/>
    <mergeCell ref="A878:A880"/>
    <mergeCell ref="A884:A886"/>
    <mergeCell ref="A900:A904"/>
    <mergeCell ref="A596:A597"/>
    <mergeCell ref="A801:A802"/>
    <mergeCell ref="A1021:A1022"/>
    <mergeCell ref="A804:A808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36:A838"/>
    <mergeCell ref="A809:A812"/>
    <mergeCell ref="A786:A788"/>
    <mergeCell ref="A789:A790"/>
    <mergeCell ref="A791:A792"/>
    <mergeCell ref="A793:A796"/>
    <mergeCell ref="A618:A620"/>
    <mergeCell ref="A659:A662"/>
    <mergeCell ref="A644:A646"/>
    <mergeCell ref="A612:A613"/>
    <mergeCell ref="A784:A785"/>
    <mergeCell ref="A751:A754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51:B52"/>
    <mergeCell ref="A55:A56"/>
    <mergeCell ref="B55:B56"/>
    <mergeCell ref="B48:B50"/>
    <mergeCell ref="A132:A13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75:B77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G983:G984"/>
    <mergeCell ref="A985:A987"/>
    <mergeCell ref="A988:A989"/>
    <mergeCell ref="A990:A992"/>
    <mergeCell ref="A955:A956"/>
    <mergeCell ref="A957:A958"/>
    <mergeCell ref="A937:A938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G1030:G1031"/>
    <mergeCell ref="A1032:A1034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30:A1031"/>
    <mergeCell ref="A1121:A1122"/>
    <mergeCell ref="G1121:G1122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4493:A4494"/>
    <mergeCell ref="A4453:A4454"/>
    <mergeCell ref="A4456:A4457"/>
    <mergeCell ref="A4458:A4460"/>
    <mergeCell ref="A4461:A4463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A4548:A4549"/>
    <mergeCell ref="A4445:A4448"/>
    <mergeCell ref="A4473:A4475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001:A5002"/>
    <mergeCell ref="A5014:A5015"/>
    <mergeCell ref="A5150:A5152"/>
    <mergeCell ref="A5146:A5147"/>
    <mergeCell ref="A4956:A4957"/>
    <mergeCell ref="A4977:A4978"/>
    <mergeCell ref="G4977:G4978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G4854:G4855"/>
    <mergeCell ref="A5226:A5228"/>
    <mergeCell ref="G5140:G5141"/>
    <mergeCell ref="A5138:A5139"/>
    <mergeCell ref="A5126:A5127"/>
    <mergeCell ref="A5134:A5137"/>
    <mergeCell ref="A5210:A5211"/>
    <mergeCell ref="A5179:A5180"/>
    <mergeCell ref="A5181:A5182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5102:A5104"/>
    <mergeCell ref="A5091:A5092"/>
    <mergeCell ref="A5019:A5020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4903:G4904"/>
    <mergeCell ref="A4971:A4973"/>
    <mergeCell ref="A4946:A4947"/>
    <mergeCell ref="G5091:G5092"/>
    <mergeCell ref="A4900:A4902"/>
    <mergeCell ref="A4905:A4906"/>
    <mergeCell ref="G4893:G4894"/>
    <mergeCell ref="A4908:A4910"/>
    <mergeCell ref="A5199:A5200"/>
    <mergeCell ref="A5202:A5203"/>
    <mergeCell ref="G5202:G5203"/>
    <mergeCell ref="A5205:A5207"/>
    <mergeCell ref="A5172:A5175"/>
    <mergeCell ref="A5054:A5055"/>
    <mergeCell ref="A5042:A5044"/>
    <mergeCell ref="A5183:A5184"/>
    <mergeCell ref="A4942:A4943"/>
    <mergeCell ref="A4903:A4904"/>
    <mergeCell ref="A4954:A4955"/>
    <mergeCell ref="A5006:A5008"/>
    <mergeCell ref="A5009:A5011"/>
    <mergeCell ref="A5012:A5013"/>
    <mergeCell ref="A4930:A4931"/>
    <mergeCell ref="A5074:A5076"/>
    <mergeCell ref="A5077:A5078"/>
    <mergeCell ref="A5079:A5080"/>
    <mergeCell ref="A5070:A5071"/>
    <mergeCell ref="G4950:G4951"/>
    <mergeCell ref="A4979:A4980"/>
    <mergeCell ref="A4948:A4949"/>
    <mergeCell ref="A4950:A4951"/>
    <mergeCell ref="A4911:A4913"/>
    <mergeCell ref="G4960:G4961"/>
    <mergeCell ref="G5042:G5044"/>
    <mergeCell ref="A5047:A5048"/>
    <mergeCell ref="G5019:G5020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282:A5283"/>
    <mergeCell ref="A5250:A5251"/>
    <mergeCell ref="A5240:A5242"/>
    <mergeCell ref="A5234:A5235"/>
    <mergeCell ref="A5279:A5281"/>
    <mergeCell ref="A5262:A5263"/>
    <mergeCell ref="A5265:A5266"/>
    <mergeCell ref="A5267:A5269"/>
    <mergeCell ref="A5270:A5271"/>
    <mergeCell ref="A5272:A5273"/>
    <mergeCell ref="A5275:A5276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5254:A5255"/>
    <mergeCell ref="A5243:A5244"/>
    <mergeCell ref="A5232:A5233"/>
    <mergeCell ref="G5232:G5233"/>
    <mergeCell ref="A5286:A5289"/>
    <mergeCell ref="A5290:A5292"/>
    <mergeCell ref="A5363:A5364"/>
    <mergeCell ref="G5363:G5364"/>
    <mergeCell ref="A5416:A5417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485:A5486"/>
    <mergeCell ref="A5476:A5478"/>
    <mergeCell ref="A5479:A5481"/>
    <mergeCell ref="A5482:A5484"/>
    <mergeCell ref="A5467:A5468"/>
    <mergeCell ref="A5470:A5471"/>
    <mergeCell ref="A5436:A5437"/>
    <mergeCell ref="G5436:G5437"/>
    <mergeCell ref="A5439:A5440"/>
    <mergeCell ref="A5441:A5442"/>
    <mergeCell ref="A5443:A5444"/>
    <mergeCell ref="A5445:A5446"/>
    <mergeCell ref="A5511:A5512"/>
    <mergeCell ref="A5513:A5514"/>
    <mergeCell ref="A5515:A5516"/>
    <mergeCell ref="G5416:G5417"/>
    <mergeCell ref="A5408:A5409"/>
    <mergeCell ref="G5408:G5409"/>
    <mergeCell ref="A5412:A5413"/>
    <mergeCell ref="A5378:A5379"/>
    <mergeCell ref="A5380:A5381"/>
    <mergeCell ref="A5370:A5373"/>
    <mergeCell ref="G5370:G5373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472:A547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584:A5587"/>
    <mergeCell ref="A5588:A5589"/>
    <mergeCell ref="A5590:A5592"/>
    <mergeCell ref="A5593:A5594"/>
    <mergeCell ref="A5595:A5596"/>
    <mergeCell ref="A5564:A5565"/>
    <mergeCell ref="A5570:A5572"/>
    <mergeCell ref="A5573:A5574"/>
    <mergeCell ref="A5575:A5576"/>
    <mergeCell ref="A5561:A5562"/>
    <mergeCell ref="A5551:A5552"/>
    <mergeCell ref="A5553:A5555"/>
    <mergeCell ref="G5531:G5532"/>
    <mergeCell ref="G5534:G5538"/>
    <mergeCell ref="A5542:A5546"/>
    <mergeCell ref="A5518:A5522"/>
    <mergeCell ref="A5523:A5525"/>
    <mergeCell ref="A5531:A5532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2026-01-23T07:38:47Z</cp:lastPrinted>
  <dcterms:created xsi:type="dcterms:W3CDTF">2015-06-05T18:19:34Z</dcterms:created>
  <dcterms:modified xsi:type="dcterms:W3CDTF">2026-01-23T13:16:25Z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