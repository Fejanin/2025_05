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451A05B8-C240-4224-9485-33AF1ADDEE81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Лист1!$A$2:$R$7204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s="1"/>
  <c r="A7088" i="1" s="1"/>
  <c r="A7089" i="1" s="1"/>
  <c r="A7090" i="1" s="1"/>
  <c r="A7091" i="1" s="1"/>
  <c r="A7092" i="1" s="1"/>
  <c r="A7093" i="1" s="1"/>
  <c r="A7095" i="1" s="1"/>
  <c r="A7097" i="1" s="1"/>
  <c r="A7103" i="1" s="1"/>
  <c r="A7104" i="1" s="1"/>
  <c r="A7106" i="1" s="1"/>
  <c r="A7110" i="1" s="1"/>
  <c r="A7112" i="1" s="1"/>
  <c r="A7115" i="1" s="1"/>
  <c r="A7119" i="1" s="1"/>
  <c r="A7120" i="1" s="1"/>
  <c r="A7124" i="1" s="1"/>
  <c r="A7125" i="1" s="1"/>
  <c r="A7126" i="1" s="1"/>
  <c r="A7127" i="1" s="1"/>
  <c r="A7129" i="1" l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8" i="1" s="1"/>
  <c r="A7171" i="1" s="1"/>
  <c r="A7172" i="1" s="1"/>
  <c r="A7176" i="1" s="1"/>
  <c r="A7178" i="1" s="1"/>
  <c r="A7180" i="1" s="1"/>
  <c r="A7181" i="1" s="1"/>
  <c r="A7182" i="1" s="1"/>
  <c r="A7183" i="1" s="1"/>
  <c r="A7184" i="1" s="1"/>
  <c r="A7186" i="1" l="1"/>
  <c r="A7187" i="1" s="1"/>
  <c r="A7190" i="1" l="1"/>
  <c r="A7191" i="1" l="1"/>
  <c r="A7192" i="1" l="1"/>
  <c r="A7193" i="1" s="1"/>
  <c r="A7194" i="1" l="1"/>
  <c r="A7195" i="1" s="1"/>
  <c r="A7196" i="1" l="1"/>
  <c r="A7197" i="1" s="1"/>
  <c r="A7198" i="1" l="1"/>
  <c r="A7199" i="1" s="1"/>
  <c r="A7200" i="1" s="1"/>
  <c r="A7201" i="1" s="1"/>
  <c r="A7202" i="1" l="1"/>
  <c r="A7203" i="1" s="1"/>
  <c r="A7204" i="1" s="1"/>
</calcChain>
</file>

<file path=xl/sharedStrings.xml><?xml version="1.0" encoding="utf-8"?>
<sst xmlns="http://schemas.openxmlformats.org/spreadsheetml/2006/main" count="46207" uniqueCount="2509">
  <si>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</si>
  <si>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</si>
  <si>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</si>
  <si>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</si>
  <si>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</si>
  <si>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</si>
  <si>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</si>
  <si>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</si>
  <si>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</si>
  <si>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</si>
  <si>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</si>
  <si>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</si>
  <si>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</si>
  <si>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</si>
  <si>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</si>
  <si>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</si>
  <si>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</si>
  <si>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</si>
  <si>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</si>
  <si>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</si>
  <si>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</si>
  <si>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</si>
  <si>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</si>
  <si>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</si>
  <si>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</si>
  <si>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</si>
  <si>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</si>
  <si>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</si>
  <si>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</si>
  <si>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</si>
  <si>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</si>
  <si>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</si>
  <si>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</si>
  <si>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</si>
  <si>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</si>
  <si>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</si>
  <si>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</si>
  <si>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</si>
  <si>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</si>
  <si>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</si>
  <si>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</si>
  <si>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</si>
  <si>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</si>
  <si>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</si>
  <si>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</si>
  <si>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</si>
  <si>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</si>
  <si>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</si>
  <si>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</si>
  <si>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</si>
  <si>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</si>
  <si>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</si>
  <si>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</si>
  <si>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</si>
  <si>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</si>
  <si>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</si>
  <si>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</si>
  <si>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</si>
  <si>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</si>
  <si>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</si>
  <si>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</si>
  <si>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</si>
  <si>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</si>
  <si>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</si>
  <si>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</si>
  <si>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</si>
  <si>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</si>
  <si>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</si>
  <si>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</si>
  <si>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</si>
  <si>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</si>
  <si>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</si>
  <si>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</si>
  <si>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</si>
  <si>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</si>
  <si>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</si>
  <si>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</si>
  <si>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</si>
  <si>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</si>
  <si>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</si>
  <si>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</si>
  <si>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</si>
  <si>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</si>
  <si>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</si>
  <si>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</si>
  <si>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</si>
  <si>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</si>
  <si>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</si>
  <si>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</si>
  <si>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</si>
  <si>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</si>
  <si>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</si>
  <si>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</si>
  <si>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</si>
  <si>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</si>
  <si>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</si>
  <si>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</si>
  <si>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</si>
  <si>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</si>
  <si>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</si>
  <si>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</si>
  <si>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</si>
  <si>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</si>
  <si>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</si>
  <si>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</si>
  <si>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</si>
  <si>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</si>
  <si>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</si>
  <si>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</si>
  <si>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</si>
  <si>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</si>
  <si>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</si>
  <si>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</si>
  <si>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</si>
  <si>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</si>
  <si>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</si>
  <si>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</si>
  <si>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</si>
  <si>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</si>
  <si>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</si>
  <si>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</si>
  <si>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</si>
  <si>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</si>
  <si>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</si>
  <si>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</si>
  <si>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</si>
  <si>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</si>
  <si>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</si>
  <si>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</si>
  <si>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</si>
  <si>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</si>
  <si>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</si>
  <si>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</si>
  <si>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</si>
  <si>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</si>
  <si>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</si>
  <si>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</si>
  <si>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</si>
  <si>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</si>
  <si>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</si>
  <si>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</si>
  <si>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</si>
  <si>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</si>
  <si>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</si>
  <si>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</si>
  <si>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</si>
  <si>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</si>
  <si>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</si>
  <si>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</si>
  <si>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</si>
  <si>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</si>
  <si>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</si>
  <si>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</si>
  <si>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</si>
  <si>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</si>
  <si>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</si>
  <si>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</si>
  <si>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</si>
  <si>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</si>
  <si>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</si>
  <si>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</si>
  <si>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</si>
  <si>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</si>
  <si>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</si>
  <si>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</si>
  <si>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</si>
  <si>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</si>
  <si>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</si>
  <si>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</si>
  <si>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</si>
  <si>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</si>
  <si>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</si>
  <si>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</si>
  <si>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</si>
  <si>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</si>
  <si>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</si>
  <si>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</si>
  <si>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</si>
  <si>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</si>
  <si>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</si>
  <si>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</si>
  <si>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</si>
  <si>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</si>
  <si>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</si>
  <si>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</si>
  <si>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</si>
  <si>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</si>
  <si>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</si>
  <si>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</si>
  <si>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</si>
  <si>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</si>
  <si>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</si>
  <si>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</si>
  <si>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</si>
  <si>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</si>
  <si>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</si>
  <si>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</si>
  <si>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</si>
  <si>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</si>
  <si>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</si>
  <si>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</si>
  <si>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</si>
  <si>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</si>
  <si>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</si>
  <si>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</si>
  <si>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</si>
  <si>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</si>
  <si>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</si>
  <si>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</si>
  <si>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</si>
  <si>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</si>
  <si>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</si>
  <si>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</si>
  <si>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</si>
  <si>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</si>
  <si>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</si>
  <si>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</si>
  <si>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</si>
  <si>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</si>
  <si>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</si>
  <si>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</si>
  <si>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</si>
  <si>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</si>
  <si>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</si>
  <si>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</si>
  <si>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</si>
  <si>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</si>
  <si>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</si>
  <si>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</si>
  <si>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</si>
  <si>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</si>
  <si>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</si>
  <si>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</si>
  <si>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</si>
  <si>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</si>
  <si>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</si>
  <si>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</si>
  <si>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</si>
  <si>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</si>
  <si>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</si>
  <si>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</si>
  <si>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</si>
  <si>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</si>
  <si>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</si>
  <si>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</si>
  <si>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</si>
  <si>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</si>
  <si>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</si>
  <si>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</si>
  <si>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</si>
  <si>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</si>
  <si>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</si>
  <si>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</si>
  <si>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</si>
  <si>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</si>
  <si>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</si>
  <si>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</si>
  <si>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</si>
  <si>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</si>
  <si>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</si>
  <si>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</si>
  <si>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</si>
  <si>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</si>
  <si>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</si>
  <si>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</si>
  <si>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</si>
  <si>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</si>
  <si>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</si>
  <si>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</si>
  <si>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</si>
  <si>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</si>
  <si>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</si>
  <si>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</si>
  <si>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</si>
  <si>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</si>
  <si>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</si>
  <si>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</si>
  <si>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</si>
  <si>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</si>
  <si>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</si>
  <si>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</si>
  <si>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</si>
  <si>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</si>
  <si>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</si>
  <si>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</si>
  <si>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</si>
  <si>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</si>
  <si>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</si>
  <si>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</si>
  <si>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</si>
  <si>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</si>
  <si>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</si>
  <si>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</si>
  <si>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</si>
  <si>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</si>
  <si>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</si>
  <si>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</si>
  <si>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</si>
  <si>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</si>
  <si>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</si>
  <si>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</si>
  <si>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</si>
  <si>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</si>
  <si>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</si>
  <si>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</si>
  <si>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</si>
  <si>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</si>
  <si>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</si>
  <si>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</si>
  <si>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</si>
  <si>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</si>
  <si>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</si>
  <si>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</si>
  <si>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</si>
  <si>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</si>
  <si>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</si>
  <si>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</si>
  <si>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</si>
  <si>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</si>
  <si>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</si>
  <si>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</si>
  <si>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</si>
  <si>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</si>
  <si>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</si>
  <si>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</si>
  <si>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</si>
  <si>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</si>
  <si>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</si>
  <si>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</si>
  <si>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</si>
  <si>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</si>
  <si>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</si>
  <si>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</si>
  <si>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</si>
  <si>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</si>
  <si>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</si>
  <si>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</si>
  <si>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</si>
  <si>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</si>
  <si>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</si>
  <si>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</si>
  <si>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</si>
  <si>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</si>
  <si>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</si>
  <si>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</si>
  <si>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</si>
  <si>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</si>
  <si>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</si>
  <si>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</si>
  <si>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</si>
  <si>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</si>
  <si>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</si>
  <si>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</si>
  <si>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</si>
  <si>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</si>
  <si>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</si>
  <si>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</si>
  <si>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</si>
  <si>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</si>
  <si>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</si>
  <si>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</si>
  <si>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</si>
  <si>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</si>
  <si>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</si>
  <si>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</si>
  <si>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</si>
  <si>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</si>
  <si>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</si>
  <si>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</si>
  <si>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</si>
  <si>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</si>
  <si>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</si>
  <si>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</si>
  <si>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</si>
  <si>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</si>
  <si>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</si>
  <si>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</si>
  <si>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</si>
  <si>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</si>
  <si>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</si>
  <si>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</si>
  <si>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</si>
  <si>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</si>
  <si>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</si>
  <si>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</si>
  <si>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</si>
  <si>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</si>
  <si>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</si>
  <si>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</si>
  <si>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</si>
  <si>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</si>
  <si>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</si>
  <si>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</si>
  <si>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</si>
  <si>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</si>
  <si>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</si>
  <si>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</si>
  <si>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</si>
  <si>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</si>
  <si>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</si>
  <si>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</si>
  <si>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</si>
  <si>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</si>
  <si>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</si>
  <si>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</si>
  <si>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</si>
  <si>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</si>
  <si>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</si>
  <si>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</si>
  <si>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</si>
  <si>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</si>
  <si>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</si>
  <si>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</si>
  <si>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</si>
  <si>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</si>
  <si>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</si>
  <si>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</si>
  <si>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</si>
  <si>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</si>
  <si>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</si>
  <si>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</si>
  <si>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</si>
  <si>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</si>
  <si>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</si>
  <si>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</si>
  <si>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</si>
  <si>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</si>
  <si>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</si>
  <si>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</si>
  <si>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</si>
  <si>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</si>
  <si>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</si>
  <si>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</si>
  <si>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</si>
  <si>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</si>
  <si>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</si>
  <si>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</si>
  <si>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</si>
  <si>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</si>
  <si>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</si>
  <si>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</si>
  <si>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</si>
  <si>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</si>
  <si>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</si>
  <si>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</si>
  <si>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</si>
  <si>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</si>
  <si>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</si>
  <si>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</si>
  <si>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</si>
  <si>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</si>
  <si>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</si>
  <si>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</si>
  <si>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</si>
  <si>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</si>
  <si>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</si>
  <si>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</si>
  <si>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</si>
  <si>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</si>
  <si>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</si>
  <si>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</si>
  <si>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</si>
  <si>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</si>
  <si>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</si>
  <si>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</si>
  <si>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</si>
  <si>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</si>
  <si>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</si>
  <si>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</si>
  <si>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</si>
  <si>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</si>
  <si>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</si>
  <si>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</si>
  <si>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</si>
  <si>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</si>
  <si>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</si>
  <si>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</si>
  <si>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</si>
  <si>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</si>
  <si>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</si>
  <si>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</si>
  <si>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</si>
  <si>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</si>
  <si>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</si>
  <si>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</si>
  <si>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</si>
  <si>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</si>
  <si>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</si>
  <si>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</si>
  <si>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</si>
  <si>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</si>
  <si>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</si>
  <si>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</si>
  <si>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</si>
  <si>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</si>
  <si>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</si>
  <si>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</si>
  <si>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</si>
  <si>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</si>
  <si>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</si>
  <si>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</si>
  <si>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</si>
  <si>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</si>
  <si>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</si>
  <si>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</si>
  <si>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</si>
  <si>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</si>
  <si>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</si>
  <si>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</si>
  <si>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</si>
  <si>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</si>
  <si>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</si>
  <si>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</si>
  <si>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</si>
  <si>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</si>
  <si>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</si>
  <si>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</si>
  <si>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</si>
  <si>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</si>
  <si>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</si>
  <si>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</si>
  <si>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</si>
  <si>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</si>
  <si>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</si>
  <si>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</si>
  <si>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</si>
  <si>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</si>
  <si>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</si>
  <si>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</si>
  <si>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</si>
  <si>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</si>
  <si>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</si>
  <si>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</si>
  <si>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</si>
  <si>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</si>
  <si>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</si>
  <si>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</si>
  <si>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</si>
  <si>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</si>
  <si>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</si>
  <si>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</si>
  <si>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</si>
  <si>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</si>
  <si>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</si>
  <si>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</si>
  <si>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</si>
  <si>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</si>
  <si>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</si>
  <si>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</si>
  <si>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</si>
  <si>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</si>
  <si>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</si>
  <si>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</si>
  <si>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</si>
  <si>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</si>
  <si>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</si>
  <si>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</si>
  <si>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</si>
  <si>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</si>
  <si>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</si>
  <si>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</si>
  <si>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</si>
  <si>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</si>
  <si>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</si>
  <si>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</si>
  <si>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</si>
  <si>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</si>
  <si>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</si>
  <si>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</si>
  <si>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</si>
  <si>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</si>
  <si>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</si>
  <si>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</si>
  <si>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</si>
  <si>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</si>
  <si>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</si>
  <si>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</si>
  <si>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</si>
  <si>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</si>
  <si>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</si>
  <si>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</si>
  <si>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</si>
  <si>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</si>
  <si>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</si>
  <si>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</si>
  <si>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</si>
  <si>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</si>
  <si>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</si>
  <si>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</si>
  <si>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</si>
  <si>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</si>
  <si>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</si>
  <si>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</si>
  <si>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</si>
  <si>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</si>
  <si>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</si>
  <si>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</si>
  <si>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</si>
  <si>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</si>
  <si>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</si>
  <si>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</si>
  <si>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</si>
  <si>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</si>
  <si>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</si>
  <si>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</si>
  <si>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</si>
  <si>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</si>
  <si>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</si>
  <si>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</si>
  <si>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</si>
  <si>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</si>
  <si>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</si>
  <si>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</si>
  <si>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</si>
  <si>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</si>
  <si>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</si>
  <si>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</si>
  <si>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</si>
  <si>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</si>
  <si>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</si>
  <si>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</si>
  <si>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</si>
  <si>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</si>
  <si>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</si>
  <si>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</si>
  <si>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</si>
  <si>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</si>
  <si>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</si>
  <si>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</si>
  <si>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</si>
  <si>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</si>
  <si>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</si>
  <si>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</si>
  <si>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</si>
  <si>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</si>
  <si>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</si>
  <si>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</si>
  <si>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</si>
  <si>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</si>
  <si>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</si>
  <si>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</si>
  <si>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</si>
  <si>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</si>
  <si>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</si>
  <si>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</si>
  <si>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</si>
  <si>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</si>
  <si>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</si>
  <si>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</si>
  <si>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</si>
  <si>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</si>
  <si>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</si>
  <si>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</si>
  <si>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</si>
  <si>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</si>
  <si>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</si>
  <si>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</si>
  <si>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</si>
  <si>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</si>
  <si>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</si>
  <si>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</si>
  <si>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</si>
  <si>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</si>
  <si>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</si>
  <si>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</si>
  <si>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</si>
  <si>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</si>
  <si>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</si>
  <si>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</si>
  <si>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</si>
  <si>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</si>
  <si>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</si>
  <si>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</si>
  <si>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</si>
  <si>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</si>
  <si>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</si>
  <si>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</si>
  <si>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</si>
  <si>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</si>
  <si>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</si>
  <si>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</si>
  <si>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</si>
  <si>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</si>
  <si>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</si>
  <si>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</si>
  <si>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</si>
  <si>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</si>
  <si>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</si>
  <si>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</si>
  <si>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</si>
  <si>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</si>
  <si>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</si>
  <si>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</si>
  <si>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</si>
  <si>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</si>
  <si>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</si>
  <si>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</si>
  <si>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</si>
  <si>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</si>
  <si>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</si>
  <si>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</si>
  <si>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</si>
  <si>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</si>
  <si>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</si>
  <si>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</si>
  <si>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</si>
  <si>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</si>
  <si>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</si>
  <si>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</si>
  <si>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</si>
  <si>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</si>
  <si>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</si>
  <si>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</si>
  <si>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</si>
  <si>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</si>
  <si>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</si>
  <si>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</si>
  <si>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</si>
  <si>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</si>
  <si>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</si>
  <si>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</si>
  <si>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</si>
  <si>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</si>
  <si>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</si>
  <si>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</si>
  <si>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</si>
  <si>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</si>
  <si>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</si>
  <si>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</si>
  <si>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</si>
  <si>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</si>
  <si>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</si>
  <si>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</si>
  <si>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</si>
  <si>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</si>
  <si>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</si>
  <si>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</si>
  <si>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</si>
  <si>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</si>
  <si>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</si>
  <si>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</si>
  <si>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</si>
  <si>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</si>
  <si>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</si>
  <si>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</si>
  <si>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</si>
  <si>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</si>
  <si>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</si>
  <si>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</si>
  <si>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</si>
  <si>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</si>
  <si>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</si>
  <si>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</si>
  <si>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</si>
  <si>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</si>
  <si>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</si>
  <si>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</si>
  <si>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</si>
  <si>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</si>
  <si>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</si>
  <si>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</si>
  <si>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</si>
  <si>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</si>
  <si>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</si>
  <si>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</si>
  <si>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</si>
  <si>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</si>
  <si>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</si>
  <si>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</si>
  <si>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</si>
  <si>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</si>
  <si>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</si>
  <si>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</si>
  <si>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</si>
  <si>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</si>
  <si>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</si>
  <si>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</si>
  <si>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</si>
  <si>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</si>
  <si>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</si>
  <si>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</si>
  <si>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</si>
  <si>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</si>
  <si>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</si>
  <si>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</si>
  <si>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</si>
  <si>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</si>
  <si>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</si>
  <si>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</si>
  <si>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</si>
  <si>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</si>
  <si>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</si>
  <si>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</si>
  <si>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</si>
  <si>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</si>
  <si>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</si>
  <si>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</si>
  <si>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</si>
  <si>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</si>
  <si>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</si>
  <si>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</si>
  <si>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</si>
  <si>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</si>
  <si>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</si>
  <si>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</si>
  <si>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</si>
  <si>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</si>
  <si>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</si>
  <si>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</si>
  <si>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</si>
  <si>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</si>
  <si>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</si>
  <si>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</si>
  <si>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</si>
  <si>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</si>
  <si>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</si>
  <si>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</si>
  <si>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</si>
  <si>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</si>
  <si>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</si>
  <si>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</si>
  <si>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</si>
  <si>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</si>
  <si>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</si>
  <si>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</si>
  <si>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</si>
  <si>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</si>
  <si>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</si>
  <si>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</si>
  <si>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</si>
  <si>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</si>
  <si>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</si>
  <si>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</si>
  <si>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</si>
  <si>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</si>
  <si>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</si>
  <si>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</si>
  <si>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</si>
  <si>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</si>
  <si>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</si>
  <si>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</si>
  <si>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</si>
  <si>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</si>
  <si>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</si>
  <si>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</si>
  <si>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</si>
  <si>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</si>
  <si>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</si>
  <si>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</si>
  <si>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</si>
  <si>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</si>
  <si>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</si>
  <si>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</si>
  <si>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</si>
  <si>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</si>
  <si>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</si>
  <si>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</si>
  <si>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</si>
  <si>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</si>
  <si>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</si>
  <si>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</si>
  <si>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</si>
  <si>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</si>
  <si>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</si>
  <si>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</si>
  <si>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</si>
  <si>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</si>
  <si>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</si>
  <si>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</si>
  <si>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</si>
  <si>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</si>
  <si>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</si>
  <si>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</si>
  <si>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</si>
  <si>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</si>
  <si>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</si>
  <si>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</si>
  <si>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</si>
  <si>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</si>
  <si>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</si>
  <si>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</si>
  <si>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</si>
  <si>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</si>
  <si>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</si>
  <si>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</si>
  <si>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</si>
  <si>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</si>
  <si>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</si>
  <si>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</si>
  <si>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</si>
  <si>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</si>
  <si>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</si>
  <si>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</si>
  <si>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</si>
  <si>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</si>
  <si>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</si>
  <si>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</si>
  <si>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</si>
  <si>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</si>
  <si>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</si>
  <si>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</si>
  <si>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</si>
  <si>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</si>
  <si>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</si>
  <si>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</si>
  <si>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</si>
  <si>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</si>
  <si>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</si>
  <si>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</si>
  <si>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</si>
  <si>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</si>
  <si>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</si>
  <si>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</si>
  <si>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</si>
  <si>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</si>
  <si>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</si>
  <si>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</si>
  <si>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</si>
  <si>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</si>
  <si>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</si>
  <si>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</si>
  <si>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</si>
  <si>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</si>
  <si>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</si>
  <si>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</si>
  <si>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</si>
  <si>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</si>
  <si>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</si>
  <si>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</si>
  <si>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</si>
  <si>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</si>
  <si>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</si>
  <si>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</si>
  <si>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</si>
  <si>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</si>
  <si>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</si>
  <si>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</si>
  <si>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</si>
  <si>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</si>
  <si>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</si>
  <si>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</si>
  <si>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</si>
  <si>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</si>
  <si>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</si>
  <si>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</si>
  <si>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</si>
  <si>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</si>
  <si>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</si>
  <si>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</si>
  <si>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</si>
  <si>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</si>
  <si>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</si>
  <si>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</si>
  <si>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</si>
  <si>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</si>
  <si>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</si>
  <si>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</si>
  <si>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</si>
  <si>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</si>
  <si>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</si>
  <si>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</si>
  <si>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</si>
  <si>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</si>
  <si>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</si>
  <si>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</si>
  <si>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</si>
  <si>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</si>
  <si>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</si>
  <si>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</si>
  <si>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</si>
  <si>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</si>
  <si>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</si>
  <si>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</si>
  <si>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</si>
  <si>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</si>
  <si>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</si>
  <si>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</si>
  <si>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</si>
  <si>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</si>
  <si>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</si>
  <si>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</si>
  <si>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</si>
  <si>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</si>
  <si>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</si>
  <si>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</si>
  <si>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</si>
  <si>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</si>
  <si>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</si>
  <si>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</si>
  <si>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</si>
  <si>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</si>
  <si>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</si>
  <si>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</si>
  <si>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</si>
  <si>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</si>
  <si>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</si>
  <si>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</si>
  <si>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</si>
  <si>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</si>
  <si>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</si>
  <si>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</si>
  <si>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</si>
  <si>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</si>
  <si>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</si>
  <si>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</si>
  <si>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</si>
  <si>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</si>
  <si>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</si>
  <si>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</si>
  <si>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</si>
  <si>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</si>
  <si>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</si>
  <si>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</si>
  <si>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</si>
  <si>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</si>
  <si>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</si>
  <si>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</si>
  <si>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</si>
  <si>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</si>
  <si>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</si>
  <si>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</si>
  <si>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</si>
  <si>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</si>
  <si>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</si>
  <si>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</si>
  <si>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</si>
  <si>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</si>
  <si>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</si>
  <si>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</si>
  <si>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</si>
  <si>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</si>
  <si>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</si>
  <si>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</si>
  <si>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</si>
  <si>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</si>
  <si>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</si>
  <si>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</si>
  <si>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</si>
  <si>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</si>
  <si>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</si>
  <si>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</si>
  <si>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</si>
  <si>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</si>
  <si>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</si>
  <si>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</si>
  <si>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</si>
  <si>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</si>
  <si>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</si>
  <si>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</si>
  <si>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</si>
  <si>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</si>
  <si>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</si>
  <si>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</si>
  <si>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</si>
  <si>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</si>
  <si>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</si>
  <si>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</si>
  <si>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</si>
  <si>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</si>
  <si>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</si>
  <si>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</si>
  <si>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</si>
  <si>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</si>
  <si>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</si>
  <si>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</si>
  <si>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</si>
  <si>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</si>
  <si>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</si>
  <si>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</si>
  <si>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</si>
  <si>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</si>
  <si>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</si>
  <si>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</si>
  <si>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</si>
  <si>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</si>
  <si>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</si>
  <si>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</si>
  <si>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</si>
  <si>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</si>
  <si>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</si>
  <si>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</si>
  <si>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</si>
  <si>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</si>
  <si>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</si>
  <si>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</si>
  <si>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</si>
  <si>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</si>
  <si>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</si>
  <si>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</si>
  <si>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</si>
  <si>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</si>
  <si>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</si>
  <si>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</si>
  <si>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</si>
  <si>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</si>
  <si>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</si>
  <si>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</si>
  <si>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</si>
  <si>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</si>
  <si>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</si>
  <si>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</si>
  <si>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</si>
  <si>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</si>
  <si>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</si>
  <si>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</si>
  <si>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</si>
  <si>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</si>
  <si>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</si>
  <si>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</si>
  <si>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</si>
  <si>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</si>
  <si>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</si>
  <si>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</si>
  <si>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</si>
  <si>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</si>
  <si>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</si>
  <si>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</si>
  <si>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</si>
  <si>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</si>
  <si>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</si>
  <si>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</si>
  <si>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</si>
  <si>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</si>
  <si>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</si>
  <si>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</si>
  <si>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</si>
  <si>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</si>
  <si>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</si>
  <si>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</si>
  <si>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</si>
  <si>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</si>
  <si>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</si>
  <si>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</si>
  <si>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</si>
  <si>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</si>
  <si>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</si>
  <si>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</si>
  <si>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</si>
  <si>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</si>
  <si>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</si>
  <si>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</si>
  <si>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</si>
  <si>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</si>
  <si>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</si>
  <si>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</si>
  <si>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</si>
  <si>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</si>
  <si>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</si>
  <si>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</si>
  <si>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</si>
  <si>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</si>
  <si>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</si>
  <si>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</si>
  <si>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</si>
  <si>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</si>
  <si>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</si>
  <si>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</si>
  <si>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</si>
  <si>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</si>
  <si>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</si>
  <si>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</si>
  <si>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</si>
  <si>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</si>
  <si>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</si>
  <si>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</si>
  <si>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</si>
  <si>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</si>
  <si>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</si>
  <si>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</si>
  <si>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</si>
  <si>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</si>
  <si>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</si>
  <si>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</si>
  <si>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</si>
  <si>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</si>
  <si>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</si>
  <si>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</si>
  <si>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</si>
  <si>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</si>
  <si>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</si>
  <si>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</si>
  <si>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</si>
  <si>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</si>
  <si>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</si>
  <si>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</si>
  <si>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</si>
  <si>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</si>
  <si>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</si>
  <si>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</si>
  <si>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</si>
  <si>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</si>
  <si>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</si>
  <si>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</si>
  <si>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</si>
  <si>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</si>
  <si>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</si>
  <si>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</si>
  <si>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</si>
  <si>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</si>
  <si>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</si>
  <si>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</si>
  <si>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</si>
  <si>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</si>
  <si>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</si>
  <si>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</si>
  <si>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</si>
  <si>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</si>
  <si>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</si>
  <si>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</si>
  <si>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</si>
  <si>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</si>
  <si>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</si>
  <si>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</si>
  <si>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</si>
  <si>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</si>
  <si>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</si>
  <si>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</si>
  <si>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</si>
  <si>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</si>
  <si>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</si>
  <si>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</si>
  <si>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</si>
  <si>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</si>
  <si>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</si>
  <si>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</si>
  <si>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</si>
  <si>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</si>
  <si>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</si>
  <si>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</si>
  <si>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</si>
  <si>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</si>
  <si>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</si>
  <si>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</si>
  <si>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</si>
  <si>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</si>
  <si>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</si>
  <si>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</si>
  <si>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</si>
  <si>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</si>
  <si>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</si>
  <si>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</si>
  <si>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</si>
  <si>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</si>
  <si>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</si>
  <si>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</si>
  <si>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</si>
  <si>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</si>
  <si>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</si>
  <si>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</si>
  <si>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</si>
  <si>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</si>
  <si>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</si>
  <si>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</si>
  <si>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</si>
  <si>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</si>
  <si>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</si>
  <si>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</si>
  <si>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</si>
  <si>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</si>
  <si>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</si>
  <si>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</si>
  <si>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</si>
  <si>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</si>
  <si>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</si>
  <si>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</si>
  <si>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</si>
  <si>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</si>
  <si>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</si>
  <si>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</si>
  <si>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</si>
  <si>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</si>
  <si>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</si>
  <si>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</si>
  <si>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</si>
  <si>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</si>
  <si>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</si>
  <si>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</si>
  <si>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</si>
  <si>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</si>
  <si>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</si>
  <si>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</si>
  <si>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</si>
  <si>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</si>
  <si>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</si>
  <si>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</si>
  <si>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</si>
  <si>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</si>
  <si>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</si>
  <si>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</si>
  <si>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</si>
  <si>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</si>
  <si>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</si>
  <si>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</si>
  <si>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</si>
  <si>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</si>
  <si>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</si>
  <si>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</si>
  <si>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</si>
  <si>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</si>
  <si>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</si>
  <si>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</si>
  <si>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</si>
  <si>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</si>
  <si>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</si>
  <si>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</si>
  <si>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</si>
  <si>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</si>
  <si>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</si>
  <si>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</si>
  <si>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</si>
  <si>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</si>
  <si>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</si>
  <si>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</si>
  <si>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</si>
  <si>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</si>
  <si>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</si>
  <si>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</si>
  <si>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</si>
  <si>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</si>
  <si>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</si>
  <si>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</si>
  <si>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</si>
  <si>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</si>
  <si>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</si>
  <si>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</si>
  <si>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</si>
  <si>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</si>
  <si>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</si>
  <si>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</si>
  <si>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</si>
  <si>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</si>
  <si>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</si>
  <si>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</si>
  <si>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</si>
  <si>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</si>
  <si>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</si>
  <si>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</si>
  <si>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</si>
  <si>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</si>
  <si>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</si>
  <si>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</si>
  <si>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</si>
  <si>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</si>
  <si>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</si>
  <si>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</si>
  <si>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</si>
  <si>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</si>
  <si>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</si>
  <si>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</si>
  <si>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</si>
  <si>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</si>
  <si>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</si>
  <si>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</si>
  <si>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</si>
  <si>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</si>
  <si>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</si>
  <si>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</si>
  <si>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</si>
  <si>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</si>
  <si>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</si>
  <si>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</si>
  <si>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</si>
  <si>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</si>
  <si>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</si>
  <si>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</si>
  <si>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</si>
  <si>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</si>
  <si>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</si>
  <si>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</si>
  <si>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</si>
  <si>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</si>
  <si>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</si>
  <si>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</si>
  <si>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</si>
  <si>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</si>
  <si>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</si>
  <si>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</si>
  <si>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</si>
  <si>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</si>
  <si>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</si>
  <si>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</si>
  <si>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</si>
  <si>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</si>
  <si>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</si>
  <si>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</si>
  <si>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</si>
  <si>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</si>
  <si>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</si>
  <si>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</si>
  <si>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</si>
  <si>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</si>
  <si>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</si>
  <si>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</si>
  <si>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</si>
  <si>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</si>
  <si>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</si>
  <si>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</si>
  <si>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</si>
  <si>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</si>
  <si>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</si>
  <si>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</si>
  <si>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</si>
  <si>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</si>
  <si>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</si>
  <si>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</si>
  <si>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</si>
  <si>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</si>
  <si>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</si>
  <si>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</si>
  <si>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</si>
  <si>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</si>
  <si>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</si>
  <si>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</si>
  <si>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</si>
  <si>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</si>
  <si>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</si>
  <si>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</si>
  <si>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</si>
  <si>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</si>
  <si>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</si>
  <si>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</si>
  <si>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</si>
  <si>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</si>
  <si>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</si>
  <si>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</si>
  <si>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</si>
  <si>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</si>
  <si>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</si>
  <si>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</si>
  <si>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</si>
  <si>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</si>
  <si>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</si>
  <si>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</si>
  <si>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</si>
  <si>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</si>
  <si>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</si>
  <si>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</si>
  <si>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</si>
  <si>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</si>
  <si>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</si>
  <si>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</si>
  <si>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</si>
  <si>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</si>
  <si>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</si>
  <si>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</si>
  <si>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</si>
  <si>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</si>
  <si>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</si>
  <si>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</si>
  <si>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</si>
  <si>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</si>
  <si>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</si>
  <si>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</si>
  <si>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</si>
  <si>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</si>
  <si>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</si>
  <si>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</si>
  <si>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</si>
  <si>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</si>
  <si>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</si>
  <si>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</si>
  <si>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</si>
  <si>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</si>
  <si>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</si>
  <si>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</si>
  <si>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</si>
  <si>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</si>
  <si>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</si>
  <si>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</si>
  <si>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</si>
  <si>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</si>
  <si>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</si>
  <si>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</si>
  <si>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</si>
  <si>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</si>
  <si>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</si>
  <si>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</si>
  <si>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</si>
  <si>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</si>
  <si>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</si>
  <si>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</si>
  <si>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</si>
  <si>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</si>
  <si>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</si>
  <si>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</si>
  <si>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</si>
  <si>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</si>
  <si>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</si>
  <si>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</si>
  <si>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</si>
  <si>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</si>
  <si>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</si>
  <si>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</si>
  <si>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</si>
  <si>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</si>
  <si>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</si>
  <si>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</si>
  <si>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</si>
  <si>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</si>
  <si>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</si>
  <si>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</si>
  <si>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</si>
  <si>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</si>
  <si>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</si>
  <si>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</si>
  <si>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</si>
  <si>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</si>
  <si>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</si>
  <si>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</si>
  <si>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</si>
  <si>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</si>
  <si>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</si>
  <si>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</si>
  <si>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</si>
  <si>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</si>
  <si>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</si>
  <si>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</si>
  <si>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</si>
  <si>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</si>
  <si>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</si>
  <si>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</si>
  <si>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</si>
  <si>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</si>
  <si>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</si>
  <si>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</si>
  <si>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</si>
  <si>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</si>
  <si>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</si>
  <si>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</si>
  <si>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</si>
  <si>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</si>
  <si>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</si>
  <si>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</si>
  <si>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</si>
  <si>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</si>
  <si>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</si>
  <si>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</si>
  <si>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</si>
  <si>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</si>
  <si>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</si>
  <si>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</si>
  <si>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</si>
  <si>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</si>
  <si>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</si>
  <si>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</si>
  <si>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</si>
  <si>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</si>
  <si>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</si>
  <si>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</si>
  <si>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</si>
  <si>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</si>
  <si>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</si>
  <si>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</si>
  <si>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</si>
  <si>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</si>
  <si>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</si>
  <si>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</si>
  <si>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</si>
  <si>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</si>
  <si>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</si>
  <si>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</si>
  <si>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</si>
  <si>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</si>
  <si>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</si>
  <si>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</si>
  <si>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</si>
  <si>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</si>
  <si>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</si>
  <si>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</si>
  <si>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</si>
  <si>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</si>
  <si>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</si>
  <si>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</si>
  <si>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</si>
  <si>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</si>
  <si>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</si>
  <si>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</si>
  <si>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</si>
  <si>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</si>
  <si>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</si>
  <si>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</si>
  <si>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</si>
  <si>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</si>
  <si>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</si>
  <si>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</si>
  <si>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</si>
  <si>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</si>
  <si>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</si>
  <si>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</si>
  <si>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</si>
  <si>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</si>
  <si>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</si>
  <si>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</si>
  <si>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</si>
  <si>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</si>
  <si>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</si>
  <si>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</si>
  <si>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</si>
  <si>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</si>
  <si>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</si>
  <si>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</si>
  <si>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</si>
  <si>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</si>
  <si>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</si>
  <si>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</si>
  <si>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</si>
  <si>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</si>
  <si>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</si>
  <si>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</si>
  <si>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</si>
  <si>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</si>
  <si>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</si>
  <si>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</si>
  <si>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</si>
  <si>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</si>
  <si>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</si>
  <si>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</si>
  <si>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</si>
  <si>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</si>
  <si>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</si>
  <si>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</si>
  <si>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</si>
  <si>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</si>
  <si>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</si>
  <si>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</si>
  <si>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</si>
  <si>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</si>
  <si>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</si>
  <si>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</si>
  <si>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</si>
  <si>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</si>
  <si>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</si>
  <si>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</si>
  <si>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</si>
  <si>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</si>
  <si>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</si>
  <si>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</si>
  <si>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</si>
  <si>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</si>
  <si>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</si>
  <si>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</si>
  <si>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</si>
  <si>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</si>
  <si>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</si>
  <si>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</si>
  <si>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</si>
  <si>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</si>
  <si>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</si>
  <si>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</si>
  <si>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</si>
  <si>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</si>
  <si>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</si>
  <si>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</si>
  <si>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</si>
  <si>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</si>
  <si>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</si>
  <si>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</si>
  <si>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</si>
  <si>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</si>
  <si>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</si>
  <si>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</si>
  <si>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</si>
  <si>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</si>
  <si>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</si>
  <si>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</si>
  <si>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</si>
  <si>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</si>
  <si>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</si>
  <si>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</si>
  <si>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</si>
  <si>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</si>
  <si>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</si>
  <si>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</si>
  <si>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</si>
  <si>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</si>
  <si>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</si>
  <si>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</si>
  <si>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</si>
  <si>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</si>
  <si>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</si>
  <si>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</si>
  <si>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</si>
  <si>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</si>
  <si>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</si>
  <si>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</si>
  <si>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</si>
  <si>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</si>
  <si>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</si>
  <si>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</si>
  <si>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</si>
  <si>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</si>
  <si>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</si>
  <si>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</si>
  <si>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</si>
  <si>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</si>
  <si>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</si>
  <si>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</si>
  <si>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</si>
  <si>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</si>
  <si>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</si>
  <si>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</si>
  <si>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</si>
  <si>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</si>
  <si>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</si>
  <si>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</si>
  <si>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</si>
  <si>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</si>
  <si>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</si>
  <si>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</si>
  <si>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</si>
  <si>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</si>
  <si>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</si>
  <si>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</si>
  <si>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</si>
  <si>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</si>
  <si>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</si>
  <si>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</si>
  <si>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</si>
  <si>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</si>
  <si>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</si>
  <si>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</si>
  <si>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</si>
  <si>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</si>
  <si>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</si>
  <si>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</si>
  <si>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</si>
  <si>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</si>
  <si>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</si>
  <si>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</si>
  <si>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</si>
  <si>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</si>
  <si>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</si>
  <si>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</si>
  <si>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</si>
  <si>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</si>
  <si>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</si>
  <si>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</si>
  <si>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</si>
  <si>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</si>
  <si>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</si>
  <si>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</si>
  <si>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</si>
  <si>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</si>
  <si>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</si>
  <si>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</si>
  <si>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</si>
  <si>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</si>
  <si>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</si>
  <si>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</si>
  <si>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</si>
  <si>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</si>
  <si>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</si>
  <si>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</si>
  <si>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</si>
  <si>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</si>
  <si>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</si>
  <si>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</si>
  <si>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</si>
  <si>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</si>
  <si>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</si>
  <si>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</si>
  <si>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</si>
  <si>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</si>
  <si>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</si>
  <si>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</si>
  <si>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</si>
  <si>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</si>
  <si>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</si>
  <si>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</si>
  <si>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</si>
  <si>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</si>
  <si>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</si>
  <si>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</si>
  <si>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</si>
  <si>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</si>
  <si>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</si>
  <si>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</si>
  <si>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</si>
  <si>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</si>
  <si>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</si>
  <si>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</si>
  <si>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</si>
  <si>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</si>
  <si>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</si>
  <si>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</si>
  <si>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</si>
  <si>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</si>
  <si>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</si>
  <si>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</si>
  <si>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</si>
  <si>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</si>
  <si>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</si>
  <si>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</si>
  <si>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</si>
  <si>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</si>
  <si>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</si>
  <si>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</si>
  <si>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</si>
  <si>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</si>
  <si>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</si>
  <si>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</si>
  <si>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</si>
  <si>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</si>
  <si>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</si>
  <si>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</si>
  <si>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</si>
  <si>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</si>
  <si>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</si>
  <si>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</si>
  <si>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</si>
  <si>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</si>
  <si>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</si>
  <si>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</si>
  <si>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</si>
  <si>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</si>
  <si>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</si>
  <si>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</si>
  <si>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</si>
  <si>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</si>
  <si>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</si>
  <si>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</si>
  <si>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</si>
  <si>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</si>
  <si>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</si>
  <si>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</si>
  <si>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</si>
  <si>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</si>
  <si>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</si>
  <si>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</si>
  <si>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</si>
  <si>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</si>
  <si>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</si>
  <si>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</si>
  <si>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</si>
  <si>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</si>
  <si>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</si>
  <si>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</si>
  <si>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</si>
  <si>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</si>
  <si>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</si>
  <si>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</si>
  <si>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</si>
  <si>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</si>
  <si>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</si>
  <si>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</si>
  <si>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</si>
  <si>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</si>
  <si>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</si>
  <si>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</si>
  <si>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</si>
  <si>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</si>
  <si>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</si>
  <si>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</si>
  <si>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</si>
  <si>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</si>
  <si>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</si>
  <si>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</si>
  <si>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</si>
  <si>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</si>
  <si>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</si>
  <si>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</si>
  <si>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</si>
  <si>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</si>
  <si>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</si>
  <si>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</si>
  <si>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</si>
  <si>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</si>
  <si>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</si>
  <si>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</si>
  <si>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</si>
  <si>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</si>
  <si>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</si>
  <si>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</si>
  <si>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</si>
  <si>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</si>
  <si>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</si>
  <si>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</si>
  <si>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</si>
  <si>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</si>
  <si>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</si>
  <si>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</si>
  <si>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</si>
  <si>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</si>
  <si>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</si>
  <si>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</si>
  <si>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</si>
  <si>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</si>
  <si>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</si>
  <si>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</si>
  <si>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</si>
  <si>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</si>
  <si>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</si>
  <si>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</si>
  <si>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</si>
  <si>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</si>
  <si>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</si>
  <si>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</si>
  <si>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</si>
  <si>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</si>
  <si>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</si>
  <si>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</si>
  <si>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</si>
  <si>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</si>
  <si>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</si>
  <si>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</si>
  <si>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</si>
  <si>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</si>
  <si>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</si>
  <si>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</si>
  <si>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</si>
  <si>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</si>
  <si>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</si>
  <si>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</si>
  <si>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</si>
  <si>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</si>
  <si>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</si>
  <si>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</si>
  <si>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</si>
  <si>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</si>
  <si>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</si>
  <si>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</si>
  <si>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</si>
  <si>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</si>
  <si>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</si>
  <si>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</si>
  <si>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</si>
  <si>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</si>
  <si>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</si>
  <si>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</si>
  <si>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</si>
  <si>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</si>
  <si>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</si>
  <si>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</si>
  <si>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</si>
  <si>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</si>
  <si>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</si>
  <si>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</si>
  <si>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</si>
  <si>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</si>
  <si>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</si>
  <si>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</si>
  <si>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</si>
  <si>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</si>
  <si>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</si>
  <si>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</si>
  <si>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</si>
  <si>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</si>
  <si>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</si>
  <si>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</si>
  <si>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</si>
  <si>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</si>
  <si>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</si>
  <si>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</si>
  <si>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</si>
  <si>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</si>
  <si>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</si>
  <si>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</si>
  <si>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</si>
  <si>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</si>
  <si>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</si>
  <si>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</si>
  <si>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</si>
  <si>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</si>
  <si>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</si>
  <si>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</si>
  <si>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</si>
  <si>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</si>
  <si>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</si>
  <si>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</si>
  <si>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</si>
  <si>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</si>
  <si>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</si>
  <si>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</si>
  <si>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</si>
  <si>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</si>
  <si>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</si>
  <si>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</si>
  <si>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</si>
  <si>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</si>
  <si>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</si>
  <si>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</si>
  <si>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</si>
  <si>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</si>
  <si>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</si>
  <si>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</si>
  <si>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</si>
  <si>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</si>
  <si>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</si>
  <si>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</si>
  <si>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</si>
  <si>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</si>
  <si>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</si>
  <si>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</si>
  <si>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</si>
  <si>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</si>
  <si>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</si>
  <si>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</si>
  <si>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</si>
  <si>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</si>
  <si>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</si>
  <si>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</si>
  <si>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</si>
  <si>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</si>
  <si>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</si>
  <si>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</si>
  <si>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</si>
  <si>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</si>
  <si>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</si>
  <si>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</si>
  <si>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</si>
  <si>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</si>
  <si>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</si>
  <si>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</si>
  <si>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</si>
  <si>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</si>
  <si>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</si>
  <si>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</si>
  <si>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</si>
  <si>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</si>
  <si>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</si>
  <si>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</si>
  <si>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</si>
  <si>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</si>
  <si>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</si>
  <si>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</si>
  <si>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</si>
  <si>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</si>
  <si>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</si>
  <si>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</si>
  <si>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</si>
  <si>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</si>
  <si>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</si>
  <si>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</si>
  <si>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</si>
  <si>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</si>
  <si>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</si>
  <si>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</si>
  <si>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</si>
  <si>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</si>
  <si>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</si>
  <si>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</si>
  <si>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</si>
  <si>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</si>
  <si>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</si>
  <si>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</si>
  <si>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</si>
  <si>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</si>
  <si>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</si>
  <si>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</si>
  <si>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</si>
  <si>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</si>
  <si>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</si>
  <si>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</si>
  <si>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</si>
  <si>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</si>
  <si>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</si>
  <si>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</si>
  <si>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</si>
  <si>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</si>
  <si>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</si>
  <si>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</si>
  <si>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</si>
  <si>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</si>
  <si>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</si>
  <si>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</si>
  <si>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</si>
  <si>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</si>
  <si>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</si>
  <si>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</si>
  <si>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</si>
  <si>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</si>
  <si>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</si>
  <si>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</si>
  <si>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</si>
  <si>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</si>
  <si>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</si>
  <si>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</si>
  <si>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</si>
  <si>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</si>
  <si>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</si>
  <si>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</si>
  <si>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</si>
  <si>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</si>
  <si>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</si>
  <si>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</si>
  <si>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</si>
  <si>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</si>
  <si>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</si>
  <si>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</si>
  <si>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</si>
  <si>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</si>
  <si>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</si>
  <si>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</si>
  <si>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</si>
  <si>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</si>
  <si>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</si>
  <si>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</si>
  <si>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</si>
  <si>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</si>
  <si>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</si>
  <si>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</si>
  <si>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</si>
  <si>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</si>
  <si>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</si>
  <si>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</si>
  <si>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</si>
  <si>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</si>
  <si>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</si>
  <si>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</si>
  <si>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</si>
  <si>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</si>
  <si>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</si>
  <si>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</si>
  <si>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</si>
  <si>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</si>
  <si>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</si>
  <si>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</si>
  <si>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</si>
  <si>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</si>
  <si>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</si>
  <si>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</si>
  <si>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</si>
  <si>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</si>
  <si>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</si>
  <si>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</si>
  <si>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</si>
  <si>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</si>
  <si>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</si>
  <si>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</si>
  <si>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</si>
  <si>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</si>
  <si>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</si>
  <si>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</si>
  <si>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</si>
  <si>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</si>
  <si>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</si>
  <si>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</si>
  <si>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</si>
  <si>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</si>
  <si>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</si>
  <si>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</si>
  <si>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</si>
  <si>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</si>
  <si>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</si>
  <si>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</si>
  <si>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</si>
  <si>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</si>
  <si>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</si>
  <si>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</si>
  <si>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</si>
  <si>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</si>
  <si>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</si>
  <si>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</si>
  <si>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</si>
  <si>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</si>
  <si>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</si>
  <si>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</si>
  <si>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</si>
  <si>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</si>
  <si>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</si>
  <si>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</si>
  <si>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</si>
  <si>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</si>
  <si>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</si>
  <si>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</si>
  <si>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</si>
  <si>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</si>
  <si>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</si>
  <si>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</si>
  <si>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</si>
  <si>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</si>
  <si>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</si>
  <si>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</si>
  <si>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</si>
  <si>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</si>
  <si>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</si>
  <si>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</si>
  <si>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</si>
  <si>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</si>
  <si>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</si>
  <si>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</si>
  <si>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</si>
  <si>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</si>
  <si>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</si>
  <si>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</si>
  <si>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</si>
  <si>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</si>
  <si>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</si>
  <si>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</si>
  <si>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</si>
  <si>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</si>
  <si>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</si>
  <si>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</si>
  <si>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</si>
  <si>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</si>
  <si>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</si>
  <si>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</si>
  <si>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</si>
  <si>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</si>
  <si>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</si>
  <si>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</si>
  <si>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</si>
  <si>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</si>
  <si>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</si>
  <si>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</si>
  <si>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</si>
  <si>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</si>
  <si>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</si>
  <si>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</si>
  <si>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</si>
  <si>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</si>
  <si>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</si>
  <si>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</si>
  <si>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</si>
  <si>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</si>
  <si>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</si>
  <si>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</si>
  <si>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</si>
  <si>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</si>
  <si>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</si>
  <si>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</si>
  <si>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</si>
  <si>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</si>
  <si>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</si>
  <si>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</si>
  <si>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</si>
  <si>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</si>
  <si>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</si>
  <si>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</si>
  <si>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</si>
  <si>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</si>
  <si>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</si>
  <si>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</si>
  <si>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</si>
  <si>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</si>
  <si>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</si>
  <si>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</si>
  <si>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</si>
  <si>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</si>
  <si>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</si>
  <si>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</si>
  <si>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</si>
  <si>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</si>
  <si>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</si>
  <si>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</si>
  <si>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</si>
  <si>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</si>
  <si>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</si>
  <si>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</si>
  <si>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</si>
  <si>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</si>
  <si>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</si>
  <si>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</si>
  <si>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</si>
  <si>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</si>
  <si>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</si>
  <si>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</si>
  <si>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</si>
  <si>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</si>
  <si>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</si>
  <si>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</si>
  <si>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</si>
  <si>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</si>
  <si>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</si>
  <si>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</si>
  <si>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</si>
  <si>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</si>
  <si>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</si>
  <si>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</si>
  <si>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</si>
  <si>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</si>
  <si>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</si>
  <si>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</si>
  <si>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</si>
  <si>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</si>
  <si>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</si>
  <si>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</si>
  <si>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</si>
  <si>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</si>
  <si>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</si>
  <si>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</si>
  <si>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</si>
  <si>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</si>
  <si>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</si>
  <si>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</si>
  <si>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</si>
  <si>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</si>
  <si>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</si>
  <si>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</si>
  <si>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</si>
  <si>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</si>
  <si>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</si>
  <si>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</si>
  <si>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</si>
  <si>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</si>
  <si>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</si>
  <si>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</si>
  <si>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</si>
  <si>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</si>
  <si>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</si>
  <si>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</si>
  <si>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</si>
  <si>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</si>
  <si>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</si>
  <si>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</si>
  <si>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</si>
  <si>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</si>
  <si>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</si>
  <si>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</si>
  <si>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</si>
  <si>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</si>
  <si>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</si>
  <si>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</si>
  <si>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</si>
  <si>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</si>
  <si>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</si>
  <si>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</si>
  <si>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</si>
  <si>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</si>
  <si>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</si>
  <si>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</si>
  <si>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</si>
  <si>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</si>
  <si>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</si>
  <si>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</si>
  <si>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</si>
  <si>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</si>
  <si>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</si>
  <si>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</si>
  <si>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</si>
  <si>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</si>
  <si>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</si>
  <si>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</si>
  <si>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</si>
  <si>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</si>
  <si>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</si>
  <si>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</si>
  <si>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</si>
  <si>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</si>
  <si>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</si>
  <si>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</si>
  <si>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</si>
  <si>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</si>
  <si>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</si>
  <si>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</si>
  <si>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</si>
  <si>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</si>
  <si>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</si>
  <si>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</si>
  <si>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</si>
  <si>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</si>
  <si>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</si>
  <si>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</si>
  <si>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</si>
  <si>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</si>
  <si>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</si>
  <si>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</si>
  <si>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</si>
  <si>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</si>
  <si>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</si>
  <si>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</si>
  <si>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</si>
  <si>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</si>
  <si>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</si>
  <si>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</si>
  <si>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</si>
  <si>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</si>
  <si>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</si>
  <si>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</si>
  <si>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</si>
  <si>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</si>
  <si>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</si>
  <si>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</si>
  <si>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</si>
  <si>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</si>
  <si>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</si>
  <si>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</si>
  <si>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</si>
  <si>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</si>
  <si>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</si>
  <si>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</si>
  <si>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</si>
  <si>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</si>
  <si>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</si>
  <si>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</si>
  <si>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</si>
  <si>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</si>
  <si>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</si>
  <si>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</si>
  <si>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</si>
  <si>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</si>
  <si>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</si>
  <si>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</si>
  <si>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</si>
  <si>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</si>
  <si>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</si>
  <si>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</si>
  <si>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</si>
  <si>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</si>
  <si>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</si>
  <si>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</si>
  <si>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</si>
  <si>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</si>
  <si>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</si>
  <si>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</si>
  <si>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</si>
  <si>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</si>
  <si>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</si>
  <si>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</si>
  <si>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</si>
  <si>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</si>
  <si>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</si>
  <si>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</si>
  <si>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</si>
  <si>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</si>
  <si>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</si>
  <si>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</si>
  <si>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</si>
  <si>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</si>
  <si>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</si>
  <si>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</si>
  <si>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</si>
  <si>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</si>
  <si>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</si>
  <si>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</si>
  <si>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</si>
  <si>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</si>
  <si>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</si>
  <si>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</si>
  <si>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</si>
  <si>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</si>
  <si>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</si>
  <si>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</si>
  <si>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</si>
  <si>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</si>
  <si>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</si>
  <si>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</si>
  <si>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</si>
  <si>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</si>
  <si>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</si>
  <si>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</si>
  <si>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</si>
  <si>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</si>
  <si>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</si>
  <si>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</si>
  <si>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</si>
  <si>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</si>
  <si>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</si>
  <si>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</si>
  <si>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</si>
  <si>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</si>
  <si>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</si>
  <si>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</si>
  <si>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</si>
  <si>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</si>
  <si>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</si>
  <si>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</si>
  <si>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</si>
  <si>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</si>
  <si>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</si>
  <si>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</si>
  <si>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</si>
  <si>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</si>
  <si>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</si>
  <si>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</si>
  <si>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</si>
  <si>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</si>
  <si>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</si>
  <si>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</si>
  <si>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</si>
  <si>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</si>
  <si>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</si>
  <si>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</si>
  <si>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</si>
  <si>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</si>
  <si>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</si>
  <si>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</si>
  <si>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</si>
  <si>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</si>
  <si>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</si>
  <si>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</si>
  <si>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</si>
  <si>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</si>
  <si>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</si>
  <si>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</si>
  <si>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</si>
  <si>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</si>
  <si>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</si>
  <si>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</si>
  <si>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</si>
  <si>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</si>
  <si>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</si>
  <si>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</si>
  <si>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</si>
  <si>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</si>
  <si>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</si>
  <si>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</si>
  <si>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</si>
  <si>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</si>
  <si>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</si>
  <si>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</si>
  <si>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</si>
  <si>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</si>
  <si>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</si>
  <si>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</si>
  <si>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</si>
  <si>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</si>
  <si>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отгружен</t>
  </si>
  <si>
    <t>TSO001117561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</si>
</sst>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73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left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0" fontId="45" fillId="0" borderId="0" xfId="0" applyFont="1" applyFill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204"/>
  <sheetViews>
    <sheetView tabSelected="1" zoomScale="70" zoomScaleNormal="70" workbookViewId="0">
      <pane ySplit="2" topLeftCell="A7187" activePane="bottomLeft" state="frozen"/>
      <selection pane="bottomLeft" activeCell="P7204" sqref="P720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1021" width="9.140625" style="2"/>
  </cols>
  <sheetData>
    <row r="1" spans="1:18" ht="19.5" customHeight="1" thickBot="1" x14ac:dyDescent="0.3">
      <c r="A1" s="1043" t="s">
        <v>0</v>
      </c>
      <c r="B1" s="1043"/>
      <c r="C1" s="1043"/>
      <c r="D1" s="1043"/>
      <c r="E1" s="1043"/>
      <c r="F1" s="1043"/>
      <c r="G1" s="1043"/>
      <c r="H1" s="1043"/>
      <c r="I1" s="1043"/>
      <c r="J1" s="1043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44">
        <v>1</v>
      </c>
      <c r="B3" s="104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44"/>
      <c r="B4" s="104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45">
        <v>3</v>
      </c>
      <c r="B6" s="104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45"/>
      <c r="B7" s="104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45"/>
      <c r="B8" s="104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45">
        <v>5</v>
      </c>
      <c r="B10" s="104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45"/>
      <c r="B11" s="104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46">
        <v>8</v>
      </c>
      <c r="B14" s="104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46"/>
      <c r="B15" s="104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45">
        <v>11</v>
      </c>
      <c r="B18" s="104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45"/>
      <c r="B19" s="104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45"/>
      <c r="B20" s="104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45"/>
      <c r="B21" s="104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45">
        <v>13</v>
      </c>
      <c r="B23" s="104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45"/>
      <c r="B24" s="104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46">
        <v>14</v>
      </c>
      <c r="B25" s="104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46"/>
      <c r="B26" s="104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45">
        <v>15</v>
      </c>
      <c r="B27" s="104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45"/>
      <c r="B28" s="104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45"/>
      <c r="B29" s="104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45"/>
      <c r="B30" s="104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46">
        <v>16</v>
      </c>
      <c r="B31" s="104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46"/>
      <c r="B32" s="104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46"/>
      <c r="B33" s="104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46"/>
      <c r="B34" s="104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45">
        <v>17</v>
      </c>
      <c r="B35" s="104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45"/>
      <c r="B36" s="104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45">
        <v>21</v>
      </c>
      <c r="B40" s="104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45"/>
      <c r="B41" s="104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45">
        <v>23</v>
      </c>
      <c r="B43" s="104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45"/>
      <c r="B44" s="104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45"/>
      <c r="B45" s="104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46">
        <v>24</v>
      </c>
      <c r="B46" s="104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46"/>
      <c r="B47" s="104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45">
        <v>25</v>
      </c>
      <c r="B48" s="104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45"/>
      <c r="B49" s="104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45"/>
      <c r="B50" s="104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46">
        <v>26</v>
      </c>
      <c r="B51" s="104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46"/>
      <c r="B52" s="104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45">
        <v>29</v>
      </c>
      <c r="B55" s="104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45"/>
      <c r="B56" s="104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46">
        <v>32</v>
      </c>
      <c r="B59" s="104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46"/>
      <c r="B60" s="104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46">
        <v>34</v>
      </c>
      <c r="B62" s="104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46"/>
      <c r="B63" s="104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46"/>
      <c r="B64" s="104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46"/>
      <c r="B65" s="104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46"/>
      <c r="B66" s="104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45">
        <v>35</v>
      </c>
      <c r="B67" s="104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45"/>
      <c r="B68" s="104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19">
        <v>40</v>
      </c>
      <c r="B73" s="104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19"/>
      <c r="B74" s="104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20">
        <v>41</v>
      </c>
      <c r="B75" s="104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20"/>
      <c r="B76" s="104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20"/>
      <c r="B77" s="104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19">
        <v>42</v>
      </c>
      <c r="B78" s="104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19"/>
      <c r="B79" s="104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20">
        <v>49</v>
      </c>
      <c r="B86" s="104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20"/>
      <c r="B87" s="104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20"/>
      <c r="B88" s="104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19">
        <v>50</v>
      </c>
      <c r="B89" s="104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19"/>
      <c r="B90" s="104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20">
        <v>51</v>
      </c>
      <c r="B91" s="104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20"/>
      <c r="B92" s="104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20">
        <v>53</v>
      </c>
      <c r="B94" s="104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20"/>
      <c r="B95" s="104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19">
        <v>54</v>
      </c>
      <c r="B96" s="104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19"/>
      <c r="B97" s="104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19"/>
      <c r="B98" s="104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19">
        <v>58</v>
      </c>
      <c r="B102" s="104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19"/>
      <c r="B103" s="104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19">
        <v>60</v>
      </c>
      <c r="B105" s="104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19"/>
      <c r="B106" s="104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19"/>
      <c r="B107" s="104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20">
        <v>61</v>
      </c>
      <c r="B108" s="104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20"/>
      <c r="B109" s="104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20"/>
      <c r="B110" s="104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19">
        <v>64</v>
      </c>
      <c r="B113" s="104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19"/>
      <c r="B114" s="104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19">
        <v>66</v>
      </c>
      <c r="B116" s="104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19"/>
      <c r="B117" s="104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20">
        <v>67</v>
      </c>
      <c r="B118" s="104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20"/>
      <c r="B119" s="104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20"/>
      <c r="B120" s="104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19">
        <v>68</v>
      </c>
      <c r="B121" s="104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19"/>
      <c r="B122" s="104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20">
        <v>69</v>
      </c>
      <c r="B123" s="104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20"/>
      <c r="B124" s="104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19">
        <v>72</v>
      </c>
      <c r="B127" s="1046" t="s">
        <v>65</v>
      </c>
      <c r="C127" s="119" t="s">
        <v>26</v>
      </c>
      <c r="D127" s="120">
        <v>3.3</v>
      </c>
      <c r="E127" s="121"/>
      <c r="F127" s="122" t="s">
        <v>30</v>
      </c>
      <c r="G127" s="1040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19"/>
      <c r="B128" s="1046"/>
      <c r="C128" s="103" t="s">
        <v>26</v>
      </c>
      <c r="D128" s="88">
        <v>12.9</v>
      </c>
      <c r="E128" s="106"/>
      <c r="F128" s="107" t="s">
        <v>16</v>
      </c>
      <c r="G128" s="1040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19">
        <v>76</v>
      </c>
      <c r="B132" s="104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19"/>
      <c r="B133" s="104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19"/>
      <c r="B134" s="104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19"/>
      <c r="B135" s="104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19">
        <v>78</v>
      </c>
      <c r="B137" s="104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19"/>
      <c r="B138" s="104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4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4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1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1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1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2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2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1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1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2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2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2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2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2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2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2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2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1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1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1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1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1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1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2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42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2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42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1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1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1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1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1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1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1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1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1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2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2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1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1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2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2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1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1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2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2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2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2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2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1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1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2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2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2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1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1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2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2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1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1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2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2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1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1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1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2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2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1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40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1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40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1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1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2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2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2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2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1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1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1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1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1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1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2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2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1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1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1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1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2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2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1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1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1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1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1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2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2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1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1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2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2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1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3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1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31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2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2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1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40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1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40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1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1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1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1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1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1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1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1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2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2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1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1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2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2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1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1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1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1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2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2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2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2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2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2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2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2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1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1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2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42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2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42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2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2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2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2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2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2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2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2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2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2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2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2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2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2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1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1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2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2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1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1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1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1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2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2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2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2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2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2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1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1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2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2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2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2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25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2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25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1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1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1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1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1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1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1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1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1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1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1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1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2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2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1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1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2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2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2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2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2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2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2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2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1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1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2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2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2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1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1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2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2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2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25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2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25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1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1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1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1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1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1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39" t="s">
        <v>133</v>
      </c>
      <c r="J420" s="1039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2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2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1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1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2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2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1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1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1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1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2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2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2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2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2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1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1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1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2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2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1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1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2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2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1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22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1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22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2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2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1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1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1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1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1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1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2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2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2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1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1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2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2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1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1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1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1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1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1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1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1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2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2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2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2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1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1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1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2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2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2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25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2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25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1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1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2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35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2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35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1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35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1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35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1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35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1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1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1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1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1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1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2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2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2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1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1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1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2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2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2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2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2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1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1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1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2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2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2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2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2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2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1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1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1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2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2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2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2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1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1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1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2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2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2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1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22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1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22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1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1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1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1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1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2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2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2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2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1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1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1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2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2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2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1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1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1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1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1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1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2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2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2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2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2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2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2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2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1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1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1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2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25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2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25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2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2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1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1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1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1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1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1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1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1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1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1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1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1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2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2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2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1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1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1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2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2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2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2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2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1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1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2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2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2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1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1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1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1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2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2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2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2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2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2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1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1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1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2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25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2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25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2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2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37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2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37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2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1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1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1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2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2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2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1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1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2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2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2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2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2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2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1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1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2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2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1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1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1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1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1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1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1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1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1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2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25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2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25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3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3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3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2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2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2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3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3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2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2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2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3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3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1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1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1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2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2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2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1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1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1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1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1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1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1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1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2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2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2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2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2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2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2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1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36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1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36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1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1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1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1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1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2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2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2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2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2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2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2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1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1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1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1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4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4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4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4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4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4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2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25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2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25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1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1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1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2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2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2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2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2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2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2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2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2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2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2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2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2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5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5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2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2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2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1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1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2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2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1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1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1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1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2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2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2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2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2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2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2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1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1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1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1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2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2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1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22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1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22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2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2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2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2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2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2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2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2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2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2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2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2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2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1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1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1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2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2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2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1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1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2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2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2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2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1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1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1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2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2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2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2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2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2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2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2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2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1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1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1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1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1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1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1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1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1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1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2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2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2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1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1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1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1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1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2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2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1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1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1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2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2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2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1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1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1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1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1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1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1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2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2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1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1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1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2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2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2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1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1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2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2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1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1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2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2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1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1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2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2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2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2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1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22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1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22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2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2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2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2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2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1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1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2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2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2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2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2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2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2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2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1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1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1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1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1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1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5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5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1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1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2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2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1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1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1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1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1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2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2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2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2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2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1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1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1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2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2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2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1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1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1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2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25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2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25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1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1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1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2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2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1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1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1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2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2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2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2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2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1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1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2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2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1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1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2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2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1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1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1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1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1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1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1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2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2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1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1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2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2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1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1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1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2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2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1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1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2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25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2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25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1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1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1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2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2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1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1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2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2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2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1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1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2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2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2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2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2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2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2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2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1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1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1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1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1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2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2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1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1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2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2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2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1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1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1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2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2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1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22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1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22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2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2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2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2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2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2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2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2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1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1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2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2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2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2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1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1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2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2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2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1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1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2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2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2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2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1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22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1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22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2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2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1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1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1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1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2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2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1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1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2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2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1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1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2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2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2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2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1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1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1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1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1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1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1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1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2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2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2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2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1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22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1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22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1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1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2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2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1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1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1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1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2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2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1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1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2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2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2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2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2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2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2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1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1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1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1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1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1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1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22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1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22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1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1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2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2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1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1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2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2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2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2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1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1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1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1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2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2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2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2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2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2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2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2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2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2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2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2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2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1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1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2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2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1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1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2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2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1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22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1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22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2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2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2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2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1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1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1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1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2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2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2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2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1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1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1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1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1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1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1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1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1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1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2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2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1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1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1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1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2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25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2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25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2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2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1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1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1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2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2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1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1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2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2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2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2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2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2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2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2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2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2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2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2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2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1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1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2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2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2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5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2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5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1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1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1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2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2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2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1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1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1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1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2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2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2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2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1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1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2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2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1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1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1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1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1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1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2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2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2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25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2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25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2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2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1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1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2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2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1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1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2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2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2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2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1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1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2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25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2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25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2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25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2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25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1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1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2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2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2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2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2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2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2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25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2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25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2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2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2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2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1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1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2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2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2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2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2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1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1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1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1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1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1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1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1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2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2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1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1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1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2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25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2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25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2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2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2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2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1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1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2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2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2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2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2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2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2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2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2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1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1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2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2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1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22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1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22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2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2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1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1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1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2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2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2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2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2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2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2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2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1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1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2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2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1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1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1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2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25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2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25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2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2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2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1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1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1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1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1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2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2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1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1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1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1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1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2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2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1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1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1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2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2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1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1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2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2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1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1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1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1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1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1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2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2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2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2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2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2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2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2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1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1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2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2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1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1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1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22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1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22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1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1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1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2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2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2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2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2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2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2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2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2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2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2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1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1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1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1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2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2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2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2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2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1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1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2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25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2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25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1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1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1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1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1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1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1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1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2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2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2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1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22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1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22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1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1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1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1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1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2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2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2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2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2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2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2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1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1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1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1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1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2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2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1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1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1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2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25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2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25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2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2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1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1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1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1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1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1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1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2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2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1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1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1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1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20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2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1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1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2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2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1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1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2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25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2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25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2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25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1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1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2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2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2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1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1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2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2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2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2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1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22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1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22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2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2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2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2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2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2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2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2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1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1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1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1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1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19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1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19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1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1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2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2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2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2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2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2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19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1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2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2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2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2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25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2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25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1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1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1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2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2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2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2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2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2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2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2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2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2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2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2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2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2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1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1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2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25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2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25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1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1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2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2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1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1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1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2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2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2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2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20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2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2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2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2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20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2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2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1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1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2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25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2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25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2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2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1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1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1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1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2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2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2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2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1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1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1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2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2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2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2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2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2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1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22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1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22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20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2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2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2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1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1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1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1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2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2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1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1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1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1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1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1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1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2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2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2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1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1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19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1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1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1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1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19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1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2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2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1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1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1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1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2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2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1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1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1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2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2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2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1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1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1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1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2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25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2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25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20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2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1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1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2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2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1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1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1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2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25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2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25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2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2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2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2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2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1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1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2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2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1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1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1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20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2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2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2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1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22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1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22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20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2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1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1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1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1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1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1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2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2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1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1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1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2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2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1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1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1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1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2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2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2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19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1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2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2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1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1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2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2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1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1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1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1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1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1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1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1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20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2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2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2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1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1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2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2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1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1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19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1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2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2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1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1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1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1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1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1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1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2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2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3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33" t="s">
        <v>467</v>
      </c>
      <c r="H2160" s="414" t="s">
        <v>515</v>
      </c>
      <c r="I2160" s="415" t="s">
        <v>516</v>
      </c>
      <c r="J2160" s="103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3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33"/>
      <c r="H2161" s="421" t="s">
        <v>515</v>
      </c>
      <c r="I2161" s="422" t="s">
        <v>516</v>
      </c>
      <c r="J2161" s="103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3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33"/>
      <c r="H2162" s="429" t="s">
        <v>515</v>
      </c>
      <c r="I2162" s="430" t="s">
        <v>516</v>
      </c>
      <c r="J2162" s="103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3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33" t="s">
        <v>467</v>
      </c>
      <c r="H2165" s="414" t="s">
        <v>516</v>
      </c>
      <c r="I2165" s="415" t="s">
        <v>516</v>
      </c>
      <c r="J2165" s="103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3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33"/>
      <c r="H2166" s="429" t="s">
        <v>516</v>
      </c>
      <c r="I2166" s="430" t="s">
        <v>516</v>
      </c>
      <c r="J2166" s="103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2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2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2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1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1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20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2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1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1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1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1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2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25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2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25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20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2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2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1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22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1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22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20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30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2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30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1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3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1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3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20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2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2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2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1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1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2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2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1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1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1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1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1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2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2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2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1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1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1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20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2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1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1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1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1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1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1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2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2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2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2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1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1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2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2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2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19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1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1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19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1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1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2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2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2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2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2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2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2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1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1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1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1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1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1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1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2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2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2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2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2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1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1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1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19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1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2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2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1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1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1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2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2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1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1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1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1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1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1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1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2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2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2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2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20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2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2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2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21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2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2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2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2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2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2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2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1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1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2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2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2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1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1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1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1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1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2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2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20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2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2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2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2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2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20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2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2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2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20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2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2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1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1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1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1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2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2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2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2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2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1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1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1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1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1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1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2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2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1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1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2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2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1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1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1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1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1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1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1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2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2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2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2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2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1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1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20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2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1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1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2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2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1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1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1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1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1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1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1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2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2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2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1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1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20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2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2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2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2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2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2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2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1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1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1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2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2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1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1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1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1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1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19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22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1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22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1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22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2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2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2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2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20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2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1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1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2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2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1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22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1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22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1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1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2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2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1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1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2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2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20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2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2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2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2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2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2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29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1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1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2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25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2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25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2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2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2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2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19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1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1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2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2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1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1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2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2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1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1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1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1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2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24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2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24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1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1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1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22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1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22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2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2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2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2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2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2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19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1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2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2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1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1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1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2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2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2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2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2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2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2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1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1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1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22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1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22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1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1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1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1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2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2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2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1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1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2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2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2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2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2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1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1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2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2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2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2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2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2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2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2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2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2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1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1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1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1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2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2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1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1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1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1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1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1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2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2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2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2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2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2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2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2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1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1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2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2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2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2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2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2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1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1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1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2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2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1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1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1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1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2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2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2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2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1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22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1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22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1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22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2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2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2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2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1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1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2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2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1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1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2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2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2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20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2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1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1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1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2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2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1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1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2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2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2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2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2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1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1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2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2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2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2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1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1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2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2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1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1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1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1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2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2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2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2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2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2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2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2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26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2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26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2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2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20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25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2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25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1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1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2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2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2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2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2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20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2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1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1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1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2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2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2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1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1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1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1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21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2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2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2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2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2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2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1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22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1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22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2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2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2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2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1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1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2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2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1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1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1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2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2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2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2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2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2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2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2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25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2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25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2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2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2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2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2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2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2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25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2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25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2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2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1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1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1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2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2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1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1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1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1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2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2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1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1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21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2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2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2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2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2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2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20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2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1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1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1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2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25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2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25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2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2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1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1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2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2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2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2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2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2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2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2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2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2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2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2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2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2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1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1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1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1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1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2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2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2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2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22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2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22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2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22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20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2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1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1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2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2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2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1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1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2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2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2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2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2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2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1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1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2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2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1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22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1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22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1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22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1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22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2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2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2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2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2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1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1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1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22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1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22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1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22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2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2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2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2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2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2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2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1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1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2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2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1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1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1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2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2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2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2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2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1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2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1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22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2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2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1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1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2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2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1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1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2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2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2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2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2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2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2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2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2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2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2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2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2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2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1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1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1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1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1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2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2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2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2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2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2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2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1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1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2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2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2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2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1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1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1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1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2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2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2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2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1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1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1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1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2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2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2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2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2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1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1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2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2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2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25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2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25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2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25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1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1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2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2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1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1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1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2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2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2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1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1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2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2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1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1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1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1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2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2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2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1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1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1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1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1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2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2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2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2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2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1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1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2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2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1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1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2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2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1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1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2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24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2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24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2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24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2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24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2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24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2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24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1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1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1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1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2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2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1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1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2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2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2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2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19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1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1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2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2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2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1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1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2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2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1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1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2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2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2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2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2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1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1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2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2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2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2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2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2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2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2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2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2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1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1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1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1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2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2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2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1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1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1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1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1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2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2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1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1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2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2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2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2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2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2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1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1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2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2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2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2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2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2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2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2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2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2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2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2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2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2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2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2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20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2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2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2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2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2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2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2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2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2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2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2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2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2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2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2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1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1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2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2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1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1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2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2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2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2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2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2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2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2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1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1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2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2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1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1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2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25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2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25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1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1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1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2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2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1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1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1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1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2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25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2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25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2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2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2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2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2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2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2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2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1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1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1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1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2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25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2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25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2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2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2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2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1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1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1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1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1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1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1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1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2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2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2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2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2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2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2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2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2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2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2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1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1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2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24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2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24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2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24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1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1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1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1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2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2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1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1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1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2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2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2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2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21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2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2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2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2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2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2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1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22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1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22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2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2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2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2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2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2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1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1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1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1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1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2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2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2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21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2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2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2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2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2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2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2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2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1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22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1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22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2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2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1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1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1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1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2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2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1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1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1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1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1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2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2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1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22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1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22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3">
      <c r="A3552" s="985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9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8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93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85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9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8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93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8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93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8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93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9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1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85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1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85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9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1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1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85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8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8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8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9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9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9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9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1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85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1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9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1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85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8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8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8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8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8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3">
      <c r="A3598" s="99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9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1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1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85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1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9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9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1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1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85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8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8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1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85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8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9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9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9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1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9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9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9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85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8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8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8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8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8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9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1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85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9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1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1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85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9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1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1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85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1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9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1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85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8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85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1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9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1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85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8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1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9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9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1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9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9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9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9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9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9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85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1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9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9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1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1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85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1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9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1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85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8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8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1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3">
      <c r="A3694" s="985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9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1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1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9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9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1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85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1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3">
      <c r="A3703" s="99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9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1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1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85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8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8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8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8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8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9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1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9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1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9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9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1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1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85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8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1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9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9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1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85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8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1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9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9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9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9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9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1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85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8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1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85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8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8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8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9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9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9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9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9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9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9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9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85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1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85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9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8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93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1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1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8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8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1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9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9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1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8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8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8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3">
      <c r="A3779" s="98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9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1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1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9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9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9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1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85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1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85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1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9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1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9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9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9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9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9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85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1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85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8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1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9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1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85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1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9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1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85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9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1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1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9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9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85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8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1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9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1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85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1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9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1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85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1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85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8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9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9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9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9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9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9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85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1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85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1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9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9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9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1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85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8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8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8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8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1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85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1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9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9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9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1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9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9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9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9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9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9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85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1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85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9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1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1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9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9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1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85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8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8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1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9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9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1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85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9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8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93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1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1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9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9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1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1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85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1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9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1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85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8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8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8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8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8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9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1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85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1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9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9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1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85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8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8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1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9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1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85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9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1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1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85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1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9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9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1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9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1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85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8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9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9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9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9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9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9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9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85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1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85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8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9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9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1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1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85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8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8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8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8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8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1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9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9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9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9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85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8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1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85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1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9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1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85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8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1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85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1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16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1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1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85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8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8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8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8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1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9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1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85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8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1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9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1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85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1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85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1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9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9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85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8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8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9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85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9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8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02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85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8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9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9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9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85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8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8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8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8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9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85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8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85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8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8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9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85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8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8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3">
      <c r="A4090" s="99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9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3">
      <c r="A4091" s="99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03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9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9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9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9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85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8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8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9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9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9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9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9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85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8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9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9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85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8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8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8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9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85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8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8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8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85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8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9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9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9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85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8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9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9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9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9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9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85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8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9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9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85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8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9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85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8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85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8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8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85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8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9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9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9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85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8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8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8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8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85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8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9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9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9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85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8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8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9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9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9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85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8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8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3">
      <c r="A4231" s="985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9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8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02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9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9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9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9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85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8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8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8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85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8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3">
      <c r="A4251" s="99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9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3">
      <c r="A4252" s="99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03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3">
      <c r="A4253" s="99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03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9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85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8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8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85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8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9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9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85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8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9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9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9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3">
      <c r="A4278" s="99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9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9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85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8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9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9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9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85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8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9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9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85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8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9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9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9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9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9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85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8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8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85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9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8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93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8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93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8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02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9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85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8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85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8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9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9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85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8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3">
      <c r="A4331" s="99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9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9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9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9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9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9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9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9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9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85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8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9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9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85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8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85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8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8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9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9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85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8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8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9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9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9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85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8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9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9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8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8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8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8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9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9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9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9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8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8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8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9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85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8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8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8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9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85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8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9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9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9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85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8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9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9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8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8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9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9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85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8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8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8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85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8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85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8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8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8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9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9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85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8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8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9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9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9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9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9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9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85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8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85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8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8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8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9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9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9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03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85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8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9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85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8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9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85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8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85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8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8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9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85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8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9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9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85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8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8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9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85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8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85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8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9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9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85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8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8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85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8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85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8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9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85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8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9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85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8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8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9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9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9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9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85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8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9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9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3">
      <c r="A4579" s="985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9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3">
      <c r="A4580" s="98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93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8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02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9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9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9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9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85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8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8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85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8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9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9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85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8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8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8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85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8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3">
      <c r="A4615" s="985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9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8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02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9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9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9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9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85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8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8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8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9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9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85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8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85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8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85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8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8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9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9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85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8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9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9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85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8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9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85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8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9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9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86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8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9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9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85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8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9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9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9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85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8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9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85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8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3">
      <c r="A4700" s="985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9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8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02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85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8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8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9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9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85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8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8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9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9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9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85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8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9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85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8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9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9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9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03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9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03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9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9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9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9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9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9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85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8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85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8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8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9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9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85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9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8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02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85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8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9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9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9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9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9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85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9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8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93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9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9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85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8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9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3">
      <c r="A4776" s="985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9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8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02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85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8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8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9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9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3">
      <c r="A4792" s="99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9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9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85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8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85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8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85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8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9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9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9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9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85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8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9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85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8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9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9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9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03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9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85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8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85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9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8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02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9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85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8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8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8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3">
      <c r="A4838" s="99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9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9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85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8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9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85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8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9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9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85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9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8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02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9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9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9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85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8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3">
      <c r="A4866" s="985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9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8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02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9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9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9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85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8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9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9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85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8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8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8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9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85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8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9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3">
      <c r="A4893" s="985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9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8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02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9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9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9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9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3">
      <c r="A4903" s="985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9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8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93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9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9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9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85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8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8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85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8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85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8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9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9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9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85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9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8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02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85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8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3">
      <c r="A4935" s="99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9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9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85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8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8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9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85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8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9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3">
      <c r="A4950" s="985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9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8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02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9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85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8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9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9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9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85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8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9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9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85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8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9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9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9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9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9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85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8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9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9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9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85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8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85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8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8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9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9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3">
      <c r="A4996" s="99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9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9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9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9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9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85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8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85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8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8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9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9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85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8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9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3">
      <c r="A5019" s="99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9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9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9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9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9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85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8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3">
      <c r="A5035" s="99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9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9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85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8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9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9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85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9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8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93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8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93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9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9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9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86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8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8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8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86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8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85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8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9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85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9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8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11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8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8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8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9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85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8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8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9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85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8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85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8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9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9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9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03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9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85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8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9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9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9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9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9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9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9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9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85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8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8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85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9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8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93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8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93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8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93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9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85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9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8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02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85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8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9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9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85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9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8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02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9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9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85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8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8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8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9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3">
      <c r="A5140" s="985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9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8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02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9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9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9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9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85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8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8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9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9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9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9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9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9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9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85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8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8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8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9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9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85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8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9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85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8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85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9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8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93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9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9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9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85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9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8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02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85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8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3">
      <c r="A5202" s="985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9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8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02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85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8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8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9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85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8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9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9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9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9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9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85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8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8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8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9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9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85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8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85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9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8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02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9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9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85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8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8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9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85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8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8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9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85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8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9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85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8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85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8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9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9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85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8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9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9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9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9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03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85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8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8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9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85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8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8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8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9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9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9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9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8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8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9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9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85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8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8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8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9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85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8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85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8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85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9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8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93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8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93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8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93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8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93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9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9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9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9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9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9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9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85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8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9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9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85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8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8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85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8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8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9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9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9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9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9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9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9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03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9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03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9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03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85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8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9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85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8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85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8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9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9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9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9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86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8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9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3">
      <c r="A5402" s="986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93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8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93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9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9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85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9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8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02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9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9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85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9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8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93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9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85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8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9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85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8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9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85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9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8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02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85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8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9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85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8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9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85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8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8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9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9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9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9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9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85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87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85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87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9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9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9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9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85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8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87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9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9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85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8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9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9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9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85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8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87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85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87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9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85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87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85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9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87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02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85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87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9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85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87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9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9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9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9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9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9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9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85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8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87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85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8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9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9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9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9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9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9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03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9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03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9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03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9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85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8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87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9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9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9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9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3">
      <c r="A5549" s="985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9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87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02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9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85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8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87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85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87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85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87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9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9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85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87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9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85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8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85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8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8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87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9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85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8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87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9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85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87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9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9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9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9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9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85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87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85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87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85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8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8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87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85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87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9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85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87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3">
      <c r="A5623" s="99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9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9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85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87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65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66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57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58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59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9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57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3">
      <c r="A6560" s="1058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0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59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1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57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59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9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9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16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9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5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06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07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0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5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54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1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5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9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9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9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9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9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9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9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9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04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0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85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87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85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87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85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86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87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9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9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9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9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85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86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87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9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9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9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85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87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9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9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9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9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9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9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9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85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87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9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9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9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9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9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16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5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07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07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91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8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89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85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87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85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86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8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89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9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91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8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01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01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89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9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07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91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8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89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9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91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8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01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89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9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91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8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01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89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85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86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86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86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9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9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9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9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91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9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6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07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6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91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6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9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03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03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9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9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91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93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8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89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85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87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9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85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86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16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56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90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91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90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91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90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07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91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9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9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85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86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87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9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9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9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90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07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91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8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01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01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89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90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07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07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9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9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9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90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07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07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91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8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01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01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90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91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8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01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01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3">
      <c r="A6785" s="990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9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91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02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3">
      <c r="A6787" s="99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9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9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9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85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87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9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9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9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8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01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01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01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85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86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85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86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86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87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9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9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9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9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9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9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9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85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86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86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86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86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86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87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88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01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01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89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85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86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87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88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01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89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88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01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01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01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85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86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87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01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01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01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01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89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90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91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88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89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90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07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07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91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90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60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07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61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91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62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9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85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87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88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3">
      <c r="A6871" s="1001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89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90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3">
      <c r="A6874" s="1007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91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88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03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89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03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85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92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87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02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85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87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88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89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85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87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9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85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86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87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88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01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89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90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07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91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96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98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98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98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85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86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86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87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63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64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96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98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98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98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7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85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86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87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85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87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88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89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85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86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86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87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88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94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01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03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01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03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89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95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85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87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85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87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88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89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990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60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07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61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07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67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07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67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91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62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88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03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01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03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89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95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85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87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85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86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87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88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89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85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86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86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86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87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88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89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85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86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86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86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87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96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98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98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98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85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86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86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87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88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89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85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87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96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98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7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85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986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986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87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88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01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89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3">
      <c r="A6999" s="990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92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07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93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3">
      <c r="A7001" s="1007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93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3">
      <c r="A7002" s="1007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93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991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02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88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89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85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87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85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986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87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88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994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89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995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88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01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89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985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87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96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998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7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96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998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7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985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87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988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89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985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87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985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986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986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986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87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988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01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89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985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986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986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87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988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89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02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985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987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96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998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998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97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988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04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01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69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01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69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989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05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985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92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987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02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996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998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998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997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996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997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985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987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988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989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985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999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987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68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996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997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985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987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996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997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988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989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985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987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3">
      <c r="A7097" s="996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998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998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998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998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997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4"/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x14ac:dyDescent="0.25">
      <c r="A7104" s="988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63"/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thickBot="1" x14ac:dyDescent="0.3">
      <c r="A7105" s="989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48"/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x14ac:dyDescent="0.25">
      <c r="A7106" s="990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79"/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x14ac:dyDescent="0.25">
      <c r="A7107" s="1007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91"/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x14ac:dyDescent="0.25">
      <c r="A7108" s="1007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976"/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thickBot="1" x14ac:dyDescent="0.3">
      <c r="A7109" s="991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87"/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x14ac:dyDescent="0.25">
      <c r="A7110" s="988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63"/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thickBot="1" x14ac:dyDescent="0.3">
      <c r="A7111" s="989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48"/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x14ac:dyDescent="0.25">
      <c r="A7112" s="985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79"/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x14ac:dyDescent="0.25">
      <c r="A7113" s="986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91"/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thickBot="1" x14ac:dyDescent="0.3">
      <c r="A7114" s="987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9"/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x14ac:dyDescent="0.25">
      <c r="A7115" s="996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994" t="s">
        <v>2386</v>
      </c>
      <c r="H7115" s="535" t="s">
        <v>2329</v>
      </c>
      <c r="I7115" s="537" t="s">
        <v>2347</v>
      </c>
      <c r="J7115" s="538"/>
      <c r="K7115" s="531"/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x14ac:dyDescent="0.25">
      <c r="A7116" s="998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03"/>
      <c r="H7116" s="567" t="s">
        <v>2329</v>
      </c>
      <c r="I7116" s="569" t="s">
        <v>2347</v>
      </c>
      <c r="J7116" s="570"/>
      <c r="K7116" s="563"/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x14ac:dyDescent="0.25">
      <c r="A7117" s="998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03"/>
      <c r="H7117" s="567" t="s">
        <v>2329</v>
      </c>
      <c r="I7117" s="569" t="s">
        <v>2347</v>
      </c>
      <c r="J7117" s="570"/>
      <c r="K7117" s="563"/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thickBot="1" x14ac:dyDescent="0.3">
      <c r="A7118" s="997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995"/>
      <c r="H7118" s="829" t="s">
        <v>2329</v>
      </c>
      <c r="I7118" s="829" t="s">
        <v>2423</v>
      </c>
      <c r="J7118" s="831"/>
      <c r="K7118" s="832"/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/>
      <c r="F7119" s="518" t="s">
        <v>16</v>
      </c>
      <c r="G7119" s="519" t="s">
        <v>2299</v>
      </c>
      <c r="H7119" s="518" t="s">
        <v>2329</v>
      </c>
      <c r="I7119" s="520"/>
      <c r="J7119" s="521"/>
      <c r="K7119" s="514"/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>
        <v>6303198</v>
      </c>
      <c r="Q7119" s="2"/>
      <c r="R7119" s="2"/>
    </row>
    <row r="7120" spans="1:18" ht="56.25" x14ac:dyDescent="0.25">
      <c r="A7120" s="996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1"/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x14ac:dyDescent="0.25">
      <c r="A7121" s="998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3"/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x14ac:dyDescent="0.25">
      <c r="A7122" s="998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3"/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1072" t="s">
        <v>2414</v>
      </c>
    </row>
    <row r="7123" spans="1:18" ht="19.5" thickBot="1" x14ac:dyDescent="0.3">
      <c r="A7123" s="998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/>
      <c r="H7123" s="839" t="s">
        <v>2329</v>
      </c>
      <c r="I7123" s="839" t="s">
        <v>2329</v>
      </c>
      <c r="J7123" s="840"/>
      <c r="K7123" s="836"/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1072" t="s">
        <v>2415</v>
      </c>
    </row>
    <row r="7124" spans="1:18" ht="19.5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4"/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4"/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3"/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x14ac:dyDescent="0.25">
      <c r="A7127" s="996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994" t="s">
        <v>1634</v>
      </c>
      <c r="H7127" s="535" t="s">
        <v>2344</v>
      </c>
      <c r="I7127" s="537" t="s">
        <v>2347</v>
      </c>
      <c r="J7127" s="538"/>
      <c r="K7127" s="531"/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thickBot="1" x14ac:dyDescent="0.3">
      <c r="A7128" s="997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995"/>
      <c r="H7128" s="873" t="s">
        <v>2347</v>
      </c>
      <c r="I7128" s="788" t="s">
        <v>2423</v>
      </c>
      <c r="J7128" s="790"/>
      <c r="K7128" s="877"/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x14ac:dyDescent="0.25">
      <c r="A7129" s="985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992" t="s">
        <v>1634</v>
      </c>
      <c r="H7129" s="483" t="s">
        <v>2344</v>
      </c>
      <c r="I7129" s="484" t="s">
        <v>2347</v>
      </c>
      <c r="J7129" s="485"/>
      <c r="K7129" s="479"/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thickBot="1" x14ac:dyDescent="0.3">
      <c r="A7130" s="987"/>
      <c r="B7130" s="841" t="s">
        <v>2405</v>
      </c>
      <c r="C7130" s="977" t="s">
        <v>47</v>
      </c>
      <c r="D7130" s="978">
        <v>3.8</v>
      </c>
      <c r="E7130" s="978">
        <v>3.8260000000000001</v>
      </c>
      <c r="F7130" s="979" t="s">
        <v>16</v>
      </c>
      <c r="G7130" s="993"/>
      <c r="H7130" s="979" t="s">
        <v>2405</v>
      </c>
      <c r="I7130" s="979" t="s">
        <v>2405</v>
      </c>
      <c r="J7130" s="845"/>
      <c r="K7130" s="886"/>
      <c r="L7130" s="979" t="s">
        <v>28</v>
      </c>
      <c r="M7130" s="979">
        <v>3810</v>
      </c>
      <c r="N7130" s="846">
        <v>0.5</v>
      </c>
      <c r="O7130" s="897" t="s">
        <v>2425</v>
      </c>
      <c r="P7130" s="867" t="s">
        <v>2447</v>
      </c>
    </row>
    <row r="7131" spans="1:18" x14ac:dyDescent="0.25">
      <c r="A7131" s="996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1"/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x14ac:dyDescent="0.25">
      <c r="A7132" s="998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49"/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x14ac:dyDescent="0.25">
      <c r="A7133" s="998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980"/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thickBot="1" x14ac:dyDescent="0.3">
      <c r="A7134" s="997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877"/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x14ac:dyDescent="0.25">
      <c r="A7135" s="985">
        <f t="shared" ref="A7135" si="215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70" t="s">
        <v>2346</v>
      </c>
      <c r="H7135" s="527" t="s">
        <v>2344</v>
      </c>
      <c r="I7135" s="528" t="s">
        <v>2344</v>
      </c>
      <c r="J7135" s="529"/>
      <c r="K7135" s="523"/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x14ac:dyDescent="0.25">
      <c r="A7136" s="986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70"/>
      <c r="H7136" s="763" t="s">
        <v>2344</v>
      </c>
      <c r="I7136" s="768" t="s">
        <v>2344</v>
      </c>
      <c r="J7136" s="779"/>
      <c r="K7136" s="791"/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thickBot="1" x14ac:dyDescent="0.3">
      <c r="A7137" s="987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71"/>
      <c r="H7137" s="856" t="s">
        <v>2344</v>
      </c>
      <c r="I7137" s="856" t="s">
        <v>2344</v>
      </c>
      <c r="J7137" s="858"/>
      <c r="K7137" s="859"/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x14ac:dyDescent="0.25">
      <c r="A7138" s="996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1"/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thickBot="1" x14ac:dyDescent="0.3">
      <c r="A7139" s="997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36"/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4"/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4"/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x14ac:dyDescent="0.25">
      <c r="A7142" s="985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79"/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thickBot="1" x14ac:dyDescent="0.3">
      <c r="A7143" s="987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/>
      <c r="H7143" s="808" t="s">
        <v>2347</v>
      </c>
      <c r="I7143" s="808" t="s">
        <v>2423</v>
      </c>
      <c r="J7143" s="810"/>
      <c r="K7143" s="887"/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x14ac:dyDescent="0.25">
      <c r="A7144" s="996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1"/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x14ac:dyDescent="0.25">
      <c r="A7145" s="998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3"/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x14ac:dyDescent="0.25">
      <c r="A7146" s="998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3"/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thickBot="1" x14ac:dyDescent="0.3">
      <c r="A7147" s="997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32"/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x14ac:dyDescent="0.25">
      <c r="A7148" s="985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999" t="s">
        <v>1633</v>
      </c>
      <c r="H7148" s="483" t="s">
        <v>2347</v>
      </c>
      <c r="I7148" s="484" t="s">
        <v>2347</v>
      </c>
      <c r="J7148" s="485"/>
      <c r="K7148" s="479"/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x14ac:dyDescent="0.25">
      <c r="A7149" s="986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00"/>
      <c r="H7149" s="527" t="s">
        <v>2347</v>
      </c>
      <c r="I7149" s="528" t="s">
        <v>2347</v>
      </c>
      <c r="J7149" s="529"/>
      <c r="K7149" s="523"/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thickBot="1" x14ac:dyDescent="0.3">
      <c r="A7150" s="987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00"/>
      <c r="H7150" s="499" t="s">
        <v>2347</v>
      </c>
      <c r="I7150" s="500" t="s">
        <v>2347</v>
      </c>
      <c r="J7150" s="501"/>
      <c r="K7150" s="495"/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x14ac:dyDescent="0.25">
      <c r="A7151" s="988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1"/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x14ac:dyDescent="0.25">
      <c r="A7152" s="1001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49"/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thickBot="1" x14ac:dyDescent="0.3">
      <c r="A7153" s="989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877"/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thickBot="1" x14ac:dyDescent="0.3">
      <c r="A7154" s="513">
        <f t="shared" ref="A7154:A7161" si="216">MAX(A7001:A7153)+1</f>
        <v>4410</v>
      </c>
      <c r="B7154" s="645" t="s">
        <v>2294</v>
      </c>
      <c r="C7154" s="646" t="s">
        <v>1382</v>
      </c>
      <c r="D7154" s="647">
        <v>8</v>
      </c>
      <c r="E7154" s="648"/>
      <c r="F7154" s="649" t="s">
        <v>16</v>
      </c>
      <c r="G7154" s="650" t="s">
        <v>2299</v>
      </c>
      <c r="H7154" s="649" t="s">
        <v>2347</v>
      </c>
      <c r="I7154" s="651"/>
      <c r="J7154" s="652"/>
      <c r="K7154" s="645"/>
      <c r="L7154" s="649" t="s">
        <v>266</v>
      </c>
      <c r="M7154" s="649">
        <v>8001</v>
      </c>
      <c r="N7154" s="653">
        <v>0.54166666666666663</v>
      </c>
      <c r="O7154" s="897" t="s">
        <v>2373</v>
      </c>
      <c r="P7154" s="867" t="s">
        <v>2413</v>
      </c>
    </row>
    <row r="7155" spans="1:18" ht="19.5" thickBot="1" x14ac:dyDescent="0.3">
      <c r="A7155" s="503">
        <f t="shared" si="216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4"/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thickBot="1" x14ac:dyDescent="0.3">
      <c r="A7156" s="572">
        <f t="shared" si="216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3"/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thickBot="1" x14ac:dyDescent="0.3">
      <c r="A7157" s="503">
        <f t="shared" si="216"/>
        <v>4413</v>
      </c>
      <c r="B7157" s="504" t="s">
        <v>2347</v>
      </c>
      <c r="C7157" s="505" t="s">
        <v>32</v>
      </c>
      <c r="D7157" s="506">
        <v>17.948</v>
      </c>
      <c r="E7157" s="507"/>
      <c r="F7157" s="508" t="s">
        <v>16</v>
      </c>
      <c r="G7157" s="509"/>
      <c r="H7157" s="508" t="s">
        <v>2416</v>
      </c>
      <c r="I7157" s="510"/>
      <c r="J7157" s="511"/>
      <c r="K7157" s="504"/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Q7157" s="847">
        <v>17501</v>
      </c>
      <c r="R7157" s="833" t="s">
        <v>2507</v>
      </c>
    </row>
    <row r="7158" spans="1:18" ht="19.5" thickBot="1" x14ac:dyDescent="0.3">
      <c r="A7158" s="513">
        <f t="shared" si="216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4"/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thickBot="1" x14ac:dyDescent="0.3">
      <c r="A7159" s="503">
        <f t="shared" si="216"/>
        <v>4415</v>
      </c>
      <c r="B7159" s="504" t="s">
        <v>2347</v>
      </c>
      <c r="C7159" s="505" t="s">
        <v>32</v>
      </c>
      <c r="D7159" s="506">
        <v>17.600000000000001</v>
      </c>
      <c r="E7159" s="507"/>
      <c r="F7159" s="508" t="s">
        <v>16</v>
      </c>
      <c r="G7159" s="509" t="s">
        <v>2299</v>
      </c>
      <c r="H7159" s="508" t="s">
        <v>2416</v>
      </c>
      <c r="I7159" s="510"/>
      <c r="J7159" s="511"/>
      <c r="K7159" s="504"/>
      <c r="L7159" s="508" t="s">
        <v>266</v>
      </c>
      <c r="M7159" s="508">
        <v>17604.599999999999</v>
      </c>
      <c r="N7159" s="512">
        <v>0.5</v>
      </c>
      <c r="O7159" s="897" t="s">
        <v>2419</v>
      </c>
    </row>
    <row r="7160" spans="1:18" ht="19.5" thickBot="1" x14ac:dyDescent="0.3">
      <c r="A7160" s="572">
        <f t="shared" si="216"/>
        <v>4416</v>
      </c>
      <c r="B7160" s="573" t="s">
        <v>2347</v>
      </c>
      <c r="C7160" s="574" t="s">
        <v>848</v>
      </c>
      <c r="D7160" s="575">
        <v>18.010999999999999</v>
      </c>
      <c r="E7160" s="576"/>
      <c r="F7160" s="577" t="s">
        <v>16</v>
      </c>
      <c r="G7160" s="578"/>
      <c r="H7160" s="577" t="s">
        <v>2416</v>
      </c>
      <c r="I7160" s="579"/>
      <c r="J7160" s="580"/>
      <c r="K7160" s="573"/>
      <c r="L7160" s="577" t="s">
        <v>266</v>
      </c>
      <c r="M7160" s="577">
        <v>18121.16</v>
      </c>
      <c r="N7160" s="581">
        <v>0.54166666666666663</v>
      </c>
      <c r="O7160" s="897" t="s">
        <v>2420</v>
      </c>
    </row>
    <row r="7161" spans="1:18" x14ac:dyDescent="0.25">
      <c r="A7161" s="988">
        <f t="shared" si="216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1"/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thickBot="1" x14ac:dyDescent="0.3">
      <c r="A7162" s="989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/>
      <c r="H7162" s="801" t="s">
        <v>2423</v>
      </c>
      <c r="I7162" s="801" t="s">
        <v>2423</v>
      </c>
      <c r="J7162" s="803"/>
      <c r="K7162" s="848"/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x14ac:dyDescent="0.25">
      <c r="A7163" s="990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79"/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thickBot="1" x14ac:dyDescent="0.3">
      <c r="A7164" s="991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/>
      <c r="H7164" s="808" t="s">
        <v>2423</v>
      </c>
      <c r="I7164" s="808" t="s">
        <v>2423</v>
      </c>
      <c r="J7164" s="810"/>
      <c r="K7164" s="887"/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x14ac:dyDescent="0.25">
      <c r="A7165" s="996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3"/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thickBot="1" x14ac:dyDescent="0.3">
      <c r="A7166" s="997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36"/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thickBot="1" x14ac:dyDescent="0.3">
      <c r="A7167" s="513">
        <f>MAX(A7012:A7166)+1</f>
        <v>4420</v>
      </c>
      <c r="B7167" s="514" t="s">
        <v>2405</v>
      </c>
      <c r="C7167" s="515" t="s">
        <v>26</v>
      </c>
      <c r="D7167" s="516">
        <v>19.986000000000001</v>
      </c>
      <c r="E7167" s="517"/>
      <c r="F7167" s="518" t="s">
        <v>16</v>
      </c>
      <c r="G7167" s="519"/>
      <c r="H7167" s="518" t="s">
        <v>2424</v>
      </c>
      <c r="I7167" s="520"/>
      <c r="J7167" s="521"/>
      <c r="K7167" s="514"/>
      <c r="L7167" s="518" t="s">
        <v>265</v>
      </c>
      <c r="M7167" s="518">
        <v>20167.020000000004</v>
      </c>
      <c r="N7167" s="522">
        <v>0.375</v>
      </c>
      <c r="O7167" s="897" t="s">
        <v>2428</v>
      </c>
    </row>
    <row r="7168" spans="1:18" x14ac:dyDescent="0.25">
      <c r="A7168" s="996">
        <f>MAX(A7013:A7167)+1</f>
        <v>4421</v>
      </c>
      <c r="B7168" s="531" t="s">
        <v>2405</v>
      </c>
      <c r="C7168" s="532" t="s">
        <v>587</v>
      </c>
      <c r="D7168" s="533">
        <v>8.9429999999999996</v>
      </c>
      <c r="E7168" s="534"/>
      <c r="F7168" s="535" t="s">
        <v>16</v>
      </c>
      <c r="G7168" s="536" t="s">
        <v>47</v>
      </c>
      <c r="H7168" s="535" t="s">
        <v>2424</v>
      </c>
      <c r="I7168" s="537"/>
      <c r="J7168" s="538"/>
      <c r="K7168" s="531"/>
      <c r="L7168" s="535" t="s">
        <v>28</v>
      </c>
      <c r="M7168" s="535">
        <v>8943.9599999999991</v>
      </c>
      <c r="N7168" s="539">
        <v>0.41666666666666669</v>
      </c>
      <c r="O7168" s="897" t="s">
        <v>2435</v>
      </c>
    </row>
    <row r="7169" spans="1:18" x14ac:dyDescent="0.25">
      <c r="A7169" s="998"/>
      <c r="B7169" s="824" t="s">
        <v>2405</v>
      </c>
      <c r="C7169" s="820" t="s">
        <v>47</v>
      </c>
      <c r="D7169" s="821">
        <v>8.657</v>
      </c>
      <c r="E7169" s="822"/>
      <c r="F7169" s="819" t="s">
        <v>16</v>
      </c>
      <c r="G7169" s="823"/>
      <c r="H7169" s="819" t="s">
        <v>2424</v>
      </c>
      <c r="I7169" s="782"/>
      <c r="J7169" s="825"/>
      <c r="K7169" s="849"/>
      <c r="L7169" s="819" t="s">
        <v>28</v>
      </c>
      <c r="M7169" s="819">
        <v>8766.5400000000009</v>
      </c>
      <c r="N7169" s="811">
        <v>0.41666666666666669</v>
      </c>
      <c r="O7169" s="897" t="s">
        <v>2436</v>
      </c>
    </row>
    <row r="7170" spans="1:18" ht="19.5" thickBot="1" x14ac:dyDescent="0.3">
      <c r="A7170" s="998"/>
      <c r="B7170" s="836" t="s">
        <v>2424</v>
      </c>
      <c r="C7170" s="837" t="s">
        <v>47</v>
      </c>
      <c r="D7170" s="838">
        <v>1.8</v>
      </c>
      <c r="E7170" s="838"/>
      <c r="F7170" s="839" t="s">
        <v>16</v>
      </c>
      <c r="G7170" s="850" t="s">
        <v>76</v>
      </c>
      <c r="H7170" s="839" t="s">
        <v>2424</v>
      </c>
      <c r="I7170" s="839"/>
      <c r="J7170" s="840"/>
      <c r="K7170" s="836"/>
      <c r="L7170" s="839" t="s">
        <v>28</v>
      </c>
      <c r="M7170" s="839">
        <v>1830</v>
      </c>
      <c r="N7170" s="598">
        <v>0.41666666666666669</v>
      </c>
      <c r="O7170" s="897" t="s">
        <v>2508</v>
      </c>
    </row>
    <row r="7171" spans="1:18" ht="19.5" thickBot="1" x14ac:dyDescent="0.3">
      <c r="A7171" s="513">
        <f>MAX(A7015:A7170)+1</f>
        <v>4422</v>
      </c>
      <c r="B7171" s="514" t="s">
        <v>2416</v>
      </c>
      <c r="C7171" s="515" t="s">
        <v>26</v>
      </c>
      <c r="D7171" s="516">
        <v>16.048999999999999</v>
      </c>
      <c r="E7171" s="517"/>
      <c r="F7171" s="518" t="s">
        <v>30</v>
      </c>
      <c r="G7171" s="519"/>
      <c r="H7171" s="518" t="s">
        <v>2424</v>
      </c>
      <c r="I7171" s="520"/>
      <c r="J7171" s="521"/>
      <c r="K7171" s="514"/>
      <c r="L7171" s="518" t="s">
        <v>265</v>
      </c>
      <c r="M7171" s="518">
        <v>16049.4</v>
      </c>
      <c r="N7171" s="522">
        <v>0.375</v>
      </c>
      <c r="O7171" s="897" t="s">
        <v>2452</v>
      </c>
      <c r="Q7171" s="847">
        <v>16049</v>
      </c>
      <c r="R7171" s="833" t="s">
        <v>2507</v>
      </c>
    </row>
    <row r="7172" spans="1:18" x14ac:dyDescent="0.25">
      <c r="A7172" s="996">
        <f>MAX(A7016:A7171)+1</f>
        <v>4423</v>
      </c>
      <c r="B7172" s="759" t="s">
        <v>2416</v>
      </c>
      <c r="C7172" s="532" t="s">
        <v>41</v>
      </c>
      <c r="D7172" s="533">
        <v>8.5500000000000007</v>
      </c>
      <c r="E7172" s="534"/>
      <c r="F7172" s="535" t="s">
        <v>16</v>
      </c>
      <c r="G7172" s="982" t="s">
        <v>2498</v>
      </c>
      <c r="H7172" s="535" t="s">
        <v>2424</v>
      </c>
      <c r="I7172" s="537"/>
      <c r="J7172" s="538"/>
      <c r="K7172" s="531"/>
      <c r="L7172" s="535" t="s">
        <v>266</v>
      </c>
      <c r="M7172" s="535">
        <v>8637.08</v>
      </c>
      <c r="N7172" s="539">
        <v>0.45833333333333331</v>
      </c>
      <c r="O7172" s="897" t="s">
        <v>2454</v>
      </c>
      <c r="P7172" s="952"/>
    </row>
    <row r="7173" spans="1:18" x14ac:dyDescent="0.25">
      <c r="A7173" s="998"/>
      <c r="B7173" s="760" t="s">
        <v>2416</v>
      </c>
      <c r="C7173" s="564" t="s">
        <v>981</v>
      </c>
      <c r="D7173" s="565">
        <v>0.312</v>
      </c>
      <c r="E7173" s="566"/>
      <c r="F7173" s="567" t="s">
        <v>16</v>
      </c>
      <c r="G7173" s="983"/>
      <c r="H7173" s="567" t="s">
        <v>2424</v>
      </c>
      <c r="I7173" s="569"/>
      <c r="J7173" s="677" t="s">
        <v>844</v>
      </c>
      <c r="K7173" s="563"/>
      <c r="L7173" s="567" t="s">
        <v>266</v>
      </c>
      <c r="M7173" s="567">
        <v>312</v>
      </c>
      <c r="N7173" s="571">
        <v>0.45833333333333331</v>
      </c>
      <c r="O7173" s="897" t="s">
        <v>2455</v>
      </c>
      <c r="P7173" s="952"/>
    </row>
    <row r="7174" spans="1:18" x14ac:dyDescent="0.25">
      <c r="A7174" s="998"/>
      <c r="B7174" s="760" t="s">
        <v>2416</v>
      </c>
      <c r="C7174" s="564" t="s">
        <v>981</v>
      </c>
      <c r="D7174" s="565">
        <v>4.2960000000000003</v>
      </c>
      <c r="E7174" s="566"/>
      <c r="F7174" s="567" t="s">
        <v>16</v>
      </c>
      <c r="G7174" s="983"/>
      <c r="H7174" s="567" t="s">
        <v>2424</v>
      </c>
      <c r="I7174" s="569"/>
      <c r="J7174" s="677" t="s">
        <v>845</v>
      </c>
      <c r="K7174" s="563"/>
      <c r="L7174" s="567" t="s">
        <v>266</v>
      </c>
      <c r="M7174" s="567">
        <v>4296.32</v>
      </c>
      <c r="N7174" s="571">
        <v>0.45833333333333331</v>
      </c>
      <c r="O7174" s="897" t="s">
        <v>2456</v>
      </c>
      <c r="P7174" s="952"/>
    </row>
    <row r="7175" spans="1:18" ht="19.5" thickBot="1" x14ac:dyDescent="0.3">
      <c r="A7175" s="997"/>
      <c r="B7175" s="812" t="s">
        <v>2416</v>
      </c>
      <c r="C7175" s="637" t="s">
        <v>32</v>
      </c>
      <c r="D7175" s="638">
        <v>5.3289999999999997</v>
      </c>
      <c r="E7175" s="639"/>
      <c r="F7175" s="640" t="s">
        <v>16</v>
      </c>
      <c r="G7175" s="984"/>
      <c r="H7175" s="640" t="s">
        <v>2424</v>
      </c>
      <c r="I7175" s="642"/>
      <c r="J7175" s="981" t="s">
        <v>1702</v>
      </c>
      <c r="K7175" s="636"/>
      <c r="L7175" s="640" t="s">
        <v>266</v>
      </c>
      <c r="M7175" s="640">
        <v>5329.0000000000009</v>
      </c>
      <c r="N7175" s="644">
        <v>0.45833333333333331</v>
      </c>
      <c r="O7175" s="897" t="s">
        <v>2457</v>
      </c>
      <c r="P7175" s="952"/>
    </row>
    <row r="7176" spans="1:18" x14ac:dyDescent="0.25">
      <c r="A7176" s="985">
        <f>MAX(A7020:A7175)+1</f>
        <v>4424</v>
      </c>
      <c r="B7176" s="479" t="s">
        <v>2416</v>
      </c>
      <c r="C7176" s="480" t="s">
        <v>26</v>
      </c>
      <c r="D7176" s="481">
        <v>17.504999999999999</v>
      </c>
      <c r="E7176" s="482"/>
      <c r="F7176" s="483" t="s">
        <v>16</v>
      </c>
      <c r="G7176" s="549"/>
      <c r="H7176" s="483" t="s">
        <v>2453</v>
      </c>
      <c r="I7176" s="484"/>
      <c r="J7176" s="485"/>
      <c r="K7176" s="479"/>
      <c r="L7176" s="483" t="s">
        <v>265</v>
      </c>
      <c r="M7176" s="483">
        <v>17674.04</v>
      </c>
      <c r="N7176" s="486">
        <v>0.375</v>
      </c>
      <c r="O7176" s="897" t="s">
        <v>2458</v>
      </c>
    </row>
    <row r="7177" spans="1:18" ht="19.5" thickBot="1" x14ac:dyDescent="0.3">
      <c r="A7177" s="987"/>
      <c r="B7177" s="645" t="s">
        <v>2416</v>
      </c>
      <c r="C7177" s="646" t="s">
        <v>952</v>
      </c>
      <c r="D7177" s="647">
        <v>2.4489999999999998</v>
      </c>
      <c r="E7177" s="648"/>
      <c r="F7177" s="649" t="s">
        <v>16</v>
      </c>
      <c r="G7177" s="650"/>
      <c r="H7177" s="649" t="s">
        <v>2453</v>
      </c>
      <c r="I7177" s="651"/>
      <c r="J7177" s="652"/>
      <c r="K7177" s="645"/>
      <c r="L7177" s="649" t="s">
        <v>265</v>
      </c>
      <c r="M7177" s="649">
        <v>2533.3200000000002</v>
      </c>
      <c r="N7177" s="653">
        <v>0.375</v>
      </c>
      <c r="O7177" s="897" t="s">
        <v>2459</v>
      </c>
    </row>
    <row r="7178" spans="1:18" x14ac:dyDescent="0.25">
      <c r="A7178" s="996">
        <f>MAX(A7022:A7177)+1</f>
        <v>4425</v>
      </c>
      <c r="B7178" s="531" t="s">
        <v>2416</v>
      </c>
      <c r="C7178" s="532" t="s">
        <v>839</v>
      </c>
      <c r="D7178" s="533">
        <v>0.76500000000000001</v>
      </c>
      <c r="E7178" s="534"/>
      <c r="F7178" s="535" t="s">
        <v>16</v>
      </c>
      <c r="G7178" s="536"/>
      <c r="H7178" s="535" t="s">
        <v>2453</v>
      </c>
      <c r="I7178" s="537"/>
      <c r="J7178" s="538"/>
      <c r="K7178" s="531"/>
      <c r="L7178" s="535" t="s">
        <v>28</v>
      </c>
      <c r="M7178" s="535">
        <v>772.8</v>
      </c>
      <c r="N7178" s="539">
        <v>0.41666666666666669</v>
      </c>
      <c r="O7178" s="897" t="s">
        <v>2461</v>
      </c>
    </row>
    <row r="7179" spans="1:18" ht="19.5" thickBot="1" x14ac:dyDescent="0.3">
      <c r="A7179" s="998"/>
      <c r="B7179" s="590" t="s">
        <v>2416</v>
      </c>
      <c r="C7179" s="591" t="s">
        <v>23</v>
      </c>
      <c r="D7179" s="592">
        <v>16.699000000000002</v>
      </c>
      <c r="E7179" s="593"/>
      <c r="F7179" s="594" t="s">
        <v>16</v>
      </c>
      <c r="G7179" s="595"/>
      <c r="H7179" s="594" t="s">
        <v>2453</v>
      </c>
      <c r="I7179" s="596"/>
      <c r="J7179" s="597"/>
      <c r="K7179" s="590"/>
      <c r="L7179" s="594" t="s">
        <v>28</v>
      </c>
      <c r="M7179" s="594">
        <v>16789.900000000001</v>
      </c>
      <c r="N7179" s="598">
        <v>0.41666666666666669</v>
      </c>
      <c r="O7179" s="897" t="s">
        <v>2460</v>
      </c>
    </row>
    <row r="7180" spans="1:18" ht="19.5" thickBot="1" x14ac:dyDescent="0.3">
      <c r="A7180" s="513">
        <f>MAX(A7024:A7179)+1</f>
        <v>4426</v>
      </c>
      <c r="B7180" s="514" t="s">
        <v>2423</v>
      </c>
      <c r="C7180" s="515" t="s">
        <v>26</v>
      </c>
      <c r="D7180" s="516">
        <v>16.669</v>
      </c>
      <c r="E7180" s="517"/>
      <c r="F7180" s="518" t="s">
        <v>30</v>
      </c>
      <c r="G7180" s="519"/>
      <c r="H7180" s="518" t="s">
        <v>2471</v>
      </c>
      <c r="I7180" s="520"/>
      <c r="J7180" s="521"/>
      <c r="K7180" s="514"/>
      <c r="L7180" s="518" t="s">
        <v>265</v>
      </c>
      <c r="M7180" s="518">
        <v>16669.04</v>
      </c>
      <c r="N7180" s="522">
        <v>0.375</v>
      </c>
      <c r="O7180" s="897" t="s">
        <v>2473</v>
      </c>
    </row>
    <row r="7181" spans="1:18" ht="57" thickBot="1" x14ac:dyDescent="0.3">
      <c r="A7181" s="503">
        <f>MAX(A7025:A7180)+1</f>
        <v>4427</v>
      </c>
      <c r="B7181" s="504" t="s">
        <v>2423</v>
      </c>
      <c r="C7181" s="505" t="s">
        <v>913</v>
      </c>
      <c r="D7181" s="506">
        <v>10.739000000000001</v>
      </c>
      <c r="E7181" s="507"/>
      <c r="F7181" s="508" t="s">
        <v>30</v>
      </c>
      <c r="G7181" s="509" t="s">
        <v>2472</v>
      </c>
      <c r="H7181" s="508" t="s">
        <v>2471</v>
      </c>
      <c r="I7181" s="510"/>
      <c r="J7181" s="511"/>
      <c r="K7181" s="504"/>
      <c r="L7181" s="508" t="s">
        <v>266</v>
      </c>
      <c r="M7181" s="508">
        <v>10739.76</v>
      </c>
      <c r="N7181" s="512">
        <v>0.5</v>
      </c>
      <c r="O7181" s="897" t="s">
        <v>2474</v>
      </c>
    </row>
    <row r="7182" spans="1:18" ht="19.5" thickBot="1" x14ac:dyDescent="0.3">
      <c r="A7182" s="513">
        <f>MAX(A7026:A7181)+1</f>
        <v>4428</v>
      </c>
      <c r="B7182" s="514" t="s">
        <v>2423</v>
      </c>
      <c r="C7182" s="515" t="s">
        <v>26</v>
      </c>
      <c r="D7182" s="516">
        <v>17.45</v>
      </c>
      <c r="E7182" s="517"/>
      <c r="F7182" s="518" t="s">
        <v>16</v>
      </c>
      <c r="G7182" s="519"/>
      <c r="H7182" s="518" t="s">
        <v>2471</v>
      </c>
      <c r="I7182" s="520"/>
      <c r="J7182" s="521"/>
      <c r="K7182" s="514"/>
      <c r="L7182" s="518" t="s">
        <v>265</v>
      </c>
      <c r="M7182" s="518">
        <v>17597.66</v>
      </c>
      <c r="N7182" s="522">
        <v>0.375</v>
      </c>
      <c r="O7182" s="897" t="s">
        <v>2478</v>
      </c>
    </row>
    <row r="7183" spans="1:18" ht="19.5" thickBot="1" x14ac:dyDescent="0.3">
      <c r="A7183" s="503">
        <f>MAX(A7027:A7182)+1</f>
        <v>4429</v>
      </c>
      <c r="B7183" s="504" t="s">
        <v>2423</v>
      </c>
      <c r="C7183" s="505" t="s">
        <v>26</v>
      </c>
      <c r="D7183" s="506">
        <v>17.744</v>
      </c>
      <c r="E7183" s="507"/>
      <c r="F7183" s="508" t="s">
        <v>16</v>
      </c>
      <c r="G7183" s="509"/>
      <c r="H7183" s="508" t="s">
        <v>2471</v>
      </c>
      <c r="I7183" s="510"/>
      <c r="J7183" s="511"/>
      <c r="K7183" s="504"/>
      <c r="L7183" s="508" t="s">
        <v>265</v>
      </c>
      <c r="M7183" s="508">
        <v>17908.080000000002</v>
      </c>
      <c r="N7183" s="512">
        <v>0.41666666666666669</v>
      </c>
      <c r="O7183" s="897" t="s">
        <v>2477</v>
      </c>
    </row>
    <row r="7184" spans="1:18" x14ac:dyDescent="0.25">
      <c r="A7184" s="985">
        <f>MAX(A7030:A7183)+1</f>
        <v>4430</v>
      </c>
      <c r="B7184" s="479" t="s">
        <v>2423</v>
      </c>
      <c r="C7184" s="480" t="s">
        <v>15</v>
      </c>
      <c r="D7184" s="481">
        <v>8.6010000000000009</v>
      </c>
      <c r="E7184" s="482"/>
      <c r="F7184" s="483" t="s">
        <v>16</v>
      </c>
      <c r="G7184" s="999" t="s">
        <v>2475</v>
      </c>
      <c r="H7184" s="483" t="s">
        <v>2471</v>
      </c>
      <c r="I7184" s="484"/>
      <c r="J7184" s="485"/>
      <c r="K7184" s="479"/>
      <c r="L7184" s="483" t="s">
        <v>28</v>
      </c>
      <c r="M7184" s="483">
        <v>8730.48</v>
      </c>
      <c r="N7184" s="486">
        <v>0.5</v>
      </c>
      <c r="O7184" s="897" t="s">
        <v>2480</v>
      </c>
    </row>
    <row r="7185" spans="1:15" ht="19.5" thickBot="1" x14ac:dyDescent="0.3">
      <c r="A7185" s="987"/>
      <c r="B7185" s="645" t="s">
        <v>2423</v>
      </c>
      <c r="C7185" s="646" t="s">
        <v>24</v>
      </c>
      <c r="D7185" s="647">
        <v>6.9950000000000001</v>
      </c>
      <c r="E7185" s="648"/>
      <c r="F7185" s="649" t="s">
        <v>16</v>
      </c>
      <c r="G7185" s="1068"/>
      <c r="H7185" s="649" t="s">
        <v>2471</v>
      </c>
      <c r="I7185" s="651"/>
      <c r="J7185" s="652"/>
      <c r="K7185" s="645"/>
      <c r="L7185" s="649" t="s">
        <v>28</v>
      </c>
      <c r="M7185" s="649">
        <v>7135.9200000000019</v>
      </c>
      <c r="N7185" s="653">
        <v>0.5</v>
      </c>
      <c r="O7185" s="897" t="s">
        <v>2479</v>
      </c>
    </row>
    <row r="7186" spans="1:15" ht="19.5" thickBot="1" x14ac:dyDescent="0.3">
      <c r="A7186" s="503">
        <f>MAX(A7032:A7185)+1</f>
        <v>4431</v>
      </c>
      <c r="B7186" s="504" t="s">
        <v>2423</v>
      </c>
      <c r="C7186" s="505" t="s">
        <v>587</v>
      </c>
      <c r="D7186" s="506">
        <v>8.6890000000000001</v>
      </c>
      <c r="E7186" s="507"/>
      <c r="F7186" s="508" t="s">
        <v>30</v>
      </c>
      <c r="G7186" s="509" t="s">
        <v>23</v>
      </c>
      <c r="H7186" s="508" t="s">
        <v>2471</v>
      </c>
      <c r="I7186" s="510"/>
      <c r="J7186" s="511"/>
      <c r="K7186" s="504"/>
      <c r="L7186" s="508" t="s">
        <v>28</v>
      </c>
      <c r="M7186" s="508">
        <v>8689.0400000000009</v>
      </c>
      <c r="N7186" s="512">
        <v>0.45833333333333331</v>
      </c>
      <c r="O7186" s="897" t="s">
        <v>2487</v>
      </c>
    </row>
    <row r="7187" spans="1:15" x14ac:dyDescent="0.25">
      <c r="A7187" s="985">
        <f>MAX(A7033:A7186)+1</f>
        <v>4432</v>
      </c>
      <c r="B7187" s="479" t="s">
        <v>2423</v>
      </c>
      <c r="C7187" s="480" t="s">
        <v>320</v>
      </c>
      <c r="D7187" s="481">
        <v>2.0259999999999998</v>
      </c>
      <c r="E7187" s="482"/>
      <c r="F7187" s="483" t="s">
        <v>30</v>
      </c>
      <c r="G7187" s="549"/>
      <c r="H7187" s="483" t="s">
        <v>2471</v>
      </c>
      <c r="I7187" s="484"/>
      <c r="J7187" s="485"/>
      <c r="K7187" s="479"/>
      <c r="L7187" s="483" t="s">
        <v>266</v>
      </c>
      <c r="M7187" s="483">
        <v>2026.08</v>
      </c>
      <c r="N7187" s="486">
        <v>0.41666666666666669</v>
      </c>
      <c r="O7187" s="897" t="s">
        <v>2486</v>
      </c>
    </row>
    <row r="7188" spans="1:15" x14ac:dyDescent="0.25">
      <c r="A7188" s="986"/>
      <c r="B7188" s="523" t="s">
        <v>2423</v>
      </c>
      <c r="C7188" s="524" t="s">
        <v>587</v>
      </c>
      <c r="D7188" s="525">
        <v>9.7870000000000008</v>
      </c>
      <c r="E7188" s="526"/>
      <c r="F7188" s="527" t="s">
        <v>30</v>
      </c>
      <c r="G7188" s="561" t="s">
        <v>47</v>
      </c>
      <c r="H7188" s="527" t="s">
        <v>2471</v>
      </c>
      <c r="I7188" s="528"/>
      <c r="J7188" s="529"/>
      <c r="K7188" s="523"/>
      <c r="L7188" s="527" t="s">
        <v>28</v>
      </c>
      <c r="M7188" s="527">
        <v>9787.68</v>
      </c>
      <c r="N7188" s="530">
        <v>0.41666666666666669</v>
      </c>
      <c r="O7188" s="897" t="s">
        <v>2488</v>
      </c>
    </row>
    <row r="7189" spans="1:15" ht="19.5" thickBot="1" x14ac:dyDescent="0.3">
      <c r="A7189" s="987"/>
      <c r="B7189" s="645" t="s">
        <v>2423</v>
      </c>
      <c r="C7189" s="646" t="s">
        <v>47</v>
      </c>
      <c r="D7189" s="647">
        <v>1.2569999999999999</v>
      </c>
      <c r="E7189" s="648"/>
      <c r="F7189" s="649" t="s">
        <v>30</v>
      </c>
      <c r="G7189" s="650"/>
      <c r="H7189" s="649" t="s">
        <v>2471</v>
      </c>
      <c r="I7189" s="651"/>
      <c r="J7189" s="652"/>
      <c r="K7189" s="645"/>
      <c r="L7189" s="649" t="s">
        <v>28</v>
      </c>
      <c r="M7189" s="649">
        <v>1257.5999999999999</v>
      </c>
      <c r="N7189" s="653">
        <v>0.41666666666666669</v>
      </c>
      <c r="O7189" s="897" t="s">
        <v>2485</v>
      </c>
    </row>
    <row r="7190" spans="1:15" ht="19.5" thickBot="1" x14ac:dyDescent="0.3">
      <c r="A7190" s="503">
        <f t="shared" ref="A7190:A7204" si="217">MAX(A7036:A7189)+1</f>
        <v>4433</v>
      </c>
      <c r="B7190" s="504" t="s">
        <v>2423</v>
      </c>
      <c r="C7190" s="505" t="s">
        <v>26</v>
      </c>
      <c r="D7190" s="506">
        <v>17.440000000000001</v>
      </c>
      <c r="E7190" s="507"/>
      <c r="F7190" s="508" t="s">
        <v>16</v>
      </c>
      <c r="G7190" s="509"/>
      <c r="H7190" s="508" t="s">
        <v>2476</v>
      </c>
      <c r="I7190" s="510"/>
      <c r="J7190" s="511"/>
      <c r="K7190" s="504"/>
      <c r="L7190" s="508" t="s">
        <v>265</v>
      </c>
      <c r="M7190" s="508">
        <v>17575.240000000002</v>
      </c>
      <c r="N7190" s="512">
        <v>0.375</v>
      </c>
      <c r="O7190" s="897" t="s">
        <v>2481</v>
      </c>
    </row>
    <row r="7191" spans="1:15" ht="19.5" thickBot="1" x14ac:dyDescent="0.3">
      <c r="A7191" s="513">
        <f t="shared" si="217"/>
        <v>4434</v>
      </c>
      <c r="B7191" s="514" t="s">
        <v>2423</v>
      </c>
      <c r="C7191" s="515" t="s">
        <v>26</v>
      </c>
      <c r="D7191" s="516">
        <v>17.748999999999999</v>
      </c>
      <c r="E7191" s="517"/>
      <c r="F7191" s="518" t="s">
        <v>16</v>
      </c>
      <c r="G7191" s="519"/>
      <c r="H7191" s="518" t="s">
        <v>2476</v>
      </c>
      <c r="I7191" s="520"/>
      <c r="J7191" s="521"/>
      <c r="K7191" s="514"/>
      <c r="L7191" s="518" t="s">
        <v>265</v>
      </c>
      <c r="M7191" s="518">
        <v>17884.45</v>
      </c>
      <c r="N7191" s="522">
        <v>0.41666666666666669</v>
      </c>
      <c r="O7191" s="897" t="s">
        <v>2482</v>
      </c>
    </row>
    <row r="7192" spans="1:15" ht="38.25" thickBot="1" x14ac:dyDescent="0.3">
      <c r="A7192" s="503">
        <f t="shared" si="217"/>
        <v>4435</v>
      </c>
      <c r="B7192" s="504" t="s">
        <v>2423</v>
      </c>
      <c r="C7192" s="505" t="s">
        <v>23</v>
      </c>
      <c r="D7192" s="506">
        <v>17.199000000000002</v>
      </c>
      <c r="E7192" s="507"/>
      <c r="F7192" s="508" t="s">
        <v>16</v>
      </c>
      <c r="G7192" s="509" t="s">
        <v>1634</v>
      </c>
      <c r="H7192" s="508" t="s">
        <v>2476</v>
      </c>
      <c r="I7192" s="510"/>
      <c r="J7192" s="511"/>
      <c r="K7192" s="504"/>
      <c r="L7192" s="508" t="s">
        <v>28</v>
      </c>
      <c r="M7192" s="508">
        <v>17311.98</v>
      </c>
      <c r="N7192" s="512">
        <v>0.45833333333333331</v>
      </c>
      <c r="O7192" s="897" t="s">
        <v>2483</v>
      </c>
    </row>
    <row r="7193" spans="1:15" ht="38.25" thickBot="1" x14ac:dyDescent="0.3">
      <c r="A7193" s="513">
        <f t="shared" si="217"/>
        <v>4436</v>
      </c>
      <c r="B7193" s="514" t="s">
        <v>2423</v>
      </c>
      <c r="C7193" s="515" t="s">
        <v>47</v>
      </c>
      <c r="D7193" s="516">
        <v>17.166</v>
      </c>
      <c r="E7193" s="517"/>
      <c r="F7193" s="518" t="s">
        <v>16</v>
      </c>
      <c r="G7193" s="519" t="s">
        <v>1634</v>
      </c>
      <c r="H7193" s="518" t="s">
        <v>2476</v>
      </c>
      <c r="I7193" s="520"/>
      <c r="J7193" s="521"/>
      <c r="K7193" s="514"/>
      <c r="L7193" s="518" t="s">
        <v>28</v>
      </c>
      <c r="M7193" s="518">
        <v>17304.93</v>
      </c>
      <c r="N7193" s="522">
        <v>0.5</v>
      </c>
      <c r="O7193" s="897" t="s">
        <v>2484</v>
      </c>
    </row>
    <row r="7194" spans="1:15" ht="19.5" thickBot="1" x14ac:dyDescent="0.3">
      <c r="A7194" s="503">
        <f t="shared" si="217"/>
        <v>4437</v>
      </c>
      <c r="B7194" s="504" t="s">
        <v>2423</v>
      </c>
      <c r="C7194" s="505" t="s">
        <v>23</v>
      </c>
      <c r="D7194" s="506">
        <v>12.076000000000001</v>
      </c>
      <c r="E7194" s="507"/>
      <c r="F7194" s="508" t="s">
        <v>30</v>
      </c>
      <c r="G7194" s="509"/>
      <c r="H7194" s="508" t="s">
        <v>2476</v>
      </c>
      <c r="I7194" s="510"/>
      <c r="J7194" s="511"/>
      <c r="K7194" s="504"/>
      <c r="L7194" s="508" t="s">
        <v>28</v>
      </c>
      <c r="M7194" s="508">
        <v>12076.199999999999</v>
      </c>
      <c r="N7194" s="512">
        <v>0.41666666666666669</v>
      </c>
      <c r="O7194" s="897" t="s">
        <v>2489</v>
      </c>
    </row>
    <row r="7195" spans="1:15" x14ac:dyDescent="0.25">
      <c r="A7195" s="676">
        <f t="shared" si="217"/>
        <v>4438</v>
      </c>
      <c r="B7195" s="676"/>
      <c r="C7195" s="473"/>
      <c r="D7195" s="474"/>
      <c r="E7195" s="475"/>
      <c r="F7195" s="676"/>
      <c r="G7195" s="476"/>
      <c r="H7195" s="676"/>
      <c r="I7195" s="477"/>
      <c r="J7195" s="478"/>
      <c r="K7195" s="676"/>
      <c r="L7195" s="676"/>
      <c r="M7195" s="676"/>
      <c r="N7195" s="676"/>
    </row>
    <row r="7196" spans="1:15" x14ac:dyDescent="0.25">
      <c r="A7196" s="676">
        <f t="shared" si="217"/>
        <v>4439</v>
      </c>
      <c r="B7196" s="676"/>
      <c r="C7196" s="473"/>
      <c r="D7196" s="474"/>
      <c r="E7196" s="475"/>
      <c r="F7196" s="676"/>
      <c r="G7196" s="476"/>
      <c r="H7196" s="676"/>
      <c r="I7196" s="477"/>
      <c r="J7196" s="478"/>
      <c r="K7196" s="676"/>
      <c r="L7196" s="676"/>
      <c r="M7196" s="676"/>
      <c r="N7196" s="676"/>
    </row>
    <row r="7197" spans="1:15" x14ac:dyDescent="0.25">
      <c r="A7197" s="676">
        <f t="shared" si="217"/>
        <v>4440</v>
      </c>
      <c r="B7197" s="676"/>
      <c r="C7197" s="473"/>
      <c r="D7197" s="474"/>
      <c r="E7197" s="475"/>
      <c r="F7197" s="676"/>
      <c r="G7197" s="476"/>
      <c r="H7197" s="676"/>
      <c r="I7197" s="477"/>
      <c r="J7197" s="478"/>
      <c r="K7197" s="676"/>
      <c r="L7197" s="676"/>
      <c r="M7197" s="676"/>
      <c r="N7197" s="676"/>
    </row>
    <row r="7198" spans="1:15" x14ac:dyDescent="0.25">
      <c r="A7198" s="676">
        <f t="shared" si="217"/>
        <v>4441</v>
      </c>
      <c r="B7198" s="676"/>
      <c r="C7198" s="473"/>
      <c r="D7198" s="474"/>
      <c r="E7198" s="475"/>
      <c r="F7198" s="676"/>
      <c r="G7198" s="476"/>
      <c r="H7198" s="676"/>
      <c r="I7198" s="477"/>
      <c r="J7198" s="478"/>
      <c r="K7198" s="676"/>
      <c r="L7198" s="676"/>
      <c r="M7198" s="676"/>
      <c r="N7198" s="676"/>
    </row>
    <row r="7199" spans="1:15" x14ac:dyDescent="0.25">
      <c r="A7199" s="676">
        <f t="shared" si="217"/>
        <v>4442</v>
      </c>
      <c r="B7199" s="676"/>
      <c r="C7199" s="473"/>
      <c r="D7199" s="474"/>
      <c r="E7199" s="475"/>
      <c r="F7199" s="676"/>
      <c r="G7199" s="476"/>
      <c r="H7199" s="676"/>
      <c r="I7199" s="477"/>
      <c r="J7199" s="478"/>
      <c r="K7199" s="676"/>
      <c r="L7199" s="676"/>
      <c r="M7199" s="676"/>
      <c r="N7199" s="676"/>
    </row>
    <row r="7200" spans="1:15" x14ac:dyDescent="0.25">
      <c r="A7200" s="676">
        <f t="shared" si="217"/>
        <v>4443</v>
      </c>
      <c r="B7200" s="676"/>
      <c r="C7200" s="473"/>
      <c r="D7200" s="474"/>
      <c r="E7200" s="475"/>
      <c r="F7200" s="676"/>
      <c r="G7200" s="476"/>
      <c r="H7200" s="676"/>
      <c r="I7200" s="477"/>
      <c r="J7200" s="478"/>
      <c r="K7200" s="676"/>
      <c r="L7200" s="676"/>
      <c r="M7200" s="676"/>
      <c r="N7200" s="676"/>
    </row>
    <row r="7201" spans="1:14" x14ac:dyDescent="0.25">
      <c r="A7201" s="676">
        <f t="shared" si="217"/>
        <v>4444</v>
      </c>
      <c r="B7201" s="676"/>
      <c r="C7201" s="473"/>
      <c r="D7201" s="474"/>
      <c r="E7201" s="475"/>
      <c r="F7201" s="676"/>
      <c r="G7201" s="476"/>
      <c r="H7201" s="676"/>
      <c r="I7201" s="477"/>
      <c r="J7201" s="478"/>
      <c r="K7201" s="676"/>
      <c r="L7201" s="676"/>
      <c r="M7201" s="676"/>
      <c r="N7201" s="676"/>
    </row>
    <row r="7202" spans="1:14" x14ac:dyDescent="0.25">
      <c r="A7202" s="676">
        <f t="shared" si="217"/>
        <v>4445</v>
      </c>
      <c r="B7202" s="676"/>
      <c r="C7202" s="473"/>
      <c r="D7202" s="474"/>
      <c r="E7202" s="475"/>
      <c r="F7202" s="676"/>
      <c r="G7202" s="476"/>
      <c r="H7202" s="676"/>
      <c r="I7202" s="477"/>
      <c r="J7202" s="478"/>
      <c r="K7202" s="676"/>
      <c r="L7202" s="676"/>
      <c r="M7202" s="676"/>
      <c r="N7202" s="676"/>
    </row>
    <row r="7203" spans="1:14" x14ac:dyDescent="0.25">
      <c r="A7203" s="676">
        <f t="shared" si="217"/>
        <v>4446</v>
      </c>
      <c r="B7203" s="676"/>
      <c r="C7203" s="473"/>
      <c r="D7203" s="474"/>
      <c r="E7203" s="475"/>
      <c r="F7203" s="676"/>
      <c r="G7203" s="476"/>
      <c r="H7203" s="676"/>
      <c r="I7203" s="477"/>
      <c r="J7203" s="478"/>
      <c r="K7203" s="676"/>
      <c r="L7203" s="676"/>
      <c r="M7203" s="676"/>
      <c r="N7203" s="676"/>
    </row>
    <row r="7204" spans="1:14" x14ac:dyDescent="0.25">
      <c r="A7204" s="676">
        <f t="shared" si="217"/>
        <v>4447</v>
      </c>
      <c r="B7204" s="676"/>
      <c r="C7204" s="473"/>
      <c r="D7204" s="474"/>
      <c r="E7204" s="475"/>
      <c r="F7204" s="676"/>
      <c r="G7204" s="476"/>
      <c r="H7204" s="676"/>
      <c r="I7204" s="477"/>
      <c r="J7204" s="478"/>
      <c r="K7204" s="676"/>
      <c r="L7204" s="676"/>
      <c r="M7204" s="676"/>
      <c r="N7204" s="676"/>
    </row>
  </sheetData>
  <autoFilter ref="A2:R7204" xr:uid="{9E4C531E-AD50-422A-AC7C-8C5AF4C19268}">
    <filterColumn colId="10">
      <filters blank="1"/>
    </filterColumn>
  </autoFilter>
  <mergeCells count="1897">
    <mergeCell ref="A7184:A7185"/>
    <mergeCell ref="G7184:G7185"/>
    <mergeCell ref="A7172:A7175"/>
    <mergeCell ref="A7176:A7177"/>
    <mergeCell ref="A7178:A7179"/>
    <mergeCell ref="A7165:A7166"/>
    <mergeCell ref="A7168:A7170"/>
    <mergeCell ref="A7142:A7143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452:A5453"/>
    <mergeCell ref="A5342:A534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6703:A6706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7093:A7094"/>
    <mergeCell ref="G7115:G7118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7095:A7096"/>
    <mergeCell ref="A5385:A5386"/>
    <mergeCell ref="A5387:A5388"/>
    <mergeCell ref="A6721:A6722"/>
    <mergeCell ref="A6992:A6995"/>
    <mergeCell ref="A5577:A5578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7112:A7114"/>
    <mergeCell ref="A7115:A7118"/>
    <mergeCell ref="A7120:A7123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G7172:G7175"/>
    <mergeCell ref="A7187:A7189"/>
    <mergeCell ref="A7161:A7162"/>
    <mergeCell ref="A7163:A7164"/>
    <mergeCell ref="A7129:A7130"/>
    <mergeCell ref="G7129:G7130"/>
    <mergeCell ref="G7127:G7128"/>
    <mergeCell ref="A7127:A7128"/>
    <mergeCell ref="A7110:A7111"/>
    <mergeCell ref="A7144:A7147"/>
    <mergeCell ref="A7148:A7150"/>
    <mergeCell ref="G7148:G7150"/>
    <mergeCell ref="A7151:A7153"/>
    <mergeCell ref="A7131:A7134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2026-09-05T10:08:47Z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