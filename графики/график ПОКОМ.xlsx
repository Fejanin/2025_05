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1C8FDDD7-DCEB-4EDE-83C7-E0AAD09FE6C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Лист1!$A$2:$N$6623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s="1"/>
  <c r="A6613" i="1" s="1"/>
  <c r="A6614" i="1" l="1"/>
  <c r="A6617" i="1" s="1"/>
  <c r="A6619" i="1" l="1"/>
  <c r="A6620" i="1" s="1"/>
  <c r="A6621" i="1" s="1"/>
  <c r="A6622" i="1" l="1"/>
  <c r="A6623" i="1" s="1"/>
</calcChain>
</file>

<file path=xl/sharedStrings.xml><?xml version="1.0" encoding="utf-8"?>
<sst xmlns="http://schemas.openxmlformats.org/spreadsheetml/2006/main" count="41609" uniqueCount="1538">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</sst>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23"/>
  <sheetViews>
    <sheetView tabSelected="1" zoomScale="85" zoomScaleNormal="85" workbookViewId="0">
      <pane ySplit="2" topLeftCell="A6591" activePane="bottomLeft" state="frozen"/>
      <selection pane="bottomLeft" activeCell="J6610" sqref="J661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850" t="s">
        <v>0</v>
      </c>
      <c r="B1" s="850"/>
      <c r="C1" s="850"/>
      <c r="D1" s="850"/>
      <c r="E1" s="850"/>
      <c r="F1" s="850"/>
      <c r="G1" s="850"/>
      <c r="H1" s="850"/>
      <c r="I1" s="850"/>
      <c r="J1" s="850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51">
        <v>1</v>
      </c>
      <c r="B3" s="85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51"/>
      <c r="B4" s="85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48">
        <v>3</v>
      </c>
      <c r="B6" s="84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48"/>
      <c r="B7" s="84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48"/>
      <c r="B8" s="84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48">
        <v>5</v>
      </c>
      <c r="B10" s="84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48"/>
      <c r="B11" s="84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47">
        <v>8</v>
      </c>
      <c r="B14" s="84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47"/>
      <c r="B15" s="84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48">
        <v>11</v>
      </c>
      <c r="B18" s="84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48"/>
      <c r="B19" s="84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48"/>
      <c r="B20" s="84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48"/>
      <c r="B21" s="84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48">
        <v>13</v>
      </c>
      <c r="B23" s="84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48"/>
      <c r="B24" s="84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47">
        <v>14</v>
      </c>
      <c r="B25" s="84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47"/>
      <c r="B26" s="84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48">
        <v>15</v>
      </c>
      <c r="B27" s="84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48"/>
      <c r="B28" s="84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48"/>
      <c r="B29" s="84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48"/>
      <c r="B30" s="84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47">
        <v>16</v>
      </c>
      <c r="B31" s="84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47"/>
      <c r="B32" s="84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47"/>
      <c r="B33" s="84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47"/>
      <c r="B34" s="84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48">
        <v>17</v>
      </c>
      <c r="B35" s="84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48"/>
      <c r="B36" s="84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48">
        <v>21</v>
      </c>
      <c r="B40" s="84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48"/>
      <c r="B41" s="84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48">
        <v>23</v>
      </c>
      <c r="B43" s="84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48"/>
      <c r="B44" s="84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48"/>
      <c r="B45" s="84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47">
        <v>24</v>
      </c>
      <c r="B46" s="84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47"/>
      <c r="B47" s="84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48">
        <v>25</v>
      </c>
      <c r="B48" s="84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48"/>
      <c r="B49" s="84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48"/>
      <c r="B50" s="84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47">
        <v>26</v>
      </c>
      <c r="B51" s="84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47"/>
      <c r="B52" s="84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48">
        <v>29</v>
      </c>
      <c r="B55" s="84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48"/>
      <c r="B56" s="84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47">
        <v>32</v>
      </c>
      <c r="B59" s="84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47"/>
      <c r="B60" s="84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47">
        <v>34</v>
      </c>
      <c r="B62" s="84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47"/>
      <c r="B63" s="84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47"/>
      <c r="B64" s="84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47"/>
      <c r="B65" s="84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47"/>
      <c r="B66" s="84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48">
        <v>35</v>
      </c>
      <c r="B67" s="84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48"/>
      <c r="B68" s="84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21">
        <v>40</v>
      </c>
      <c r="B73" s="84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21"/>
      <c r="B74" s="84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22">
        <v>41</v>
      </c>
      <c r="B75" s="84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22"/>
      <c r="B76" s="84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22"/>
      <c r="B77" s="84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21">
        <v>42</v>
      </c>
      <c r="B78" s="84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21"/>
      <c r="B79" s="84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22">
        <v>49</v>
      </c>
      <c r="B86" s="84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22"/>
      <c r="B87" s="84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22"/>
      <c r="B88" s="84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21">
        <v>50</v>
      </c>
      <c r="B89" s="84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21"/>
      <c r="B90" s="84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22">
        <v>51</v>
      </c>
      <c r="B91" s="84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22"/>
      <c r="B92" s="84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22">
        <v>53</v>
      </c>
      <c r="B94" s="84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22"/>
      <c r="B95" s="84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21">
        <v>54</v>
      </c>
      <c r="B96" s="84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21"/>
      <c r="B97" s="84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21"/>
      <c r="B98" s="84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21">
        <v>58</v>
      </c>
      <c r="B102" s="84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21"/>
      <c r="B103" s="84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21">
        <v>60</v>
      </c>
      <c r="B105" s="84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21"/>
      <c r="B106" s="84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21"/>
      <c r="B107" s="84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22">
        <v>61</v>
      </c>
      <c r="B108" s="84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22"/>
      <c r="B109" s="84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22"/>
      <c r="B110" s="84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21">
        <v>64</v>
      </c>
      <c r="B113" s="84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21"/>
      <c r="B114" s="84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21">
        <v>66</v>
      </c>
      <c r="B116" s="84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21"/>
      <c r="B117" s="84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22">
        <v>67</v>
      </c>
      <c r="B118" s="84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22"/>
      <c r="B119" s="84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22"/>
      <c r="B120" s="84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21">
        <v>68</v>
      </c>
      <c r="B121" s="84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21"/>
      <c r="B122" s="84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22">
        <v>69</v>
      </c>
      <c r="B123" s="84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22"/>
      <c r="B124" s="84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21">
        <v>72</v>
      </c>
      <c r="B127" s="847" t="s">
        <v>65</v>
      </c>
      <c r="C127" s="119" t="s">
        <v>26</v>
      </c>
      <c r="D127" s="120">
        <v>3.3</v>
      </c>
      <c r="E127" s="121"/>
      <c r="F127" s="122" t="s">
        <v>30</v>
      </c>
      <c r="G127" s="84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21"/>
      <c r="B128" s="847"/>
      <c r="C128" s="103" t="s">
        <v>26</v>
      </c>
      <c r="D128" s="88">
        <v>12.9</v>
      </c>
      <c r="E128" s="106"/>
      <c r="F128" s="107" t="s">
        <v>16</v>
      </c>
      <c r="G128" s="84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21">
        <v>76</v>
      </c>
      <c r="B132" s="84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21"/>
      <c r="B133" s="84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21"/>
      <c r="B134" s="84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21"/>
      <c r="B135" s="84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21">
        <v>78</v>
      </c>
      <c r="B137" s="84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21"/>
      <c r="B138" s="84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4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4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2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2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2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2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2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2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2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2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2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2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2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2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2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2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2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2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2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2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2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2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2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2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4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2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4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2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2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2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2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2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2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2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2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2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2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2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2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2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2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2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2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2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2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2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2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2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2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2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2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2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2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2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2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2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2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2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2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2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2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2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2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2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2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2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2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2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4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2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4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2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2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2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2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2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2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2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2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2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2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2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2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2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2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2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2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2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2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2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2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2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2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2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2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2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2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2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2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2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2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2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2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6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2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6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2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2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2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4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2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4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2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2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2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2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2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2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2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2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2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2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2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2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2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2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2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2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2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2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2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2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2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2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2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2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2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2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2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2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2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4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2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4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2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2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2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2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2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2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2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2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2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2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2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2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2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2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2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2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2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2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2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2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2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2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2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2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2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2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2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2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2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2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2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2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2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2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7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2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7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2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2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2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2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2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2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2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2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2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2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2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2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2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2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2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2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2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2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2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2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2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2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2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2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2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2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2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2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2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2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2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2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2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2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7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2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7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2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2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2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2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2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2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42" t="s">
        <v>133</v>
      </c>
      <c r="J420" s="842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2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2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2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2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2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2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2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2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2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2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2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2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2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2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2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2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2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2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2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2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2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2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2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2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2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2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2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2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2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2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2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2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2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2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2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2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2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2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2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2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2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2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2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2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2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2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2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2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2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2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2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2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2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2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2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2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2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2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2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7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2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7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2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2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2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41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2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41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2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41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2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41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2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41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2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2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2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2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2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2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2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2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2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2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2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2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2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2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2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2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2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2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2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2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2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2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2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2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2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2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2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2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2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2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2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2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2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2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2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2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2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2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2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2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2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2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2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2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2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2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2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2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2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2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2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2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2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2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2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2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2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2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2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2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2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2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2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2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2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2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2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2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2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2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2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2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2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2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7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2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7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2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2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2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2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2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2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2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2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2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2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2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2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2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2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2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2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2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2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2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2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2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2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2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2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2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2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2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2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2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2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2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2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2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2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2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2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2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2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2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2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2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2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2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2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7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2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7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2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2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38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2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38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2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2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2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2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2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2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2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2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2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2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2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2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2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2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2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2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2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2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2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2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2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2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2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2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2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2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2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2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2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7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2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7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3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3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3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2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2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2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3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3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2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2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2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3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3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2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2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2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2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2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2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2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2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2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2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2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2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2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2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2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2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2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2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2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2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2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2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40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2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40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2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2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2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2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2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2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2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2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2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2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2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2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2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2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2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2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5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5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5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5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5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5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2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7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2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7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2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2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2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2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2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2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2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2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2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2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2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2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2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2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2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2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5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5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2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2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2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2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2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2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2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2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2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2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2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2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2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2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2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2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2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2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2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2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2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2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2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2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2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2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2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2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2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2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2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2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2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2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2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2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2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2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2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2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2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2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2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2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2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2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2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2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2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2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2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2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2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2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2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2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2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2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2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2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2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2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2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2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2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2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2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2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2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2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2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2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2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2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2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2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2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2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2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2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2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2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2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2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2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2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2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2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2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2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2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2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2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2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2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2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2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2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2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2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2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2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2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2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2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2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2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2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2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2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2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2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2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2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2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2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2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2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2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2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2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2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2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2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2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2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2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2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2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2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2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2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2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2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2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2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2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2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2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2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2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5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5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2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2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2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2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2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2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2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2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2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2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2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2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2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2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2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2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2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2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2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2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2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2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2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2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7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2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7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2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2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2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2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2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2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2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2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2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2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2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2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2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2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2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2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2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2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2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2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2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2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2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2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2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2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2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2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2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2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2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2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2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2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2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2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2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2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2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2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2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2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7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2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7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2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2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2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2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2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2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2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2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2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2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2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2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2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2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2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2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2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2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2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2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2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2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2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2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2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2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2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2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2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2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2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2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2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2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2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2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2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2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2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2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2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2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2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2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2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2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2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2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2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2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2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2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2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2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2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2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2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2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2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2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2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2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2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2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2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2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2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2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2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2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2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2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2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2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2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2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2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2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2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2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2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2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2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2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2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2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2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2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2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2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2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2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2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2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2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2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2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2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2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2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2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2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2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2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2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2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2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2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2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2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2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2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2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2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2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2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2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2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2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2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2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2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2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2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2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2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2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2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2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2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2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2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2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2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2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2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2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2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2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2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2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2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2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2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2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2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2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2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2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2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2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2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2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2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2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2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2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2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2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2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2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2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2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2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2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2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2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2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2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2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2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2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2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2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2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2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2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2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2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2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2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2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2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2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2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2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2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2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2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2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2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7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2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7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2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2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2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2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2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2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2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2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2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2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2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2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2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2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2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2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2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2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2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2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2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2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2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2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2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2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2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37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2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37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2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2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2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2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2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2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2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2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2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2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2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2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2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2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2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2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2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2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2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2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2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2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2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2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2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2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2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7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2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7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2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2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2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2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2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2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2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2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2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2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2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2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2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2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2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7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2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7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2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7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2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7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2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2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2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2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2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2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2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2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2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7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2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7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2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2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2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2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2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2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2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2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2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2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2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2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2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2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2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2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2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2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2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2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2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2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2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2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2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7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2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7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2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2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2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2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2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2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2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2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2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2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2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2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2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2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2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2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2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2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2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2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2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2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2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2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2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2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2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2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2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2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2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2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2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2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2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2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2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2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2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2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2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2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7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2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7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2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2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2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2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2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2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2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2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2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2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2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2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2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2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2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2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2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2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2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2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2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2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2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2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2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2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2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2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2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2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2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2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2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2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2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2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2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2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2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2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2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2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2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2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2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2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2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2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2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2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2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2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2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2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2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2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2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2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2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2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2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2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2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2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2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2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2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2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2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2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2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2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2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2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7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2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7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2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2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2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2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2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2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2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2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2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2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2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2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2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2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2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2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2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2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2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2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2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2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2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2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2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2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2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2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2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2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2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2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2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2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2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2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7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2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7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2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2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2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2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2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2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2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2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2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2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2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2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2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2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2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22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2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2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2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2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2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2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2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2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7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2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7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2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7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2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2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2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2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2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2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2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2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2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2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2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2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2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2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2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2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2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2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2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2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2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2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2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2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2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2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2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2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2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2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2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2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2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2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2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2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2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2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2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2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2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2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2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7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2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7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2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2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2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2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2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2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2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2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2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2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2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2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2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2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2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2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2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2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2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2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7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2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7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2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2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2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2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2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2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2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2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2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2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2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22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2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2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2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2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22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2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2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2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2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2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7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2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7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2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2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2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2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2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2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2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2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2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2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2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2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2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2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2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2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2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2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2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2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2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22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2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2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2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2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2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2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2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2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2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2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2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2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2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2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2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2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2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2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2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2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2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2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2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2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2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2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2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2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2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2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2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2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2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2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2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2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2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2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2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2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2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2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2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2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2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2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7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2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7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22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2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2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2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2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2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2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2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2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2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7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2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7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2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2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2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2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2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2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2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2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2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2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2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2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22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2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2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2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2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2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22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2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2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2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2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2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2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2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2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2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2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2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2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2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2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2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2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2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2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2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2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2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2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2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2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2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2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2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2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2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2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2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2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2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2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2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2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2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22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2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2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2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2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2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2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2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2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2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2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2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2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2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2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2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2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2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2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2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2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2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2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3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4" t="s">
        <v>467</v>
      </c>
      <c r="H2160" s="414" t="s">
        <v>515</v>
      </c>
      <c r="I2160" s="415" t="s">
        <v>516</v>
      </c>
      <c r="J2160" s="832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3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4"/>
      <c r="H2161" s="421" t="s">
        <v>515</v>
      </c>
      <c r="I2161" s="422" t="s">
        <v>516</v>
      </c>
      <c r="J2161" s="832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3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4"/>
      <c r="H2162" s="429" t="s">
        <v>515</v>
      </c>
      <c r="I2162" s="430" t="s">
        <v>516</v>
      </c>
      <c r="J2162" s="832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3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4" t="s">
        <v>467</v>
      </c>
      <c r="H2165" s="414" t="s">
        <v>516</v>
      </c>
      <c r="I2165" s="415" t="s">
        <v>516</v>
      </c>
      <c r="J2165" s="832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3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4"/>
      <c r="H2166" s="429" t="s">
        <v>516</v>
      </c>
      <c r="I2166" s="430" t="s">
        <v>516</v>
      </c>
      <c r="J2166" s="832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2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2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2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2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2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22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2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2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2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2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2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2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7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2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7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22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2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2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2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2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22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5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2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5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2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6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2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6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22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2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2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2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2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2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2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2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2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2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2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2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2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2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2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2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2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2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2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22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2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2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2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2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2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2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2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2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2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2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2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2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2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2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2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2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2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2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2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2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2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2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2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2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2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2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2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2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2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2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2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2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2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2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2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2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2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2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2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2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2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2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2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2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2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2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2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2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2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2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2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2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2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2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2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2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2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2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2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2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2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2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2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2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22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2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2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2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2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2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2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2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2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2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2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2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2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2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2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2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2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2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2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2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2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2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2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2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22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2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2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2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2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2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22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2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2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2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22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2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2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2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2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2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2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2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2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2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2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2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2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2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2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2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2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2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2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2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2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2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2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2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2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2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2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2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2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2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2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2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2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2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2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2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2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2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22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2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2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2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2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2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2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2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2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2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2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2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2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2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2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2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2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2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22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2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2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2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2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25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2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2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2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2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2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2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2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2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2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2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2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2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2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2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2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2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2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2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2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22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2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2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2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2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2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2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2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2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2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2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2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2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2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2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2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22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2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2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2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3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3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2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2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2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7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2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7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2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2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2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2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2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2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2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2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2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2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2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2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2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2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2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2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2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2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2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2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2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2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2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2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2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2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2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2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2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2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2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2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2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2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2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2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2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2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2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2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2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2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2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2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2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2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2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2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2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2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2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2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2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2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2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2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2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2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2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2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2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2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2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2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2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2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2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2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2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2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2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2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2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2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2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2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2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2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2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2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2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2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2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2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2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2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25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2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2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2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2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2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2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2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2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2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2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2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2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2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2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2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2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2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2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2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2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2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2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2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2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2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2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2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2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2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2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2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2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2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2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2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2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2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2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2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2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2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2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22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2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2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2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2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2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2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2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2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2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2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2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2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2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2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2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2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2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2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2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2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2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2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2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2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2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2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2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2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2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2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2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2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2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2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2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2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2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2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2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2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22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7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2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7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2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2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2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2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2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2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2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22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2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2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2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2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2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2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2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2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2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2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2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2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2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2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2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2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2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2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2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2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2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2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2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2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2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2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2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2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2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2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2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2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2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2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2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2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2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2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2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7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2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7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2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2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2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2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2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2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2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7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2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7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2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2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2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2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2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2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2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2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2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2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2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2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2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2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2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2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2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2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2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2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2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2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22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2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2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2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2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7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7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2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2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2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2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2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2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2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2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2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2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2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2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2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2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2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2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2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2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2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2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2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2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2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2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2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2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2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2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2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22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2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2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2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2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2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2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2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2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2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2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2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2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2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2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2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2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2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2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2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2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2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2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2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2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2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2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2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2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2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2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2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2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2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2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2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2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2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2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2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2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2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2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2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2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2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2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2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2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2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2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2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2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2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2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2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2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2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2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2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2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2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2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2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2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2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2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2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2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2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2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2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2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2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2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2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2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2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2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2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2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2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2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2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2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2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2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2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2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2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2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2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2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2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2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2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2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2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2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2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2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2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2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2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2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2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2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2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2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2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2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2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2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2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2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7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2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7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2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7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2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2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2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2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2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2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2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2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2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2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2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2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2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2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2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2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2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2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2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2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2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2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2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2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2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2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2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2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2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2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2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2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2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2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2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2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2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2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2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2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2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2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2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2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2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2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2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2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2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2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2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2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2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2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2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2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2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2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2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2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2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2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2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2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2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2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2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2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2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2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2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2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2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2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2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2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2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2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2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2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2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2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2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2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2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2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2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2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2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2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2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2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2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2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2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2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2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2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2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2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2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2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2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2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2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2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2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2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2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2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2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2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2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2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2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2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2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2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2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2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2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2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2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2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25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2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2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22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2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2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2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2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2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2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2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2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2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2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2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2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2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2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2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2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2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2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2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2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2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2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2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2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2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2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2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2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2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2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2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2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2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2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2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7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7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2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2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2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2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2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2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2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2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2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2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7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2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7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25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2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2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2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2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2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2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2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2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2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2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2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2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7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2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7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2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2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2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2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2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2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2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2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2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2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2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2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2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2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2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2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2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2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2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2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2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2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2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2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2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2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2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2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2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2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2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2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2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2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2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2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2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2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2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2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2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2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2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2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2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2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2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2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2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2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2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2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2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2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2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2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2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2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2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2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2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2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2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2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2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2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2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2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2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2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2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2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2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2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2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2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2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2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2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2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2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2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2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2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2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2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2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2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2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2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2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9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1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0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3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9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1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80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3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80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3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80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3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86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1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9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1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9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1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1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18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9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80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80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80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86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9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9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9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1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9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1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86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1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9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80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80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80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80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80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86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08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1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1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9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1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86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08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1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1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9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80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80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1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9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80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86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9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9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1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86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9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9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9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80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80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80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80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80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86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1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9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1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1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18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9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1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1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18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9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1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86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1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9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0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9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1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86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1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9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80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1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86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9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1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86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9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9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9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9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9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9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1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86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08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1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1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9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1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86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1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9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80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80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1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9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1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1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18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86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9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1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9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1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86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08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1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1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9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80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80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80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80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80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8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1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86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1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86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08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1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1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9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80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1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86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9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1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9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80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1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86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9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9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9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86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1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9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80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1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9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80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80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80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86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9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86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9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9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9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9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9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9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1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9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1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80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3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1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18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9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80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1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8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9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1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9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80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80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9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1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1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18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86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9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9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1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9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1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9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1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86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1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86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9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9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9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9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9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1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9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80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1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86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1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9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1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86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1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9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1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1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18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86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9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9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80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1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86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1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9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1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86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1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9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1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9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80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9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9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9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9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9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9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9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1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9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1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86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9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9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1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9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80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80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80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80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1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9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1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86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9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9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1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86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9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9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9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9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9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9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1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9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1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1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18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86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9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1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9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0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0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1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86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9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1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9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1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0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3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1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18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86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08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1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1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9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1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86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1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9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0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0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0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0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0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86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1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9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1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86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9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1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9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0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0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1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86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1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9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1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1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18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9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1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86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9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1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86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1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9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0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86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9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86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9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9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9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9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9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1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9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80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86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08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1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1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9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80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80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80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80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80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1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86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9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9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9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9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80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1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9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1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86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1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9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80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1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9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1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79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1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2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9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80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80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80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80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1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86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1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9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80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1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86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1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9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1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9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1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86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9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8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9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80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9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86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8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9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1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9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1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9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80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86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08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8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09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9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80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80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80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80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86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8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9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9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9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80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9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86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8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9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80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80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86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08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9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10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8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09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86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8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86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9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8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9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80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9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86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9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9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9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9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9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9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86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9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8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9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80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80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9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86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8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9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80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80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9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9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9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86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9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9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9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9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86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9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9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9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9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9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9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86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9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8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9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9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86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8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9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9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9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80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9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9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9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86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8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86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9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8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9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80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80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80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9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9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80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86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8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86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8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86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8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9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80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9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86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9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9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8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9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80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9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9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1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9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1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86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9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8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86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9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8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9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80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80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9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9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9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86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08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9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10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9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10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8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09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9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80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9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9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9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86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9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8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9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9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86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9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9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86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08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8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09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9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9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86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9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8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86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8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9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9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86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9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9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9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86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9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9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9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9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9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80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9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9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1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80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3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80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3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9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1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86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8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9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9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9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9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86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9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8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9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9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86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08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8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09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86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9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86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9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9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9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9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8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9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80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86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9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8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9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9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9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80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9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86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9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8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9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80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9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86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9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8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86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8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9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9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8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9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8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9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80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80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9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8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0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9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09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9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80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9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86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8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9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80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80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80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86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8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9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9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86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9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9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8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9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9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8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8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8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8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9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9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8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9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9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80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80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9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9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9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9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80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80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9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86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8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86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8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9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80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9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86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9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8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86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9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8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86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9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8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9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9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9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80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80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9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86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08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9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10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9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9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86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8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9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9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86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8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9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9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9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80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9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86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8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9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9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86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9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8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9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80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9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86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8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9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9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9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80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86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9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8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9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80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9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9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9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9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9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86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8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9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9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86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8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9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80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9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86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9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8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86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9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8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9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9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86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9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8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9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1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0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3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9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1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86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9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8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86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8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86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8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9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80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9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9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9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86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9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9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80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80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9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9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9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9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1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9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1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86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8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86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9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86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8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9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80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80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9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86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9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9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9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9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9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9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80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9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86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9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8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9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9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86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9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8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9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9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86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8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9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9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86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9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8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05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0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86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9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9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9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86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9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9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8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9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9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86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8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9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9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9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1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9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1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9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80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9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86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9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8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9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80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9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86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9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86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8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9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80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86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8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9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9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86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08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9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10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9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10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8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09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86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9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8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86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08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8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09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9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0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9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0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9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86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9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8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9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1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9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1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9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9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86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9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86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9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9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8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9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1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80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3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86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8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86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8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9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9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86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8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9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1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9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1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9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80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9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86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9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8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86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08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8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09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9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9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9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80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9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9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86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9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9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9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9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9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86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8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9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9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86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08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9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10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8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09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9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9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9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1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9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1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86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8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9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80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80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9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86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08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8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09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9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9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86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8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9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9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86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9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9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1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9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1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86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9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9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9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9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9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1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9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1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86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9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9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8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9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9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86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9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8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9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80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80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9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86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8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9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9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86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8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9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1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9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1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86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9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86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9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8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9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1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0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3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86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8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86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9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8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9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80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9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9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9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9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9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86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9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9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8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9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1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9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1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9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9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86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08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8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09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9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80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80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86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8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9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9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86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8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9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1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9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1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86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8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9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9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86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08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8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09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9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9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86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9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8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9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9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86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9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8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86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08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8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09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9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80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86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9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9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9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9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9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80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9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86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9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8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86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08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8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09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86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08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8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09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9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80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9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80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9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86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9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8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9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9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86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8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86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08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8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09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86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9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9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9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9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86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08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8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09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9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9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86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9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8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9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1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80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3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80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3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86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08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8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09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805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80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80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80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805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80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9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80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86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8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9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1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80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4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80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80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80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86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8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9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80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9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86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8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9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9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9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9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86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08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9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10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8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09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9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0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86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08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8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09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86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9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9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8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86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9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8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9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80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9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9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1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80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3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80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3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80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3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86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8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9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1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9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1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9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9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86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9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8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9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1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9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1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86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9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9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80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80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9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86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8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9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1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9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12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86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9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8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86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9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9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80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80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86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8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86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9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9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8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86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8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86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9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9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80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80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9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86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9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8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9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9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86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8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9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9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9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1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0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3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86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9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9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8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9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1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9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12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9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9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9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1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9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12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9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80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9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86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8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9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9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86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08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8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09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86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9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8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9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80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80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9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86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9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8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9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80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9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1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9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12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86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9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9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80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80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86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8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9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80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9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86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8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9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9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86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8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9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9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9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9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86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9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8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9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9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86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8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86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08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9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10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9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80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80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86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8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9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80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80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9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86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9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8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8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9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9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9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86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9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8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9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80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80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9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86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8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9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9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9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80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9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1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80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3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80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3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80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3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80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3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86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8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86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9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9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8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86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9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9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8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9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9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86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9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8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9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80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9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9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80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9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86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8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86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08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8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09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86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08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9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10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9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10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9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10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9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9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86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8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9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9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9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9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86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8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86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9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9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8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805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80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86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8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05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3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0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3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86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9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9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11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9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12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86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9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9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11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80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3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86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8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9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9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86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8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9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9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86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8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9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11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9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12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9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9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86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8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9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9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86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8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9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80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9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86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8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86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8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86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9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9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9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9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9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9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86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9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8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86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9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8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9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80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9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86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9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8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9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80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86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08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8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09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9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80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9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9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9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86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8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9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9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9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11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9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12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9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9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86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8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9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9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86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08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8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09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86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9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9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9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8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9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80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9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9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80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86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08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8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09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86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08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9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10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9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10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9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10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8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09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9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80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9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86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9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9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9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8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9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11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9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12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8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8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9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80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9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9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9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9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9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86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9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8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9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9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86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8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9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80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9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80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80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9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86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8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90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80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9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86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8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90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9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86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08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8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09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86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9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90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9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90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9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90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80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80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9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90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9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86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8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90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9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86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0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8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09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90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9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06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07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551" si="195">RIGHT(I6541,5)</f>
        <v>06,26</v>
      </c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9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802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80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80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86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1"/>
      <c r="L6555" s="535" t="s">
        <v>28</v>
      </c>
      <c r="M6555" s="535">
        <v>10358.920000000002</v>
      </c>
      <c r="N6555" s="539">
        <v>0.41666666666666669</v>
      </c>
      <c r="O6555" s="759" t="s">
        <v>1493</v>
      </c>
    </row>
    <row r="6556" spans="1:15" ht="19.5" thickBot="1" x14ac:dyDescent="0.3">
      <c r="A6556" s="78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36"/>
      <c r="L6556" s="640" t="s">
        <v>266</v>
      </c>
      <c r="M6556" s="640">
        <v>2163.3199999999997</v>
      </c>
      <c r="N6556" s="644">
        <v>0.41666666666666669</v>
      </c>
      <c r="O6556" s="759" t="s">
        <v>1494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  <c r="O6557" s="759" t="s">
        <v>1496</v>
      </c>
    </row>
    <row r="6558" spans="1:15" ht="19.5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802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  <c r="O6559" s="759" t="s">
        <v>1496</v>
      </c>
    </row>
    <row r="6560" spans="1:15" ht="57.75" customHeight="1" x14ac:dyDescent="0.25">
      <c r="A6560" s="80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00" t="s">
        <v>1454</v>
      </c>
      <c r="H6560" s="678" t="s">
        <v>1450</v>
      </c>
      <c r="I6560" s="683" t="s">
        <v>1489</v>
      </c>
      <c r="J6560" s="738"/>
      <c r="K6560" s="737"/>
      <c r="L6560" s="678" t="s">
        <v>28</v>
      </c>
      <c r="M6560" s="678">
        <v>7253.24</v>
      </c>
      <c r="N6560" s="739">
        <v>0.45833333333333331</v>
      </c>
      <c r="O6560" s="759" t="s">
        <v>1522</v>
      </c>
    </row>
    <row r="6561" spans="1:15" ht="57.75" customHeight="1" thickBot="1" x14ac:dyDescent="0.3">
      <c r="A6561" s="80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01"/>
      <c r="H6561" s="744" t="s">
        <v>1451</v>
      </c>
      <c r="I6561" s="746" t="s">
        <v>1489</v>
      </c>
      <c r="J6561" s="747"/>
      <c r="K6561" s="740"/>
      <c r="L6561" s="744" t="s">
        <v>28</v>
      </c>
      <c r="M6561" s="744">
        <v>4942.92</v>
      </c>
      <c r="N6561" s="748">
        <v>0.41666666666666669</v>
      </c>
      <c r="O6561" s="759" t="s">
        <v>1521</v>
      </c>
    </row>
    <row r="6562" spans="1:15" ht="19.5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4"/>
      <c r="L6566" s="508" t="s">
        <v>28</v>
      </c>
      <c r="M6566" s="508">
        <v>13186.489999999998</v>
      </c>
      <c r="N6566" s="512">
        <v>0.54166666666666663</v>
      </c>
      <c r="O6566" s="759" t="s">
        <v>1492</v>
      </c>
    </row>
    <row r="6567" spans="1:15" x14ac:dyDescent="0.25">
      <c r="A6567" s="802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28"/>
      <c r="L6567" s="732" t="s">
        <v>28</v>
      </c>
      <c r="M6567" s="732">
        <v>9013.7999999999993</v>
      </c>
      <c r="N6567" s="736">
        <v>0.41666666666666669</v>
      </c>
      <c r="O6567" s="759" t="s">
        <v>1502</v>
      </c>
    </row>
    <row r="6568" spans="1:15" ht="19.5" thickBot="1" x14ac:dyDescent="0.3">
      <c r="A6568" s="80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0"/>
      <c r="L6568" s="744" t="s">
        <v>266</v>
      </c>
      <c r="M6568" s="744">
        <v>7599.9100000000008</v>
      </c>
      <c r="N6568" s="748">
        <v>0.41666666666666669</v>
      </c>
      <c r="O6568" s="759" t="s">
        <v>1503</v>
      </c>
    </row>
    <row r="6569" spans="1:15" ht="19.5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4"/>
      <c r="L6569" s="508" t="s">
        <v>28</v>
      </c>
      <c r="M6569" s="508">
        <v>17506.8</v>
      </c>
      <c r="N6569" s="512">
        <v>0.45833333333333331</v>
      </c>
      <c r="O6569" s="759" t="s">
        <v>1504</v>
      </c>
    </row>
    <row r="6570" spans="1:15" ht="19.5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19"/>
      <c r="L6570" s="723" t="s">
        <v>266</v>
      </c>
      <c r="M6570" s="723">
        <v>17849.460000000003</v>
      </c>
      <c r="N6570" s="727">
        <v>0.58333333333333337</v>
      </c>
      <c r="O6570" s="759" t="s">
        <v>1535</v>
      </c>
    </row>
    <row r="6571" spans="1:15" x14ac:dyDescent="0.25">
      <c r="A6571" s="786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1"/>
      <c r="L6571" s="535" t="s">
        <v>266</v>
      </c>
      <c r="M6571" s="535">
        <v>1275.8099999999997</v>
      </c>
      <c r="N6571" s="539">
        <v>0.5</v>
      </c>
      <c r="O6571" s="759" t="s">
        <v>1536</v>
      </c>
    </row>
    <row r="6572" spans="1:15" ht="19.5" thickBot="1" x14ac:dyDescent="0.3">
      <c r="A6572" s="79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0"/>
      <c r="L6572" s="594" t="s">
        <v>266</v>
      </c>
      <c r="M6572" s="594">
        <v>10302.659999999998</v>
      </c>
      <c r="N6572" s="598">
        <v>0.5</v>
      </c>
      <c r="O6572" s="759" t="s">
        <v>1537</v>
      </c>
    </row>
    <row r="6573" spans="1:15" ht="19.5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4"/>
      <c r="L6573" s="518" t="s">
        <v>266</v>
      </c>
      <c r="M6573" s="518">
        <v>18168.719999999998</v>
      </c>
      <c r="N6573" s="522">
        <v>0.41666666666666669</v>
      </c>
      <c r="O6573" s="759" t="s">
        <v>1497</v>
      </c>
    </row>
    <row r="6574" spans="1:15" ht="19.5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4"/>
      <c r="L6574" s="508" t="s">
        <v>266</v>
      </c>
      <c r="M6574" s="508">
        <v>18122.22</v>
      </c>
      <c r="N6574" s="512">
        <v>0.45833333333333331</v>
      </c>
      <c r="O6574" s="759" t="s">
        <v>1500</v>
      </c>
    </row>
    <row r="6575" spans="1:15" ht="19.5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4"/>
      <c r="L6575" s="518" t="s">
        <v>266</v>
      </c>
      <c r="M6575" s="518">
        <v>18019.8</v>
      </c>
      <c r="N6575" s="522">
        <v>0.5</v>
      </c>
      <c r="O6575" s="759" t="s">
        <v>1501</v>
      </c>
    </row>
    <row r="6576" spans="1:15" ht="19.5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4"/>
      <c r="L6576" s="508" t="s">
        <v>266</v>
      </c>
      <c r="M6576" s="508">
        <v>18036.84</v>
      </c>
      <c r="N6576" s="512">
        <v>0.54166666666666663</v>
      </c>
      <c r="O6576" s="759" t="s">
        <v>1510</v>
      </c>
    </row>
    <row r="6577" spans="1:15" ht="19.5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3"/>
      <c r="L6577" s="577" t="s">
        <v>266</v>
      </c>
      <c r="M6577" s="577">
        <v>18085.100000000006</v>
      </c>
      <c r="N6577" s="581">
        <v>0.58333333333333337</v>
      </c>
      <c r="O6577" s="759" t="s">
        <v>1499</v>
      </c>
    </row>
    <row r="6578" spans="1:15" x14ac:dyDescent="0.25">
      <c r="A6578" s="792">
        <f t="shared" si="196"/>
        <v>4141</v>
      </c>
      <c r="B6578" s="760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1"/>
      <c r="L6578" s="535" t="s">
        <v>265</v>
      </c>
      <c r="M6578" s="535">
        <v>9971.6399999999976</v>
      </c>
      <c r="N6578" s="539">
        <v>0.375</v>
      </c>
      <c r="O6578" s="759" t="s">
        <v>1519</v>
      </c>
    </row>
    <row r="6579" spans="1:15" x14ac:dyDescent="0.25">
      <c r="A6579" s="793"/>
      <c r="B6579" s="761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4" t="s">
        <v>76</v>
      </c>
      <c r="H6579" s="567" t="s">
        <v>1489</v>
      </c>
      <c r="I6579" s="785" t="s">
        <v>1489</v>
      </c>
      <c r="J6579" s="762"/>
      <c r="K6579" s="563"/>
      <c r="L6579" s="567" t="s">
        <v>265</v>
      </c>
      <c r="M6579" s="567">
        <v>1710</v>
      </c>
      <c r="N6579" s="571">
        <v>0.375</v>
      </c>
      <c r="O6579" s="759" t="s">
        <v>1520</v>
      </c>
    </row>
    <row r="6580" spans="1:15" ht="19.5" thickBot="1" x14ac:dyDescent="0.3">
      <c r="A6580" s="794"/>
      <c r="B6580" s="763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0"/>
      <c r="L6580" s="594" t="s">
        <v>265</v>
      </c>
      <c r="M6580" s="594">
        <v>7124.5599999999986</v>
      </c>
      <c r="N6580" s="598">
        <v>0.375</v>
      </c>
      <c r="O6580" s="759" t="s">
        <v>1518</v>
      </c>
    </row>
    <row r="6581" spans="1:15" x14ac:dyDescent="0.25">
      <c r="A6581" s="795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79"/>
      <c r="L6581" s="483" t="s">
        <v>265</v>
      </c>
      <c r="M6581" s="483">
        <v>15541.739999999998</v>
      </c>
      <c r="N6581" s="486">
        <v>0.41666666666666669</v>
      </c>
      <c r="O6581" s="759" t="s">
        <v>1511</v>
      </c>
    </row>
    <row r="6582" spans="1:15" x14ac:dyDescent="0.25">
      <c r="A6582" s="796"/>
      <c r="B6582" s="770" t="s">
        <v>1473</v>
      </c>
      <c r="C6582" s="765" t="s">
        <v>26</v>
      </c>
      <c r="D6582" s="766">
        <v>3.5</v>
      </c>
      <c r="E6582" s="767">
        <v>3.5190000000000001</v>
      </c>
      <c r="F6582" s="764" t="s">
        <v>16</v>
      </c>
      <c r="G6582" s="768" t="s">
        <v>76</v>
      </c>
      <c r="H6582" s="764" t="s">
        <v>1489</v>
      </c>
      <c r="I6582" s="769" t="s">
        <v>1491</v>
      </c>
      <c r="J6582" s="782"/>
      <c r="K6582" s="780"/>
      <c r="L6582" s="764" t="s">
        <v>265</v>
      </c>
      <c r="M6582" s="764">
        <v>3510</v>
      </c>
      <c r="N6582" s="771">
        <v>0.41666666666666669</v>
      </c>
      <c r="O6582" s="759" t="s">
        <v>1513</v>
      </c>
    </row>
    <row r="6583" spans="1:15" ht="19.5" thickBot="1" x14ac:dyDescent="0.3">
      <c r="A6583" s="797"/>
      <c r="B6583" s="772" t="s">
        <v>1472</v>
      </c>
      <c r="C6583" s="773" t="s">
        <v>1490</v>
      </c>
      <c r="D6583" s="774">
        <v>2</v>
      </c>
      <c r="E6583" s="775">
        <v>1.369</v>
      </c>
      <c r="F6583" s="776" t="s">
        <v>16</v>
      </c>
      <c r="G6583" s="777"/>
      <c r="H6583" s="776" t="s">
        <v>1489</v>
      </c>
      <c r="I6583" s="778" t="s">
        <v>1491</v>
      </c>
      <c r="J6583" s="783"/>
      <c r="K6583" s="781"/>
      <c r="L6583" s="776" t="s">
        <v>265</v>
      </c>
      <c r="M6583" s="776">
        <v>2022</v>
      </c>
      <c r="N6583" s="779">
        <v>0.41666666666666669</v>
      </c>
      <c r="O6583" s="759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36"/>
      <c r="L6584" s="640" t="s">
        <v>265</v>
      </c>
      <c r="M6584" s="640">
        <v>17609.82</v>
      </c>
      <c r="N6584" s="644">
        <v>0.375</v>
      </c>
      <c r="O6584" s="759" t="s">
        <v>1530</v>
      </c>
    </row>
    <row r="6585" spans="1:15" x14ac:dyDescent="0.25">
      <c r="A6585" s="79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79"/>
      <c r="L6585" s="483" t="s">
        <v>266</v>
      </c>
      <c r="M6585" s="483">
        <v>3851.1</v>
      </c>
      <c r="N6585" s="486">
        <v>0.45833333333333331</v>
      </c>
      <c r="O6585" s="759" t="s">
        <v>1515</v>
      </c>
    </row>
    <row r="6586" spans="1:15" ht="19.5" thickBot="1" x14ac:dyDescent="0.3">
      <c r="A6586" s="79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5"/>
      <c r="L6586" s="649" t="s">
        <v>266</v>
      </c>
      <c r="M6586" s="649">
        <v>9181.1200000000026</v>
      </c>
      <c r="N6586" s="653">
        <v>0.45833333333333331</v>
      </c>
      <c r="O6586" s="759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/>
      <c r="F6587" s="508" t="s">
        <v>30</v>
      </c>
      <c r="G6587" s="509"/>
      <c r="H6587" s="508" t="s">
        <v>1489</v>
      </c>
      <c r="I6587" s="510"/>
      <c r="J6587" s="511"/>
      <c r="K6587" s="504"/>
      <c r="L6587" s="508" t="s">
        <v>28</v>
      </c>
      <c r="M6587" s="508">
        <v>9582</v>
      </c>
      <c r="N6587" s="512">
        <v>0.41666666666666669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4"/>
      <c r="L6588" s="518" t="s">
        <v>265</v>
      </c>
      <c r="M6588" s="518">
        <v>11917.079999999998</v>
      </c>
      <c r="N6588" s="522">
        <v>0.375</v>
      </c>
      <c r="O6588" s="759" t="s">
        <v>1533</v>
      </c>
    </row>
    <row r="6589" spans="1:15" x14ac:dyDescent="0.25">
      <c r="A6589" s="79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1"/>
      <c r="L6589" s="535" t="s">
        <v>28</v>
      </c>
      <c r="M6589" s="535">
        <v>17625.72</v>
      </c>
      <c r="N6589" s="539">
        <v>0.41666666666666669</v>
      </c>
      <c r="O6589" s="759" t="s">
        <v>1531</v>
      </c>
    </row>
    <row r="6590" spans="1:15" ht="19.5" thickBot="1" x14ac:dyDescent="0.3">
      <c r="A6590" s="79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36"/>
      <c r="L6590" s="640" t="s">
        <v>28</v>
      </c>
      <c r="M6590" s="640">
        <v>240</v>
      </c>
      <c r="N6590" s="644">
        <v>0.41666666666666669</v>
      </c>
      <c r="O6590" s="759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3"/>
      <c r="L6591" s="577" t="s">
        <v>28</v>
      </c>
      <c r="M6591" s="577">
        <v>17435.47</v>
      </c>
      <c r="N6591" s="581">
        <v>0.45833333333333331</v>
      </c>
      <c r="O6591" s="759" t="s">
        <v>1514</v>
      </c>
    </row>
    <row r="6592" spans="1:15" x14ac:dyDescent="0.25">
      <c r="A6592" s="78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1"/>
      <c r="L6592" s="535" t="s">
        <v>265</v>
      </c>
      <c r="M6592" s="535">
        <v>1037.0999999999999</v>
      </c>
      <c r="N6592" s="539">
        <v>0.375</v>
      </c>
      <c r="O6592" s="759" t="s">
        <v>1529</v>
      </c>
    </row>
    <row r="6593" spans="1:15" ht="19.5" thickBot="1" x14ac:dyDescent="0.3">
      <c r="A6593" s="78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36"/>
      <c r="L6593" s="640" t="s">
        <v>265</v>
      </c>
      <c r="M6593" s="640">
        <v>16463.16</v>
      </c>
      <c r="N6593" s="644">
        <v>0.375</v>
      </c>
      <c r="O6593" s="759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4"/>
      <c r="L6594" s="518" t="s">
        <v>28</v>
      </c>
      <c r="M6594" s="518">
        <v>17495.000000000004</v>
      </c>
      <c r="N6594" s="522">
        <v>0.45833333333333331</v>
      </c>
      <c r="O6594" s="759" t="s">
        <v>1534</v>
      </c>
    </row>
    <row r="6595" spans="1:15" x14ac:dyDescent="0.25">
      <c r="A6595" s="78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1"/>
      <c r="L6595" s="535" t="s">
        <v>266</v>
      </c>
      <c r="M6595" s="535">
        <v>6209.64</v>
      </c>
      <c r="N6595" s="539">
        <v>0.41666666666666669</v>
      </c>
      <c r="O6595" s="759" t="s">
        <v>1523</v>
      </c>
    </row>
    <row r="6596" spans="1:15" x14ac:dyDescent="0.25">
      <c r="A6596" s="79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3"/>
      <c r="L6596" s="567" t="s">
        <v>266</v>
      </c>
      <c r="M6596" s="567">
        <v>2112.9399999999996</v>
      </c>
      <c r="N6596" s="571">
        <v>0.41666666666666669</v>
      </c>
      <c r="O6596" s="759" t="s">
        <v>1524</v>
      </c>
    </row>
    <row r="6597" spans="1:15" x14ac:dyDescent="0.25">
      <c r="A6597" s="79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3"/>
      <c r="L6597" s="567" t="s">
        <v>28</v>
      </c>
      <c r="M6597" s="567">
        <v>1560.3600000000001</v>
      </c>
      <c r="N6597" s="571">
        <v>0.41666666666666669</v>
      </c>
      <c r="O6597" s="759" t="s">
        <v>1525</v>
      </c>
    </row>
    <row r="6598" spans="1:15" x14ac:dyDescent="0.25">
      <c r="A6598" s="79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3"/>
      <c r="L6598" s="567" t="s">
        <v>28</v>
      </c>
      <c r="M6598" s="567">
        <v>6987.72</v>
      </c>
      <c r="N6598" s="571">
        <v>0.41666666666666669</v>
      </c>
      <c r="O6598" s="759" t="s">
        <v>1526</v>
      </c>
    </row>
    <row r="6599" spans="1:15" ht="19.5" thickBot="1" x14ac:dyDescent="0.3">
      <c r="A6599" s="79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0"/>
      <c r="L6599" s="594" t="s">
        <v>28</v>
      </c>
      <c r="M6599" s="594">
        <v>656.7</v>
      </c>
      <c r="N6599" s="598">
        <v>0.41666666666666669</v>
      </c>
      <c r="O6599" s="759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4"/>
      <c r="L6600" s="518" t="s">
        <v>265</v>
      </c>
      <c r="M6600" s="518">
        <v>10966.799999999997</v>
      </c>
      <c r="N6600" s="522">
        <v>0.375</v>
      </c>
      <c r="O6600" s="759" t="s">
        <v>1517</v>
      </c>
    </row>
    <row r="6601" spans="1:15" x14ac:dyDescent="0.25">
      <c r="A6601" s="786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/>
      <c r="F6601" s="535" t="s">
        <v>16</v>
      </c>
      <c r="G6601" s="536"/>
      <c r="H6601" s="535" t="s">
        <v>1505</v>
      </c>
      <c r="I6601" s="537"/>
      <c r="J6601" s="538"/>
      <c r="K6601" s="531"/>
      <c r="L6601" s="535" t="s">
        <v>265</v>
      </c>
      <c r="M6601" s="535">
        <v>2839.9799999999996</v>
      </c>
      <c r="N6601" s="539">
        <v>0.375</v>
      </c>
    </row>
    <row r="6602" spans="1:15" ht="19.5" thickBot="1" x14ac:dyDescent="0.3">
      <c r="A6602" s="787"/>
      <c r="B6602" s="636" t="s">
        <v>1489</v>
      </c>
      <c r="C6602" s="637" t="s">
        <v>26</v>
      </c>
      <c r="D6602" s="638">
        <v>14.699</v>
      </c>
      <c r="E6602" s="639"/>
      <c r="F6602" s="640" t="s">
        <v>16</v>
      </c>
      <c r="G6602" s="641"/>
      <c r="H6602" s="640" t="s">
        <v>1505</v>
      </c>
      <c r="I6602" s="642"/>
      <c r="J6602" s="643"/>
      <c r="K6602" s="636"/>
      <c r="L6602" s="640" t="s">
        <v>265</v>
      </c>
      <c r="M6602" s="640">
        <v>14851.28</v>
      </c>
      <c r="N6602" s="644">
        <v>0.375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/>
      <c r="F6603" s="518" t="s">
        <v>16</v>
      </c>
      <c r="G6603" s="519"/>
      <c r="H6603" s="518" t="s">
        <v>1506</v>
      </c>
      <c r="I6603" s="520"/>
      <c r="J6603" s="521"/>
      <c r="K6603" s="514"/>
      <c r="L6603" s="518" t="s">
        <v>265</v>
      </c>
      <c r="M6603" s="518">
        <v>17708.68</v>
      </c>
      <c r="N6603" s="522">
        <v>0.375</v>
      </c>
    </row>
    <row r="6604" spans="1:15" x14ac:dyDescent="0.25">
      <c r="A6604" s="786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/>
      <c r="F6604" s="535" t="s">
        <v>16</v>
      </c>
      <c r="G6604" s="788" t="s">
        <v>1508</v>
      </c>
      <c r="H6604" s="535" t="s">
        <v>1505</v>
      </c>
      <c r="I6604" s="537"/>
      <c r="J6604" s="538"/>
      <c r="K6604" s="531"/>
      <c r="L6604" s="535" t="s">
        <v>28</v>
      </c>
      <c r="M6604" s="535">
        <v>10123.780000000001</v>
      </c>
      <c r="N6604" s="539">
        <v>0.41666666666666669</v>
      </c>
    </row>
    <row r="6605" spans="1:15" ht="19.5" thickBot="1" x14ac:dyDescent="0.3">
      <c r="A6605" s="787"/>
      <c r="B6605" s="636" t="s">
        <v>1489</v>
      </c>
      <c r="C6605" s="637" t="s">
        <v>15</v>
      </c>
      <c r="D6605" s="638">
        <v>3.278</v>
      </c>
      <c r="E6605" s="639"/>
      <c r="F6605" s="640" t="s">
        <v>16</v>
      </c>
      <c r="G6605" s="789"/>
      <c r="H6605" s="640" t="s">
        <v>1505</v>
      </c>
      <c r="I6605" s="642"/>
      <c r="J6605" s="643"/>
      <c r="K6605" s="636"/>
      <c r="L6605" s="640" t="s">
        <v>28</v>
      </c>
      <c r="M6605" s="640">
        <v>3359.36</v>
      </c>
      <c r="N6605" s="644">
        <v>0.41666666666666669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/>
      <c r="F6606" s="518" t="s">
        <v>16</v>
      </c>
      <c r="G6606" s="519" t="s">
        <v>1507</v>
      </c>
      <c r="H6606" s="518" t="s">
        <v>1505</v>
      </c>
      <c r="I6606" s="520"/>
      <c r="J6606" s="521"/>
      <c r="K6606" s="514"/>
      <c r="L6606" s="518" t="s">
        <v>28</v>
      </c>
      <c r="M6606" s="518">
        <v>15167.900000000001</v>
      </c>
      <c r="N6606" s="522">
        <v>0.45833333333333331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/>
      <c r="F6607" s="508" t="s">
        <v>16</v>
      </c>
      <c r="G6607" s="509" t="s">
        <v>1507</v>
      </c>
      <c r="H6607" s="508" t="s">
        <v>1505</v>
      </c>
      <c r="I6607" s="510"/>
      <c r="J6607" s="511"/>
      <c r="K6607" s="504"/>
      <c r="L6607" s="508" t="s">
        <v>28</v>
      </c>
      <c r="M6607" s="508">
        <v>15182.760000000002</v>
      </c>
      <c r="N6607" s="512">
        <v>0.5</v>
      </c>
    </row>
    <row r="6608" spans="1:15" x14ac:dyDescent="0.25">
      <c r="A6608" s="790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/>
      <c r="F6608" s="483" t="s">
        <v>30</v>
      </c>
      <c r="G6608" s="549"/>
      <c r="H6608" s="483" t="s">
        <v>1505</v>
      </c>
      <c r="I6608" s="484"/>
      <c r="J6608" s="485"/>
      <c r="K6608" s="479"/>
      <c r="L6608" s="483" t="s">
        <v>28</v>
      </c>
      <c r="M6608" s="483">
        <v>6184.08</v>
      </c>
      <c r="N6608" s="486">
        <v>0.41666666666666669</v>
      </c>
    </row>
    <row r="6609" spans="1:14" ht="19.5" thickBot="1" x14ac:dyDescent="0.3">
      <c r="A6609" s="791"/>
      <c r="B6609" s="645" t="s">
        <v>1489</v>
      </c>
      <c r="C6609" s="646" t="s">
        <v>587</v>
      </c>
      <c r="D6609" s="647">
        <v>5.9050000000000002</v>
      </c>
      <c r="E6609" s="648"/>
      <c r="F6609" s="649" t="s">
        <v>30</v>
      </c>
      <c r="G6609" s="650" t="s">
        <v>47</v>
      </c>
      <c r="H6609" s="649" t="s">
        <v>1505</v>
      </c>
      <c r="I6609" s="651"/>
      <c r="J6609" s="652"/>
      <c r="K6609" s="645"/>
      <c r="L6609" s="649" t="s">
        <v>28</v>
      </c>
      <c r="M6609" s="649">
        <v>5905.2000000000007</v>
      </c>
      <c r="N6609" s="653">
        <v>0.41666666666666669</v>
      </c>
    </row>
    <row r="6610" spans="1:14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/>
      <c r="F6610" s="508" t="s">
        <v>30</v>
      </c>
      <c r="G6610" s="509" t="s">
        <v>1509</v>
      </c>
      <c r="H6610" s="508" t="s">
        <v>1505</v>
      </c>
      <c r="I6610" s="510"/>
      <c r="J6610" s="511"/>
      <c r="K6610" s="504"/>
      <c r="L6610" s="508" t="s">
        <v>28</v>
      </c>
      <c r="M6610" s="508">
        <v>9574.08</v>
      </c>
      <c r="N6610" s="512">
        <v>0.45833333333333331</v>
      </c>
    </row>
    <row r="6611" spans="1:14" x14ac:dyDescent="0.25">
      <c r="A6611" s="790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/>
      <c r="F6611" s="483" t="s">
        <v>30</v>
      </c>
      <c r="G6611" s="549"/>
      <c r="H6611" s="483" t="s">
        <v>1505</v>
      </c>
      <c r="I6611" s="484"/>
      <c r="J6611" s="485"/>
      <c r="K6611" s="479"/>
      <c r="L6611" s="483" t="s">
        <v>28</v>
      </c>
      <c r="M6611" s="483">
        <v>6432.12</v>
      </c>
      <c r="N6611" s="486">
        <v>0.5</v>
      </c>
    </row>
    <row r="6612" spans="1:14" ht="19.5" thickBot="1" x14ac:dyDescent="0.3">
      <c r="A6612" s="791"/>
      <c r="B6612" s="645" t="s">
        <v>1489</v>
      </c>
      <c r="C6612" s="646" t="s">
        <v>15</v>
      </c>
      <c r="D6612" s="647">
        <v>5.3209999999999997</v>
      </c>
      <c r="E6612" s="648"/>
      <c r="F6612" s="649" t="s">
        <v>30</v>
      </c>
      <c r="G6612" s="650"/>
      <c r="H6612" s="649" t="s">
        <v>1505</v>
      </c>
      <c r="I6612" s="651"/>
      <c r="J6612" s="652"/>
      <c r="K6612" s="645"/>
      <c r="L6612" s="649" t="s">
        <v>28</v>
      </c>
      <c r="M6612" s="649">
        <v>5321.36</v>
      </c>
      <c r="N6612" s="653">
        <v>0.5</v>
      </c>
    </row>
    <row r="6613" spans="1:14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/>
      <c r="F6613" s="508" t="s">
        <v>16</v>
      </c>
      <c r="G6613" s="509"/>
      <c r="H6613" s="508" t="s">
        <v>1505</v>
      </c>
      <c r="I6613" s="510"/>
      <c r="J6613" s="511"/>
      <c r="K6613" s="504"/>
      <c r="L6613" s="508" t="s">
        <v>266</v>
      </c>
      <c r="M6613" s="508">
        <v>13113.15</v>
      </c>
      <c r="N6613" s="512">
        <v>0.54166666666666663</v>
      </c>
    </row>
    <row r="6614" spans="1:14" x14ac:dyDescent="0.25">
      <c r="A6614" s="790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/>
      <c r="F6614" s="483" t="s">
        <v>16</v>
      </c>
      <c r="G6614" s="549" t="s">
        <v>844</v>
      </c>
      <c r="H6614" s="483" t="s">
        <v>1505</v>
      </c>
      <c r="I6614" s="484"/>
      <c r="J6614" s="485"/>
      <c r="K6614" s="479"/>
      <c r="L6614" s="483" t="s">
        <v>266</v>
      </c>
      <c r="M6614" s="483">
        <v>3231.8</v>
      </c>
      <c r="N6614" s="486">
        <v>0.58333333333333337</v>
      </c>
    </row>
    <row r="6615" spans="1:14" x14ac:dyDescent="0.25">
      <c r="A6615" s="805"/>
      <c r="B6615" s="523" t="s">
        <v>1489</v>
      </c>
      <c r="C6615" s="524" t="s">
        <v>1219</v>
      </c>
      <c r="D6615" s="525">
        <v>4.2880000000000003</v>
      </c>
      <c r="E6615" s="526"/>
      <c r="F6615" s="527" t="s">
        <v>16</v>
      </c>
      <c r="G6615" s="561" t="s">
        <v>845</v>
      </c>
      <c r="H6615" s="527" t="s">
        <v>1505</v>
      </c>
      <c r="I6615" s="528"/>
      <c r="J6615" s="529"/>
      <c r="K6615" s="523"/>
      <c r="L6615" s="527" t="s">
        <v>266</v>
      </c>
      <c r="M6615" s="527">
        <v>4302.3</v>
      </c>
      <c r="N6615" s="530">
        <v>0.58333333333333337</v>
      </c>
    </row>
    <row r="6616" spans="1:14" ht="19.5" thickBot="1" x14ac:dyDescent="0.3">
      <c r="A6616" s="791"/>
      <c r="B6616" s="645" t="s">
        <v>1489</v>
      </c>
      <c r="C6616" s="646" t="s">
        <v>1219</v>
      </c>
      <c r="D6616" s="647">
        <v>3.7490000000000001</v>
      </c>
      <c r="E6616" s="648"/>
      <c r="F6616" s="649" t="s">
        <v>16</v>
      </c>
      <c r="G6616" s="650" t="s">
        <v>1452</v>
      </c>
      <c r="H6616" s="649" t="s">
        <v>1505</v>
      </c>
      <c r="I6616" s="651"/>
      <c r="J6616" s="652"/>
      <c r="K6616" s="645"/>
      <c r="L6616" s="649" t="s">
        <v>266</v>
      </c>
      <c r="M6616" s="649">
        <v>3813.3</v>
      </c>
      <c r="N6616" s="653">
        <v>0.58333333333333337</v>
      </c>
    </row>
    <row r="6617" spans="1:14" x14ac:dyDescent="0.25">
      <c r="A6617" s="786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/>
      <c r="F6617" s="535" t="s">
        <v>16</v>
      </c>
      <c r="G6617" s="536"/>
      <c r="H6617" s="535" t="s">
        <v>1506</v>
      </c>
      <c r="I6617" s="537"/>
      <c r="J6617" s="538"/>
      <c r="K6617" s="531"/>
      <c r="L6617" s="535" t="s">
        <v>28</v>
      </c>
      <c r="M6617" s="535">
        <v>8902.56</v>
      </c>
      <c r="N6617" s="539">
        <v>0.41666666666666669</v>
      </c>
    </row>
    <row r="6618" spans="1:14" ht="19.5" thickBot="1" x14ac:dyDescent="0.3">
      <c r="A6618" s="787"/>
      <c r="B6618" s="636" t="s">
        <v>1489</v>
      </c>
      <c r="C6618" s="637" t="s">
        <v>587</v>
      </c>
      <c r="D6618" s="638">
        <v>8.452</v>
      </c>
      <c r="E6618" s="639"/>
      <c r="F6618" s="640" t="s">
        <v>16</v>
      </c>
      <c r="G6618" s="641" t="s">
        <v>47</v>
      </c>
      <c r="H6618" s="640" t="s">
        <v>1506</v>
      </c>
      <c r="I6618" s="642"/>
      <c r="J6618" s="643"/>
      <c r="K6618" s="636"/>
      <c r="L6618" s="640" t="s">
        <v>28</v>
      </c>
      <c r="M6618" s="640">
        <v>8452.9599999999991</v>
      </c>
      <c r="N6618" s="644">
        <v>0.41666666666666669</v>
      </c>
    </row>
    <row r="6619" spans="1:14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/>
      <c r="F6619" s="518" t="s">
        <v>16</v>
      </c>
      <c r="G6619" s="519"/>
      <c r="H6619" s="518" t="s">
        <v>1506</v>
      </c>
      <c r="I6619" s="520"/>
      <c r="J6619" s="521"/>
      <c r="K6619" s="514"/>
      <c r="L6619" s="518" t="s">
        <v>28</v>
      </c>
      <c r="M6619" s="518">
        <v>17449.439999999999</v>
      </c>
      <c r="N6619" s="522">
        <v>0.45833333333333331</v>
      </c>
    </row>
    <row r="6620" spans="1:14" ht="19.5" thickBot="1" x14ac:dyDescent="0.3">
      <c r="A6620" s="503">
        <f t="shared" si="196"/>
        <v>4165</v>
      </c>
      <c r="B6620" s="504" t="s">
        <v>1489</v>
      </c>
      <c r="C6620" s="505" t="s">
        <v>23</v>
      </c>
      <c r="D6620" s="506">
        <v>11.619</v>
      </c>
      <c r="E6620" s="507"/>
      <c r="F6620" s="508" t="s">
        <v>30</v>
      </c>
      <c r="G6620" s="509"/>
      <c r="H6620" s="508" t="s">
        <v>1506</v>
      </c>
      <c r="I6620" s="510"/>
      <c r="J6620" s="511"/>
      <c r="K6620" s="504"/>
      <c r="L6620" s="508" t="s">
        <v>28</v>
      </c>
      <c r="M6620" s="508">
        <v>11619.119999999997</v>
      </c>
      <c r="N6620" s="512">
        <v>0.41666666666666669</v>
      </c>
    </row>
    <row r="6621" spans="1:14" x14ac:dyDescent="0.25">
      <c r="A6621" s="676">
        <f t="shared" si="196"/>
        <v>4166</v>
      </c>
      <c r="B6621" s="676"/>
      <c r="C6621" s="473"/>
      <c r="D6621" s="474"/>
      <c r="E6621" s="475"/>
      <c r="F6621" s="676"/>
      <c r="G6621" s="476"/>
      <c r="H6621" s="676"/>
      <c r="I6621" s="477"/>
      <c r="J6621" s="478"/>
      <c r="K6621" s="676"/>
      <c r="L6621" s="676"/>
      <c r="M6621" s="676"/>
      <c r="N6621" s="676"/>
    </row>
    <row r="6622" spans="1:14" x14ac:dyDescent="0.25">
      <c r="A6622" s="676">
        <f t="shared" si="196"/>
        <v>4167</v>
      </c>
      <c r="B6622" s="676"/>
      <c r="C6622" s="473"/>
      <c r="D6622" s="474"/>
      <c r="E6622" s="475"/>
      <c r="F6622" s="676"/>
      <c r="G6622" s="476"/>
      <c r="H6622" s="676"/>
      <c r="I6622" s="477"/>
      <c r="J6622" s="478"/>
      <c r="K6622" s="676"/>
      <c r="L6622" s="676"/>
      <c r="M6622" s="676"/>
      <c r="N6622" s="676"/>
    </row>
    <row r="6623" spans="1:14" x14ac:dyDescent="0.25">
      <c r="A6623" s="676">
        <f t="shared" ref="A6623" si="199">MAX(A6609:A6622)+1</f>
        <v>4168</v>
      </c>
      <c r="B6623" s="676"/>
      <c r="C6623" s="473"/>
      <c r="D6623" s="474"/>
      <c r="E6623" s="475"/>
      <c r="F6623" s="676"/>
      <c r="G6623" s="476"/>
      <c r="H6623" s="676"/>
      <c r="I6623" s="477"/>
      <c r="J6623" s="478"/>
      <c r="K6623" s="676"/>
      <c r="L6623" s="676"/>
      <c r="M6623" s="676"/>
      <c r="N6623" s="676"/>
    </row>
  </sheetData>
  <autoFilter ref="A2:N6623" xr:uid="{00000000-0009-0000-0000-000000000000}">
    <filterColumn colId="10">
      <filters blank="1"/>
    </filterColumn>
  </autoFilter>
  <mergeCells count="1706">
    <mergeCell ref="A6611:A6612"/>
    <mergeCell ref="A6614:A6616"/>
    <mergeCell ref="A6617:A6618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2026-07-06T07:24:27Z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